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4\Public\Final web versions\Budget Excel files\"/>
    </mc:Choice>
  </mc:AlternateContent>
  <xr:revisionPtr revIDLastSave="0" documentId="13_ncr:1_{8B456CE7-781D-4555-B202-D6B88F29F027}" xr6:coauthVersionLast="47" xr6:coauthVersionMax="47" xr10:uidLastSave="{00000000-0000-0000-0000-000000000000}"/>
  <bookViews>
    <workbookView xWindow="1620" yWindow="1440" windowWidth="23580" windowHeight="14310" tabRatio="921" xr2:uid="{00000000-000D-0000-FFFF-FFFF00000000}"/>
  </bookViews>
  <sheets>
    <sheet name="Cover" sheetId="33" r:id="rId1"/>
    <sheet name="Summary St of Ops" sheetId="1" r:id="rId2"/>
    <sheet name="Summary of Fin Position" sheetId="2" r:id="rId3"/>
    <sheet name="Sch 1 Cons Fisc Summ" sheetId="3" r:id="rId4"/>
    <sheet name="Sch 2 Balance Sheet" sheetId="4" r:id="rId5"/>
    <sheet name="Sch 3 St of Ops" sheetId="6" r:id="rId6"/>
    <sheet name="Sch 4 Revenue" sheetId="7" r:id="rId7"/>
    <sheet name="Sch 5 Oper Exp" sheetId="9" r:id="rId8"/>
    <sheet name="Sch 6 Cap Amort" sheetId="11" r:id="rId9"/>
    <sheet name="Sch 7 Inv Consump" sheetId="12" r:id="rId10"/>
    <sheet name="Sch 8 Inv Acquisition" sheetId="13" r:id="rId11"/>
    <sheet name="Sch 9 Debt Serv Costs" sheetId="8" r:id="rId12"/>
    <sheet name="Sch 10 Disaster" sheetId="10" r:id="rId13"/>
    <sheet name="Sch 11 Pension Liab" sheetId="21" r:id="rId14"/>
    <sheet name="Sch 12 Cash Adj" sheetId="22" r:id="rId15"/>
    <sheet name="Sch 13 Capital Plan" sheetId="14" r:id="rId16"/>
    <sheet name="Sch 14 Capital Grant" sheetId="15" r:id="rId17"/>
    <sheet name="Sch 15 Capital Invest" sheetId="16" r:id="rId18"/>
    <sheet name="Sch 16 Capital Assets" sheetId="32" r:id="rId19"/>
    <sheet name="Sch 17 Capital Funding Source" sheetId="17" r:id="rId20"/>
    <sheet name="Sch 18 Debt Maturities" sheetId="18" r:id="rId21"/>
    <sheet name="Sch 19 Borrowing Reqt" sheetId="19" r:id="rId22"/>
    <sheet name="Sch 20 Borrowing Sources" sheetId="20" r:id="rId23"/>
    <sheet name="Sch 21 Alloc Gaming Rev" sheetId="24" r:id="rId24"/>
    <sheet name="Sch 22 Changes to Fees" sheetId="27" r:id="rId25"/>
    <sheet name="Sch 23 FTEs" sheetId="23" r:id="rId26"/>
    <sheet name="Sch 24 Exp by Object" sheetId="26" r:id="rId27"/>
    <sheet name="Sch 25 Exp by Function" sheetId="25" r:id="rId28"/>
    <sheet name="Sch 26 Historical" sheetId="30" r:id="rId29"/>
    <sheet name="END" sheetId="28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_she1">#REF!</definedName>
    <definedName name="_housingandurbanaffairs" localSheetId="3">#REF!</definedName>
    <definedName name="_housingandurbanaffairs" localSheetId="19">#REF!</definedName>
    <definedName name="_housingandurbanaffairs" localSheetId="22">#REF!</definedName>
    <definedName name="_housingandurbanaffairs" localSheetId="2">#REF!</definedName>
    <definedName name="_housingandurbanaffairs" localSheetId="1">#REF!</definedName>
    <definedName name="_housingandurbanaffairs">#REF!</definedName>
    <definedName name="_new2" localSheetId="3">#REF!</definedName>
    <definedName name="_new2" localSheetId="19">#REF!</definedName>
    <definedName name="_new2" localSheetId="22">#REF!</definedName>
    <definedName name="_new2" localSheetId="2">#REF!</definedName>
    <definedName name="_new2" localSheetId="1">#REF!</definedName>
    <definedName name="_new2">#REF!</definedName>
    <definedName name="_Order1" hidden="1">255</definedName>
    <definedName name="_Order2" hidden="1">255</definedName>
    <definedName name="_she1" localSheetId="3">#REF!</definedName>
    <definedName name="_she1" localSheetId="19">#REF!</definedName>
    <definedName name="_she1" localSheetId="22">#REF!</definedName>
    <definedName name="_she1" localSheetId="2">#REF!</definedName>
    <definedName name="_she1" localSheetId="1">#REF!</definedName>
    <definedName name="_she1">#REF!</definedName>
    <definedName name="AFLASAF_REV" localSheetId="3">#REF!</definedName>
    <definedName name="AFLASAF_REV" localSheetId="19">#REF!</definedName>
    <definedName name="AFLASAF_REV" localSheetId="22">#REF!</definedName>
    <definedName name="AFLASAF_REV" localSheetId="2">#REF!</definedName>
    <definedName name="AFLASAF_REV" localSheetId="1">#REF!</definedName>
    <definedName name="AFLASAF_REV">#REF!</definedName>
    <definedName name="AFSC_REV" localSheetId="3">#REF!</definedName>
    <definedName name="AFSC_REV" localSheetId="19">#REF!</definedName>
    <definedName name="AFSC_REV" localSheetId="22">#REF!</definedName>
    <definedName name="AFSC_REV" localSheetId="2">#REF!</definedName>
    <definedName name="AFSC_REV" localSheetId="1">#REF!</definedName>
    <definedName name="AFSC_REV">#REF!</definedName>
    <definedName name="Amend" localSheetId="3">#REF!</definedName>
    <definedName name="Amend" localSheetId="19">#REF!</definedName>
    <definedName name="Amend" localSheetId="22">#REF!</definedName>
    <definedName name="Amend" localSheetId="1">#REF!</definedName>
    <definedName name="Amend">#REF!</definedName>
    <definedName name="AOC_REV" localSheetId="3">#REF!</definedName>
    <definedName name="AOC_REV" localSheetId="19">#REF!</definedName>
    <definedName name="AOC_REV" localSheetId="22">#REF!</definedName>
    <definedName name="AOC_REV" localSheetId="1">#REF!</definedName>
    <definedName name="AOC_REV">#REF!</definedName>
    <definedName name="ASD" localSheetId="3">#REF!</definedName>
    <definedName name="ASD" localSheetId="19">#REF!</definedName>
    <definedName name="ASD" localSheetId="22">#REF!</definedName>
    <definedName name="ASD" localSheetId="1">#REF!</definedName>
    <definedName name="ASD">#REF!</definedName>
    <definedName name="ASFF_REV" localSheetId="3">#REF!</definedName>
    <definedName name="ASFF_REV" localSheetId="19">#REF!</definedName>
    <definedName name="ASFF_REV" localSheetId="22">#REF!</definedName>
    <definedName name="ASFF_REV" localSheetId="1">#REF!</definedName>
    <definedName name="ASFF_REV">#REF!</definedName>
    <definedName name="Authority_Name" localSheetId="28">'[1]Jurisdiction List'!$A$1:$A$65536</definedName>
    <definedName name="Authority_Name">'[2]Jurisdiction List'!$A$1:$A$65536</definedName>
    <definedName name="backend1">[3]Backend!$A$1:$A$22</definedName>
    <definedName name="BLPH90" localSheetId="3" hidden="1">[4]Data!$A$3</definedName>
    <definedName name="BLPH90" localSheetId="13" hidden="1">[4]Data!$A$3</definedName>
    <definedName name="BLPH90" hidden="1">[4]Data!$A$3</definedName>
    <definedName name="BLPH91" localSheetId="3" hidden="1">[4]Data!$D$3</definedName>
    <definedName name="BLPH91" localSheetId="13" hidden="1">[4]Data!$D$3</definedName>
    <definedName name="BLPH91" hidden="1">[4]Data!$D$3</definedName>
    <definedName name="BLPH92" localSheetId="3" hidden="1">[4]Data!$G$3</definedName>
    <definedName name="BLPH92" localSheetId="13" hidden="1">[4]Data!$G$3</definedName>
    <definedName name="BLPH92" hidden="1">[4]Data!$G$3</definedName>
    <definedName name="BLPH93" localSheetId="3" hidden="1">[4]Data!$J$3</definedName>
    <definedName name="BLPH93" localSheetId="13" hidden="1">[4]Data!$J$3</definedName>
    <definedName name="BLPH93" hidden="1">[4]Data!$J$3</definedName>
    <definedName name="capcode" localSheetId="3">#REF!</definedName>
    <definedName name="capcode" localSheetId="19">#REF!</definedName>
    <definedName name="capcode" localSheetId="22">#REF!</definedName>
    <definedName name="capcode" localSheetId="2">#REF!</definedName>
    <definedName name="capcode" localSheetId="1">#REF!</definedName>
    <definedName name="capcode">#REF!</definedName>
    <definedName name="Capital_Investment_in_Government_Owned_Capital" localSheetId="3">#REF!</definedName>
    <definedName name="Capital_Investment_in_Government_Owned_Capital" localSheetId="19">#REF!</definedName>
    <definedName name="Capital_Investment_in_Government_Owned_Capital" localSheetId="22">#REF!</definedName>
    <definedName name="Capital_Investment_in_Government_Owned_Capital" localSheetId="2">#REF!</definedName>
    <definedName name="Capital_Investment_in_Government_Owned_Capital" localSheetId="1">#REF!</definedName>
    <definedName name="Capital_Investment_in_Government_Owned_Capital">#REF!</definedName>
    <definedName name="catcode" localSheetId="3">#REF!</definedName>
    <definedName name="catcode" localSheetId="19">#REF!</definedName>
    <definedName name="catcode" localSheetId="22">#REF!</definedName>
    <definedName name="catcode" localSheetId="2">#REF!</definedName>
    <definedName name="catcode" localSheetId="1">#REF!</definedName>
    <definedName name="catcode">#REF!</definedName>
    <definedName name="Category" localSheetId="3">#REF!</definedName>
    <definedName name="Category" localSheetId="19">#REF!</definedName>
    <definedName name="Category" localSheetId="22">#REF!</definedName>
    <definedName name="Category" localSheetId="1">#REF!</definedName>
    <definedName name="Category">#REF!</definedName>
    <definedName name="category0">'[5]Table R1 Inters Rev'!$C$224:$F$224</definedName>
    <definedName name="category1">'[6]Table R1 Dept VTD Rev'!$C$224:$F$224</definedName>
    <definedName name="category10" localSheetId="3">#REF!</definedName>
    <definedName name="category10" localSheetId="19">#REF!</definedName>
    <definedName name="category10" localSheetId="22">#REF!</definedName>
    <definedName name="category10" localSheetId="2">#REF!</definedName>
    <definedName name="category10" localSheetId="1">#REF!</definedName>
    <definedName name="category10">#REF!</definedName>
    <definedName name="category11" localSheetId="3">#REF!</definedName>
    <definedName name="category11" localSheetId="19">#REF!</definedName>
    <definedName name="category11" localSheetId="22">#REF!</definedName>
    <definedName name="category11" localSheetId="2">#REF!</definedName>
    <definedName name="category11" localSheetId="1">#REF!</definedName>
    <definedName name="category11">#REF!</definedName>
    <definedName name="category12" localSheetId="3">#REF!</definedName>
    <definedName name="category12" localSheetId="19">#REF!</definedName>
    <definedName name="category12" localSheetId="22">#REF!</definedName>
    <definedName name="category12" localSheetId="2">#REF!</definedName>
    <definedName name="category12" localSheetId="1">#REF!</definedName>
    <definedName name="category12">#REF!</definedName>
    <definedName name="category13" localSheetId="3">#REF!</definedName>
    <definedName name="category13" localSheetId="19">#REF!</definedName>
    <definedName name="category13" localSheetId="22">#REF!</definedName>
    <definedName name="category13" localSheetId="1">#REF!</definedName>
    <definedName name="category13">#REF!</definedName>
    <definedName name="category14" localSheetId="3">#REF!</definedName>
    <definedName name="category14" localSheetId="19">#REF!</definedName>
    <definedName name="category14" localSheetId="22">#REF!</definedName>
    <definedName name="category14" localSheetId="1">#REF!</definedName>
    <definedName name="category14">#REF!</definedName>
    <definedName name="category15" localSheetId="3">#REF!</definedName>
    <definedName name="category15" localSheetId="19">#REF!</definedName>
    <definedName name="category15" localSheetId="22">#REF!</definedName>
    <definedName name="category15" localSheetId="1">#REF!</definedName>
    <definedName name="category15">#REF!</definedName>
    <definedName name="category16" localSheetId="3">#REF!</definedName>
    <definedName name="category16" localSheetId="19">#REF!</definedName>
    <definedName name="category16" localSheetId="22">#REF!</definedName>
    <definedName name="category16" localSheetId="1">#REF!</definedName>
    <definedName name="category16">#REF!</definedName>
    <definedName name="category17" localSheetId="3">#REF!</definedName>
    <definedName name="category17" localSheetId="19">#REF!</definedName>
    <definedName name="category17" localSheetId="22">#REF!</definedName>
    <definedName name="category17" localSheetId="1">#REF!</definedName>
    <definedName name="category17">#REF!</definedName>
    <definedName name="category18" localSheetId="3">#REF!</definedName>
    <definedName name="category18" localSheetId="19">#REF!</definedName>
    <definedName name="category18" localSheetId="22">#REF!</definedName>
    <definedName name="category18" localSheetId="1">#REF!</definedName>
    <definedName name="category18">#REF!</definedName>
    <definedName name="category19" localSheetId="3">#REF!</definedName>
    <definedName name="category19" localSheetId="19">#REF!</definedName>
    <definedName name="category19" localSheetId="22">#REF!</definedName>
    <definedName name="category19" localSheetId="1">#REF!</definedName>
    <definedName name="category19">#REF!</definedName>
    <definedName name="category2">'[6]Table R2 Dept STAT Exp'!$C$224:$F$224</definedName>
    <definedName name="category20" localSheetId="3">#REF!</definedName>
    <definedName name="category20" localSheetId="19">#REF!</definedName>
    <definedName name="category20" localSheetId="22">#REF!</definedName>
    <definedName name="category20" localSheetId="2">#REF!</definedName>
    <definedName name="category20" localSheetId="1">#REF!</definedName>
    <definedName name="category20">#REF!</definedName>
    <definedName name="category21" localSheetId="3">#REF!</definedName>
    <definedName name="category21" localSheetId="19">#REF!</definedName>
    <definedName name="category21" localSheetId="22">#REF!</definedName>
    <definedName name="category21" localSheetId="2">#REF!</definedName>
    <definedName name="category21" localSheetId="1">#REF!</definedName>
    <definedName name="category21">#REF!</definedName>
    <definedName name="category3">'[6]Table R2 Dept VTD Exp'!$C$224:$F$224</definedName>
    <definedName name="category4">'[6]Table R3 Dept VTD CI'!$C$224:$F$224</definedName>
    <definedName name="category5" localSheetId="3">#REF!</definedName>
    <definedName name="category5" localSheetId="19">#REF!</definedName>
    <definedName name="category5" localSheetId="22">#REF!</definedName>
    <definedName name="category5" localSheetId="2">#REF!</definedName>
    <definedName name="category5" localSheetId="1">#REF!</definedName>
    <definedName name="category5">#REF!</definedName>
    <definedName name="category6" localSheetId="3">#REF!</definedName>
    <definedName name="category6" localSheetId="19">#REF!</definedName>
    <definedName name="category6" localSheetId="22">#REF!</definedName>
    <definedName name="category6" localSheetId="2">#REF!</definedName>
    <definedName name="category6" localSheetId="1">#REF!</definedName>
    <definedName name="category6">#REF!</definedName>
    <definedName name="category7" localSheetId="3">#REF!</definedName>
    <definedName name="category7" localSheetId="19">#REF!</definedName>
    <definedName name="category7" localSheetId="22">#REF!</definedName>
    <definedName name="category7" localSheetId="2">#REF!</definedName>
    <definedName name="category7" localSheetId="1">#REF!</definedName>
    <definedName name="category7">#REF!</definedName>
    <definedName name="category8" localSheetId="3">#REF!</definedName>
    <definedName name="category8" localSheetId="19">#REF!</definedName>
    <definedName name="category8" localSheetId="22">#REF!</definedName>
    <definedName name="category8" localSheetId="1">#REF!</definedName>
    <definedName name="category8">#REF!</definedName>
    <definedName name="category9" localSheetId="3">#REF!</definedName>
    <definedName name="category9" localSheetId="19">#REF!</definedName>
    <definedName name="category9" localSheetId="22">#REF!</definedName>
    <definedName name="category9" localSheetId="1">#REF!</definedName>
    <definedName name="category9">#REF!</definedName>
    <definedName name="ConstituencyName" localSheetId="3">[7]ExclZero!#REF!</definedName>
    <definedName name="ConstituencyName" localSheetId="19">[7]ExclZero!#REF!</definedName>
    <definedName name="ConstituencyName" localSheetId="22">[7]ExclZero!#REF!</definedName>
    <definedName name="ConstituencyName" localSheetId="1">[7]ExclZero!#REF!</definedName>
    <definedName name="ConstituencyName">[7]ExclZero!#REF!</definedName>
    <definedName name="DAIRY_REV" localSheetId="3">#REF!</definedName>
    <definedName name="DAIRY_REV" localSheetId="19">#REF!</definedName>
    <definedName name="DAIRY_REV" localSheetId="22">#REF!</definedName>
    <definedName name="DAIRY_REV" localSheetId="2">#REF!</definedName>
    <definedName name="DAIRY_REV" localSheetId="1">#REF!</definedName>
    <definedName name="DAIRY_REV">#REF!</definedName>
    <definedName name="DATE">[8]Cover!$A$15</definedName>
    <definedName name="DEPT_REV">'[9]A-2 dept'!$A$10:$H$16</definedName>
    <definedName name="Deptname" localSheetId="3">#REF!</definedName>
    <definedName name="Deptname" localSheetId="19">#REF!</definedName>
    <definedName name="Deptname" localSheetId="22">#REF!</definedName>
    <definedName name="Deptname" localSheetId="2">#REF!</definedName>
    <definedName name="Deptname" localSheetId="1">#REF!</definedName>
    <definedName name="Deptname">#REF!</definedName>
    <definedName name="EnvelopeName" localSheetId="3">#REF!</definedName>
    <definedName name="EnvelopeName" localSheetId="19">#REF!</definedName>
    <definedName name="EnvelopeName" localSheetId="22">#REF!</definedName>
    <definedName name="EnvelopeName" localSheetId="2">#REF!</definedName>
    <definedName name="EnvelopeName" localSheetId="1">#REF!</definedName>
    <definedName name="EnvelopeName">#REF!</definedName>
    <definedName name="EPC_REV" localSheetId="3">#REF!</definedName>
    <definedName name="EPC_REV" localSheetId="19">#REF!</definedName>
    <definedName name="EPC_REV" localSheetId="22">#REF!</definedName>
    <definedName name="EPC_REV" localSheetId="2">#REF!</definedName>
    <definedName name="EPC_REV" localSheetId="1">#REF!</definedName>
    <definedName name="EPC_REV">#REF!</definedName>
    <definedName name="EXP_INTER" localSheetId="3">#REF!</definedName>
    <definedName name="EXP_INTER" localSheetId="19">#REF!</definedName>
    <definedName name="EXP_INTER" localSheetId="22">#REF!</definedName>
    <definedName name="EXP_INTER" localSheetId="1">#REF!</definedName>
    <definedName name="EXP_INTER">#REF!</definedName>
    <definedName name="expcode" localSheetId="3">#REF!</definedName>
    <definedName name="expcode" localSheetId="19">#REF!</definedName>
    <definedName name="expcode" localSheetId="22">#REF!</definedName>
    <definedName name="expcode" localSheetId="1">#REF!</definedName>
    <definedName name="expcode">#REF!</definedName>
    <definedName name="fdex_56a" localSheetId="3">#REF!</definedName>
    <definedName name="fdex_56a" localSheetId="19">#REF!</definedName>
    <definedName name="fdex_56a" localSheetId="22">#REF!</definedName>
    <definedName name="fdex_56a" localSheetId="1">#REF!</definedName>
    <definedName name="fdex_56a">#REF!</definedName>
    <definedName name="fdex_67b" localSheetId="3">#REF!</definedName>
    <definedName name="fdex_67b" localSheetId="19">#REF!</definedName>
    <definedName name="fdex_67b" localSheetId="22">#REF!</definedName>
    <definedName name="fdex_67b" localSheetId="1">#REF!</definedName>
    <definedName name="fdex_67b">#REF!</definedName>
    <definedName name="fdex_67f" localSheetId="3">#REF!</definedName>
    <definedName name="fdex_67f" localSheetId="19">#REF!</definedName>
    <definedName name="fdex_67f" localSheetId="22">#REF!</definedName>
    <definedName name="fdex_67f" localSheetId="1">#REF!</definedName>
    <definedName name="fdex_67f">#REF!</definedName>
    <definedName name="fdex_68f" localSheetId="3">#REF!</definedName>
    <definedName name="fdex_68f" localSheetId="19">#REF!</definedName>
    <definedName name="fdex_68f" localSheetId="22">#REF!</definedName>
    <definedName name="fdex_68f" localSheetId="1">#REF!</definedName>
    <definedName name="fdex_68f">#REF!</definedName>
    <definedName name="fdex_78" localSheetId="3">#REF!</definedName>
    <definedName name="fdex_78" localSheetId="19">#REF!</definedName>
    <definedName name="fdex_78" localSheetId="22">#REF!</definedName>
    <definedName name="fdex_78" localSheetId="1">#REF!</definedName>
    <definedName name="fdex_78">#REF!</definedName>
    <definedName name="FifthYCapital" localSheetId="3">#REF!</definedName>
    <definedName name="FifthYCapital" localSheetId="19">#REF!</definedName>
    <definedName name="FifthYCapital" localSheetId="22">#REF!</definedName>
    <definedName name="FifthYCapital" localSheetId="1">#REF!</definedName>
    <definedName name="FifthYCapital">#REF!</definedName>
    <definedName name="FifthYIncrease" localSheetId="3">#REF!</definedName>
    <definedName name="FifthYIncrease" localSheetId="19">#REF!</definedName>
    <definedName name="FifthYIncrease" localSheetId="22">#REF!</definedName>
    <definedName name="FifthYIncrease" localSheetId="1">#REF!</definedName>
    <definedName name="FifthYIncrease">#REF!</definedName>
    <definedName name="FifthYTotal" localSheetId="3">#REF!</definedName>
    <definedName name="FifthYTotal" localSheetId="19">#REF!</definedName>
    <definedName name="FifthYTotal" localSheetId="22">#REF!</definedName>
    <definedName name="FifthYTotal" localSheetId="1">#REF!</definedName>
    <definedName name="FifthYTotal">#REF!</definedName>
    <definedName name="Fin_Summary" localSheetId="3">#REF!</definedName>
    <definedName name="Fin_Summary" localSheetId="19">#REF!</definedName>
    <definedName name="Fin_Summary" localSheetId="22">#REF!</definedName>
    <definedName name="Fin_Summary" localSheetId="1">#REF!</definedName>
    <definedName name="Fin_Summary">#REF!</definedName>
    <definedName name="Financing_Summary" localSheetId="3">#REF!</definedName>
    <definedName name="Financing_Summary" localSheetId="19">#REF!</definedName>
    <definedName name="Financing_Summary" localSheetId="22">#REF!</definedName>
    <definedName name="Financing_Summary" localSheetId="1">#REF!</definedName>
    <definedName name="Financing_Summary">#REF!</definedName>
    <definedName name="FirstYCapital" localSheetId="3">#REF!</definedName>
    <definedName name="FirstYCapital" localSheetId="19">#REF!</definedName>
    <definedName name="FirstYCapital" localSheetId="22">#REF!</definedName>
    <definedName name="FirstYCapital" localSheetId="1">#REF!</definedName>
    <definedName name="FirstYCapital">#REF!</definedName>
    <definedName name="FirstYIncrease" localSheetId="3">#REF!</definedName>
    <definedName name="FirstYIncrease" localSheetId="19">#REF!</definedName>
    <definedName name="FirstYIncrease" localSheetId="22">#REF!</definedName>
    <definedName name="FirstYIncrease" localSheetId="1">#REF!</definedName>
    <definedName name="FirstYIncrease">#REF!</definedName>
    <definedName name="FirstYTotal" localSheetId="3">#REF!</definedName>
    <definedName name="FirstYTotal" localSheetId="19">#REF!</definedName>
    <definedName name="FirstYTotal" localSheetId="22">#REF!</definedName>
    <definedName name="FirstYTotal" localSheetId="1">#REF!</definedName>
    <definedName name="FirstYTotal">#REF!</definedName>
    <definedName name="FourthYCapital" localSheetId="3">#REF!</definedName>
    <definedName name="FourthYCapital" localSheetId="19">#REF!</definedName>
    <definedName name="FourthYCapital" localSheetId="22">#REF!</definedName>
    <definedName name="FourthYCapital" localSheetId="1">#REF!</definedName>
    <definedName name="FourthYCapital">#REF!</definedName>
    <definedName name="FourthYIncrease" localSheetId="3">#REF!</definedName>
    <definedName name="FourthYIncrease" localSheetId="19">#REF!</definedName>
    <definedName name="FourthYIncrease" localSheetId="22">#REF!</definedName>
    <definedName name="FourthYIncrease" localSheetId="1">#REF!</definedName>
    <definedName name="FourthYIncrease">#REF!</definedName>
    <definedName name="FourthYTotal" localSheetId="3">#REF!</definedName>
    <definedName name="FourthYTotal" localSheetId="19">#REF!</definedName>
    <definedName name="FourthYTotal" localSheetId="22">#REF!</definedName>
    <definedName name="FourthYTotal" localSheetId="1">#REF!</definedName>
    <definedName name="FourthYTotal">#REF!</definedName>
    <definedName name="Function">[10]Lists!$C$5:$C$28</definedName>
    <definedName name="GAMGLI" localSheetId="3">#REF!</definedName>
    <definedName name="GAMGLI" localSheetId="19">#REF!</definedName>
    <definedName name="GAMGLI" localSheetId="22">#REF!</definedName>
    <definedName name="GAMGLI" localSheetId="2">#REF!</definedName>
    <definedName name="GAMGLI" localSheetId="1">#REF!</definedName>
    <definedName name="GAMGLI">#REF!</definedName>
    <definedName name="Grants_for_Capital_Purposes_and_Other_Infrastructure_Support" localSheetId="3">#REF!</definedName>
    <definedName name="Grants_for_Capital_Purposes_and_Other_Infrastructure_Support" localSheetId="19">#REF!</definedName>
    <definedName name="Grants_for_Capital_Purposes_and_Other_Infrastructure_Support" localSheetId="22">#REF!</definedName>
    <definedName name="Grants_for_Capital_Purposes_and_Other_Infrastructure_Support" localSheetId="2">#REF!</definedName>
    <definedName name="Grants_for_Capital_Purposes_and_Other_Infrastructure_Support" localSheetId="1">#REF!</definedName>
    <definedName name="Grants_for_Capital_Purposes_and_Other_Infrastructure_Support">#REF!</definedName>
    <definedName name="housing" localSheetId="3">#REF!</definedName>
    <definedName name="housing" localSheetId="19">#REF!</definedName>
    <definedName name="housing" localSheetId="22">#REF!</definedName>
    <definedName name="housing" localSheetId="2">#REF!</definedName>
    <definedName name="housing" localSheetId="1">#REF!</definedName>
    <definedName name="housing">#REF!</definedName>
    <definedName name="IFN" localSheetId="3">#REF!</definedName>
    <definedName name="IFN" localSheetId="19">#REF!</definedName>
    <definedName name="IFN" localSheetId="22">#REF!</definedName>
    <definedName name="IFN" localSheetId="1">#REF!</definedName>
    <definedName name="IFN">#REF!</definedName>
    <definedName name="Incr3Y" localSheetId="3">#REF!</definedName>
    <definedName name="Incr3Y" localSheetId="19">#REF!</definedName>
    <definedName name="Incr3Y" localSheetId="22">#REF!</definedName>
    <definedName name="Incr3Y" localSheetId="1">#REF!</definedName>
    <definedName name="Incr3Y">#REF!</definedName>
    <definedName name="InvCat">'[11]Invest cat'!$B$2:$B$18</definedName>
    <definedName name="ITA_REV">'[9]A-2-intra'!$A$10:$H$24</definedName>
    <definedName name="ITR_REV" localSheetId="3">#REF!</definedName>
    <definedName name="ITR_REV" localSheetId="19">#REF!</definedName>
    <definedName name="ITR_REV" localSheetId="22">#REF!</definedName>
    <definedName name="ITR_REV" localSheetId="2">#REF!</definedName>
    <definedName name="ITR_REV" localSheetId="1">#REF!</definedName>
    <definedName name="ITR_REV">#REF!</definedName>
    <definedName name="Location" localSheetId="3">#REF!</definedName>
    <definedName name="Location" localSheetId="19">#REF!</definedName>
    <definedName name="Location" localSheetId="22">#REF!</definedName>
    <definedName name="Location" localSheetId="2">#REF!</definedName>
    <definedName name="Location" localSheetId="1">#REF!</definedName>
    <definedName name="Location">#REF!</definedName>
    <definedName name="LYN" localSheetId="3">#REF!</definedName>
    <definedName name="LYN" localSheetId="19">#REF!</definedName>
    <definedName name="LYN" localSheetId="22">#REF!</definedName>
    <definedName name="LYN" localSheetId="2">#REF!</definedName>
    <definedName name="LYN" localSheetId="1">#REF!</definedName>
    <definedName name="LYN">#REF!</definedName>
    <definedName name="Ministry">[10]Lists!$A$5:$A$25</definedName>
    <definedName name="mm" localSheetId="3">#REF!</definedName>
    <definedName name="mm" localSheetId="19">#REF!</definedName>
    <definedName name="mm" localSheetId="22">#REF!</definedName>
    <definedName name="mm" localSheetId="2">#REF!</definedName>
    <definedName name="mm" localSheetId="1">#REF!</definedName>
    <definedName name="mm">#REF!</definedName>
    <definedName name="mmmm" localSheetId="3">#REF!</definedName>
    <definedName name="mmmm" localSheetId="19">#REF!</definedName>
    <definedName name="mmmm" localSheetId="22">#REF!</definedName>
    <definedName name="mmmm" localSheetId="2">#REF!</definedName>
    <definedName name="mmmm" localSheetId="1">#REF!</definedName>
    <definedName name="mmmm">#REF!</definedName>
    <definedName name="mmmmm" localSheetId="3">#REF!</definedName>
    <definedName name="mmmmm" localSheetId="19">#REF!</definedName>
    <definedName name="mmmmm" localSheetId="22">#REF!</definedName>
    <definedName name="mmmmm" localSheetId="2">#REF!</definedName>
    <definedName name="mmmmm" localSheetId="1">#REF!</definedName>
    <definedName name="mmmmm">#REF!</definedName>
    <definedName name="new" localSheetId="3">#REF!</definedName>
    <definedName name="new" localSheetId="19">#REF!</definedName>
    <definedName name="new" localSheetId="22">#REF!</definedName>
    <definedName name="new" localSheetId="1">#REF!</definedName>
    <definedName name="new">#REF!</definedName>
    <definedName name="NvsASD">"V2010-03-31"</definedName>
    <definedName name="NvsAutoDrillOk">"VN"</definedName>
    <definedName name="NvsElapsedTime">0.0000231481462833472</definedName>
    <definedName name="NvsEndTime">40282.4011458333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"V169"</definedName>
    <definedName name="NvsPanelEffdt">"V2009-10-13"</definedName>
    <definedName name="NvsPanelSetid">"V169"</definedName>
    <definedName name="NvsReqBU">"V169"</definedName>
    <definedName name="NvsReqBUOnly">"VY"</definedName>
    <definedName name="NvsTransLed">"VN"</definedName>
    <definedName name="NvsTreeASD">"V2010-03-31"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vsValTbl.SCENARIO">"BD_SCENARIO_TBL"</definedName>
    <definedName name="o" hidden="1">[4]Data!$J$3</definedName>
    <definedName name="OPR" localSheetId="3">#REF!</definedName>
    <definedName name="OPR" localSheetId="19">#REF!</definedName>
    <definedName name="OPR" localSheetId="22">#REF!</definedName>
    <definedName name="OPR" localSheetId="2">#REF!</definedName>
    <definedName name="OPR" localSheetId="1">#REF!</definedName>
    <definedName name="OPR">#REF!</definedName>
    <definedName name="OtherFund" localSheetId="3">#REF!</definedName>
    <definedName name="OtherFund" localSheetId="19">#REF!</definedName>
    <definedName name="OtherFund" localSheetId="22">#REF!</definedName>
    <definedName name="OtherFund" localSheetId="2">#REF!</definedName>
    <definedName name="OtherFund" localSheetId="1">#REF!</definedName>
    <definedName name="OtherFund">#REF!</definedName>
    <definedName name="PivotTable" localSheetId="3">#REF!</definedName>
    <definedName name="PivotTable" localSheetId="19">#REF!</definedName>
    <definedName name="PivotTable" localSheetId="22">#REF!</definedName>
    <definedName name="PivotTable" localSheetId="2">#REF!</definedName>
    <definedName name="PivotTable" localSheetId="1">#REF!</definedName>
    <definedName name="PivotTable">#REF!</definedName>
    <definedName name="_xlnm.Print_Area" localSheetId="3">'Sch 1 Cons Fisc Summ'!$A$1:$H$61</definedName>
    <definedName name="_xlnm.Print_Area" localSheetId="12">'Sch 10 Disaster'!$A$1:$G$11</definedName>
    <definedName name="_xlnm.Print_Area" localSheetId="13">'Sch 11 Pension Liab'!$A$1:$F$15</definedName>
    <definedName name="_xlnm.Print_Area" localSheetId="14">'Sch 12 Cash Adj'!$A$1:$G$41</definedName>
    <definedName name="_xlnm.Print_Area" localSheetId="15">'Sch 13 Capital Plan'!$A$1:$G$30</definedName>
    <definedName name="_xlnm.Print_Area" localSheetId="16">'Sch 14 Capital Grant'!$A$1:$G$25</definedName>
    <definedName name="_xlnm.Print_Area" localSheetId="17">'Sch 15 Capital Invest'!$A$1:$G$29</definedName>
    <definedName name="_xlnm.Print_Area" localSheetId="18">'Sch 16 Capital Assets'!$A$1:$F$19</definedName>
    <definedName name="_xlnm.Print_Area" localSheetId="19">'Sch 17 Capital Funding Source'!$A$1:$G$19</definedName>
    <definedName name="_xlnm.Print_Area" localSheetId="20">'Sch 18 Debt Maturities'!$A$1:$G$8</definedName>
    <definedName name="_xlnm.Print_Area" localSheetId="21">'Sch 19 Borrowing Reqt'!$A$1:$G$10</definedName>
    <definedName name="_xlnm.Print_Area" localSheetId="22">'Sch 20 Borrowing Sources'!$A$1:$G$8</definedName>
    <definedName name="_xlnm.Print_Area" localSheetId="23">'Sch 21 Alloc Gaming Rev'!$A$1:$E$30</definedName>
    <definedName name="_xlnm.Print_Area" localSheetId="24">'Sch 22 Changes to Fees'!$A$1:$C$15</definedName>
    <definedName name="_xlnm.Print_Area" localSheetId="25">'Sch 23 FTEs'!$A$1:$D$60</definedName>
    <definedName name="_xlnm.Print_Area" localSheetId="26">'Sch 24 Exp by Object'!$A$1:$K$45</definedName>
    <definedName name="_xlnm.Print_Area" localSheetId="27">'Sch 25 Exp by Function'!$A$1:$N$42</definedName>
    <definedName name="_xlnm.Print_Area" localSheetId="28">'Sch 26 Historical'!$A$1:$U$48</definedName>
    <definedName name="_xlnm.Print_Area" localSheetId="5">'Sch 3 St of Ops'!$A$1:$G$56</definedName>
    <definedName name="_xlnm.Print_Area" localSheetId="6">'Sch 4 Revenue'!$A$1:$G$67</definedName>
    <definedName name="_xlnm.Print_Area" localSheetId="7">'Sch 5 Oper Exp'!$A$1:$G$33</definedName>
    <definedName name="_xlnm.Print_Area" localSheetId="8">'Sch 6 Cap Amort'!$A$1:$G$28</definedName>
    <definedName name="_xlnm.Print_Area" localSheetId="9">'Sch 7 Inv Consump'!$A$1:$G$15</definedName>
    <definedName name="_xlnm.Print_Area" localSheetId="10">'Sch 8 Inv Acquisition'!$A$1:$G$14</definedName>
    <definedName name="_xlnm.Print_Area" localSheetId="11">'Sch 9 Debt Serv Costs'!$A$1:$G$25</definedName>
    <definedName name="_xlnm.Print_Area" localSheetId="2">'Summary of Fin Position'!$A$1:$F$25</definedName>
    <definedName name="_xlnm.Print_Area" localSheetId="1">'Summary St of Ops'!$A$1:$G$28</definedName>
    <definedName name="ProjectName" localSheetId="3">#REF!</definedName>
    <definedName name="ProjectName" localSheetId="19">#REF!</definedName>
    <definedName name="ProjectName" localSheetId="22">#REF!</definedName>
    <definedName name="ProjectName" localSheetId="2">#REF!</definedName>
    <definedName name="ProjectName" localSheetId="1">#REF!</definedName>
    <definedName name="ProjectName">#REF!</definedName>
    <definedName name="ProjectNum" localSheetId="3">#REF!</definedName>
    <definedName name="ProjectNum" localSheetId="19">#REF!</definedName>
    <definedName name="ProjectNum" localSheetId="22">#REF!</definedName>
    <definedName name="ProjectNum" localSheetId="2">#REF!</definedName>
    <definedName name="ProjectNum" localSheetId="1">#REF!</definedName>
    <definedName name="ProjectNum">#REF!</definedName>
    <definedName name="ProjectStatus" localSheetId="3">#REF!</definedName>
    <definedName name="ProjectStatus" localSheetId="19">#REF!</definedName>
    <definedName name="ProjectStatus" localSheetId="22">#REF!</definedName>
    <definedName name="ProjectStatus" localSheetId="2">#REF!</definedName>
    <definedName name="ProjectStatus" localSheetId="1">#REF!</definedName>
    <definedName name="ProjectStatus">#REF!</definedName>
    <definedName name="RBN" localSheetId="3">#REF!</definedName>
    <definedName name="RBN" localSheetId="19">#REF!</definedName>
    <definedName name="RBN" localSheetId="22">#REF!</definedName>
    <definedName name="RBN" localSheetId="1">#REF!</definedName>
    <definedName name="RBN">#REF!</definedName>
    <definedName name="Rec" localSheetId="3">#REF!</definedName>
    <definedName name="Rec" localSheetId="19">#REF!</definedName>
    <definedName name="Rec" localSheetId="22">#REF!</definedName>
    <definedName name="Rec" localSheetId="1">#REF!</definedName>
    <definedName name="Rec">#REF!</definedName>
    <definedName name="recon" localSheetId="3">#REF!</definedName>
    <definedName name="recon" localSheetId="19">#REF!</definedName>
    <definedName name="recon" localSheetId="22">#REF!</definedName>
    <definedName name="recon" localSheetId="1">#REF!</definedName>
    <definedName name="recon">#REF!</definedName>
    <definedName name="ReconE" localSheetId="3">#REF!</definedName>
    <definedName name="ReconE" localSheetId="19">#REF!</definedName>
    <definedName name="ReconE" localSheetId="22">#REF!</definedName>
    <definedName name="ReconE" localSheetId="1">#REF!</definedName>
    <definedName name="ReconE">#REF!</definedName>
    <definedName name="ReconO" localSheetId="3">#REF!</definedName>
    <definedName name="ReconO" localSheetId="19">#REF!</definedName>
    <definedName name="ReconO" localSheetId="22">#REF!</definedName>
    <definedName name="ReconO" localSheetId="1">#REF!</definedName>
    <definedName name="ReconO">#REF!</definedName>
    <definedName name="ReconR" localSheetId="3">#REF!</definedName>
    <definedName name="ReconR" localSheetId="19">#REF!</definedName>
    <definedName name="ReconR" localSheetId="22">#REF!</definedName>
    <definedName name="ReconR" localSheetId="1">#REF!</definedName>
    <definedName name="ReconR">#REF!</definedName>
    <definedName name="REINS_REV" localSheetId="3">#REF!</definedName>
    <definedName name="REINS_REV" localSheetId="19">#REF!</definedName>
    <definedName name="REINS_REV" localSheetId="22">#REF!</definedName>
    <definedName name="REINS_REV" localSheetId="1">#REF!</definedName>
    <definedName name="REINS_REV">#REF!</definedName>
    <definedName name="RESRCH_REV" localSheetId="3">#REF!</definedName>
    <definedName name="RESRCH_REV" localSheetId="19">#REF!</definedName>
    <definedName name="RESRCH_REV" localSheetId="22">#REF!</definedName>
    <definedName name="RESRCH_REV" localSheetId="1">#REF!</definedName>
    <definedName name="RESRCH_REV">#REF!</definedName>
    <definedName name="REV_INTER" localSheetId="3">#REF!</definedName>
    <definedName name="REV_INTER" localSheetId="19">#REF!</definedName>
    <definedName name="REV_INTER" localSheetId="22">#REF!</definedName>
    <definedName name="REV_INTER" localSheetId="1">#REF!</definedName>
    <definedName name="REV_INTER">#REF!</definedName>
    <definedName name="revcode" localSheetId="3">#REF!</definedName>
    <definedName name="revcode" localSheetId="19">#REF!</definedName>
    <definedName name="revcode" localSheetId="22">#REF!</definedName>
    <definedName name="revcode" localSheetId="1">#REF!</definedName>
    <definedName name="revcode">#REF!</definedName>
    <definedName name="REVFD_REV" localSheetId="3">#REF!</definedName>
    <definedName name="REVFD_REV" localSheetId="19">#REF!</definedName>
    <definedName name="REVFD_REV" localSheetId="22">#REF!</definedName>
    <definedName name="REVFD_REV" localSheetId="1">#REF!</definedName>
    <definedName name="REVFD_REV">#REF!</definedName>
    <definedName name="RID" localSheetId="3">#REF!</definedName>
    <definedName name="RID" localSheetId="19">#REF!</definedName>
    <definedName name="RID" localSheetId="22">#REF!</definedName>
    <definedName name="RID" localSheetId="1">#REF!</definedName>
    <definedName name="RID">#REF!</definedName>
    <definedName name="rr" localSheetId="3">#REF!</definedName>
    <definedName name="rr" localSheetId="19">#REF!</definedName>
    <definedName name="rr" localSheetId="22">#REF!</definedName>
    <definedName name="rr" localSheetId="1">#REF!</definedName>
    <definedName name="rr">#REF!</definedName>
    <definedName name="RTT" localSheetId="3">#REF!</definedName>
    <definedName name="RTT" localSheetId="19">#REF!</definedName>
    <definedName name="RTT" localSheetId="22">#REF!</definedName>
    <definedName name="RTT" localSheetId="1">#REF!</definedName>
    <definedName name="RTT">#REF!</definedName>
    <definedName name="SCN" localSheetId="3">#REF!</definedName>
    <definedName name="SCN" localSheetId="19">#REF!</definedName>
    <definedName name="SCN" localSheetId="22">#REF!</definedName>
    <definedName name="SCN" localSheetId="1">#REF!</definedName>
    <definedName name="SCN">#REF!</definedName>
    <definedName name="Sec" localSheetId="3">#REF!</definedName>
    <definedName name="Sec" localSheetId="19">#REF!</definedName>
    <definedName name="Sec" localSheetId="22">#REF!</definedName>
    <definedName name="Sec" localSheetId="1">#REF!</definedName>
    <definedName name="Sec">#REF!</definedName>
    <definedName name="SecondYCapital" localSheetId="3">#REF!</definedName>
    <definedName name="SecondYCapital" localSheetId="19">#REF!</definedName>
    <definedName name="SecondYCapital" localSheetId="22">#REF!</definedName>
    <definedName name="SecondYCapital" localSheetId="1">#REF!</definedName>
    <definedName name="SecondYCapital">#REF!</definedName>
    <definedName name="SecondYIncrease" localSheetId="3">#REF!</definedName>
    <definedName name="SecondYIncrease" localSheetId="19">#REF!</definedName>
    <definedName name="SecondYIncrease" localSheetId="22">#REF!</definedName>
    <definedName name="SecondYIncrease" localSheetId="1">#REF!</definedName>
    <definedName name="SecondYIncrease">#REF!</definedName>
    <definedName name="SecondYTotal" localSheetId="3">#REF!</definedName>
    <definedName name="SecondYTotal" localSheetId="19">#REF!</definedName>
    <definedName name="SecondYTotal" localSheetId="22">#REF!</definedName>
    <definedName name="SecondYTotal" localSheetId="1">#REF!</definedName>
    <definedName name="SecondYTotal">#REF!</definedName>
    <definedName name="Sheet1" localSheetId="3">#REF!</definedName>
    <definedName name="Sheet1" localSheetId="19">#REF!</definedName>
    <definedName name="Sheet1" localSheetId="22">#REF!</definedName>
    <definedName name="Sheet1" localSheetId="1">#REF!</definedName>
    <definedName name="Sheet1">#REF!</definedName>
    <definedName name="TenYr" localSheetId="3">#REF!</definedName>
    <definedName name="TenYr" localSheetId="19">#REF!</definedName>
    <definedName name="TenYr" localSheetId="22">#REF!</definedName>
    <definedName name="TenYr" localSheetId="1">#REF!</definedName>
    <definedName name="TenYr">#REF!</definedName>
    <definedName name="Th" localSheetId="3">#REF!</definedName>
    <definedName name="Th" localSheetId="19">#REF!</definedName>
    <definedName name="Th" localSheetId="22">#REF!</definedName>
    <definedName name="Th" localSheetId="1">#REF!</definedName>
    <definedName name="Th">#REF!</definedName>
    <definedName name="thir" localSheetId="3">#REF!</definedName>
    <definedName name="thir" localSheetId="19">#REF!</definedName>
    <definedName name="thir" localSheetId="22">#REF!</definedName>
    <definedName name="thir" localSheetId="1">#REF!</definedName>
    <definedName name="thir">#REF!</definedName>
    <definedName name="third" localSheetId="3">#REF!</definedName>
    <definedName name="third" localSheetId="19">#REF!</definedName>
    <definedName name="third" localSheetId="22">#REF!</definedName>
    <definedName name="third" localSheetId="1">#REF!</definedName>
    <definedName name="third">#REF!</definedName>
    <definedName name="ThirdYCapital" localSheetId="3">#REF!</definedName>
    <definedName name="ThirdYCapital" localSheetId="19">#REF!</definedName>
    <definedName name="ThirdYCapital" localSheetId="22">#REF!</definedName>
    <definedName name="ThirdYCapital" localSheetId="1">#REF!</definedName>
    <definedName name="ThirdYCapital">#REF!</definedName>
    <definedName name="ThirdYIncrease" localSheetId="3">#REF!</definedName>
    <definedName name="ThirdYIncrease" localSheetId="19">#REF!</definedName>
    <definedName name="ThirdYIncrease" localSheetId="22">#REF!</definedName>
    <definedName name="ThirdYIncrease" localSheetId="1">#REF!</definedName>
    <definedName name="ThirdYIncrease">#REF!</definedName>
    <definedName name="ThirdYTotal" localSheetId="3">#REF!</definedName>
    <definedName name="ThirdYTotal" localSheetId="19">#REF!</definedName>
    <definedName name="ThirdYTotal" localSheetId="22">#REF!</definedName>
    <definedName name="ThirdYTotal" localSheetId="1">#REF!</definedName>
    <definedName name="ThirdYTotal">#REF!</definedName>
    <definedName name="title_be">[12]TITLING!$B$1</definedName>
    <definedName name="title_ca">[12]TITLING!$B$3</definedName>
    <definedName name="title_cfb">[12]TITLING!$B$2</definedName>
    <definedName name="Total" localSheetId="3">#REF!</definedName>
    <definedName name="Total" localSheetId="19">#REF!</definedName>
    <definedName name="Total" localSheetId="22">#REF!</definedName>
    <definedName name="Total" localSheetId="2">#REF!</definedName>
    <definedName name="Total" localSheetId="1">#REF!</definedName>
    <definedName name="Total">#REF!</definedName>
    <definedName name="Total10YCapital" localSheetId="3">#REF!</definedName>
    <definedName name="Total10YCapital" localSheetId="19">#REF!</definedName>
    <definedName name="Total10YCapital" localSheetId="22">#REF!</definedName>
    <definedName name="Total10YCapital" localSheetId="2">#REF!</definedName>
    <definedName name="Total10YCapital" localSheetId="1">#REF!</definedName>
    <definedName name="Total10YCapital">#REF!</definedName>
    <definedName name="Total10YIncrease" localSheetId="3">#REF!</definedName>
    <definedName name="Total10YIncrease" localSheetId="19">#REF!</definedName>
    <definedName name="Total10YIncrease" localSheetId="22">#REF!</definedName>
    <definedName name="Total10YIncrease" localSheetId="2">#REF!</definedName>
    <definedName name="Total10YIncrease" localSheetId="1">#REF!</definedName>
    <definedName name="Total10YIncrease">#REF!</definedName>
    <definedName name="Total10YTotal" localSheetId="3">#REF!</definedName>
    <definedName name="Total10YTotal" localSheetId="19">#REF!</definedName>
    <definedName name="Total10YTotal" localSheetId="22">#REF!</definedName>
    <definedName name="Total10YTotal" localSheetId="1">#REF!</definedName>
    <definedName name="Total10YTotal">#REF!</definedName>
    <definedName name="Total3Y" localSheetId="3">#REF!</definedName>
    <definedName name="Total3Y" localSheetId="19">#REF!</definedName>
    <definedName name="Total3Y" localSheetId="22">#REF!</definedName>
    <definedName name="Total3Y" localSheetId="1">#REF!</definedName>
    <definedName name="Total3Y">#REF!</definedName>
    <definedName name="Total3YCapital" localSheetId="3">#REF!</definedName>
    <definedName name="Total3YCapital" localSheetId="19">#REF!</definedName>
    <definedName name="Total3YCapital" localSheetId="22">#REF!</definedName>
    <definedName name="Total3YCapital" localSheetId="1">#REF!</definedName>
    <definedName name="Total3YCapital">#REF!</definedName>
    <definedName name="Total3YIncrease" localSheetId="3">#REF!</definedName>
    <definedName name="Total3YIncrease" localSheetId="19">#REF!</definedName>
    <definedName name="Total3YIncrease" localSheetId="22">#REF!</definedName>
    <definedName name="Total3YIncrease" localSheetId="1">#REF!</definedName>
    <definedName name="Total3YIncrease">#REF!</definedName>
    <definedName name="Total3Yr" localSheetId="3">#REF!</definedName>
    <definedName name="Total3Yr" localSheetId="19">#REF!</definedName>
    <definedName name="Total3Yr" localSheetId="22">#REF!</definedName>
    <definedName name="Total3Yr" localSheetId="1">#REF!</definedName>
    <definedName name="Total3Yr">#REF!</definedName>
    <definedName name="Total3YTotal" localSheetId="3">#REF!</definedName>
    <definedName name="Total3YTotal" localSheetId="19">#REF!</definedName>
    <definedName name="Total3YTotal" localSheetId="22">#REF!</definedName>
    <definedName name="Total3YTotal" localSheetId="1">#REF!</definedName>
    <definedName name="Total3YTotal">#REF!</definedName>
    <definedName name="Total5YCapital" localSheetId="3">#REF!</definedName>
    <definedName name="Total5YCapital" localSheetId="19">#REF!</definedName>
    <definedName name="Total5YCapital" localSheetId="22">#REF!</definedName>
    <definedName name="Total5YCapital" localSheetId="1">#REF!</definedName>
    <definedName name="Total5YCapital">#REF!</definedName>
    <definedName name="Total5YIncrease" localSheetId="3">#REF!</definedName>
    <definedName name="Total5YIncrease" localSheetId="19">#REF!</definedName>
    <definedName name="Total5YIncrease" localSheetId="22">#REF!</definedName>
    <definedName name="Total5YIncrease" localSheetId="1">#REF!</definedName>
    <definedName name="Total5YIncrease">#REF!</definedName>
    <definedName name="Total5YTotal" localSheetId="3">#REF!</definedName>
    <definedName name="Total5YTotal" localSheetId="19">#REF!</definedName>
    <definedName name="Total5YTotal" localSheetId="22">#REF!</definedName>
    <definedName name="Total5YTotal" localSheetId="1">#REF!</definedName>
    <definedName name="Total5YTotal">#REF!</definedName>
    <definedName name="TotalIn" localSheetId="3">#REF!</definedName>
    <definedName name="TotalIn" localSheetId="19">#REF!</definedName>
    <definedName name="TotalIn" localSheetId="22">#REF!</definedName>
    <definedName name="TotalIn" localSheetId="1">#REF!</definedName>
    <definedName name="TotalIn">#REF!</definedName>
    <definedName name="TPC" localSheetId="3">#REF!</definedName>
    <definedName name="TPC" localSheetId="19">#REF!</definedName>
    <definedName name="TPC" localSheetId="22">#REF!</definedName>
    <definedName name="TPC" localSheetId="1">#REF!</definedName>
    <definedName name="TPC">#REF!</definedName>
    <definedName name="TPS" localSheetId="3">#REF!</definedName>
    <definedName name="TPS" localSheetId="19">#REF!</definedName>
    <definedName name="TPS" localSheetId="22">#REF!</definedName>
    <definedName name="TPS" localSheetId="1">#REF!</definedName>
    <definedName name="TPS">#REF!</definedName>
    <definedName name="Type">[10]Lists!$B$5:$B$6</definedName>
    <definedName name="Units_not_covered_by_MO" localSheetId="3">#REF!</definedName>
    <definedName name="Units_not_covered_by_MO" localSheetId="19">#REF!</definedName>
    <definedName name="Units_not_covered_by_MO" localSheetId="22">#REF!</definedName>
    <definedName name="Units_not_covered_by_MO" localSheetId="2">#REF!</definedName>
    <definedName name="Units_not_covered_by_MO" localSheetId="1">#REF!</definedName>
    <definedName name="Units_not_covered_by_MO">#REF!</definedName>
    <definedName name="ValidMin">[13]list!$A$1:$A$22</definedName>
    <definedName name="Vote" localSheetId="3">#REF!</definedName>
    <definedName name="Vote" localSheetId="19">#REF!</definedName>
    <definedName name="Vote" localSheetId="22">#REF!</definedName>
    <definedName name="Vote" localSheetId="2">#REF!</definedName>
    <definedName name="Vote" localSheetId="1">#REF!</definedName>
    <definedName name="Vo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30" l="1"/>
  <c r="O37" i="30" l="1"/>
  <c r="N37" i="30"/>
  <c r="P36" i="30" l="1"/>
  <c r="P35" i="30"/>
  <c r="P34" i="30"/>
  <c r="P37" i="30" s="1"/>
  <c r="P31" i="30"/>
  <c r="P29" i="30"/>
  <c r="P27" i="30"/>
  <c r="P17" i="30"/>
  <c r="P15" i="30"/>
  <c r="P14" i="30"/>
  <c r="P13" i="30"/>
  <c r="P12" i="30"/>
  <c r="P11" i="30"/>
  <c r="P10" i="30"/>
  <c r="P9" i="30"/>
  <c r="P32" i="30" l="1"/>
  <c r="P33" i="30" l="1"/>
  <c r="O41" i="30"/>
  <c r="N41" i="30"/>
  <c r="M41" i="30"/>
  <c r="L41" i="30"/>
  <c r="K41" i="30"/>
  <c r="J41" i="30"/>
  <c r="I41" i="30"/>
  <c r="H41" i="30"/>
  <c r="G41" i="30"/>
  <c r="F41" i="30"/>
  <c r="D38" i="30"/>
  <c r="O39" i="30"/>
  <c r="N39" i="30"/>
  <c r="M36" i="30"/>
  <c r="L36" i="30"/>
  <c r="K36" i="30"/>
  <c r="J36" i="30"/>
  <c r="I36" i="30"/>
  <c r="H36" i="30"/>
  <c r="G36" i="30"/>
  <c r="F36" i="30"/>
  <c r="E36" i="30"/>
  <c r="D36" i="30"/>
  <c r="C36" i="30"/>
  <c r="L35" i="30"/>
  <c r="K35" i="30"/>
  <c r="J35" i="30"/>
  <c r="I35" i="30"/>
  <c r="H35" i="30"/>
  <c r="G35" i="30"/>
  <c r="F35" i="30"/>
  <c r="E35" i="30"/>
  <c r="D35" i="30"/>
  <c r="C35" i="30"/>
  <c r="C37" i="30" s="1"/>
  <c r="H34" i="30"/>
  <c r="G34" i="30"/>
  <c r="O33" i="30"/>
  <c r="N33" i="30"/>
  <c r="M33" i="30"/>
  <c r="L33" i="30"/>
  <c r="K33" i="30"/>
  <c r="J33" i="30"/>
  <c r="I31" i="30"/>
  <c r="I33" i="30" s="1"/>
  <c r="H31" i="30"/>
  <c r="H33" i="30" s="1"/>
  <c r="G31" i="30"/>
  <c r="G33" i="30" s="1"/>
  <c r="F31" i="30"/>
  <c r="F33" i="30" s="1"/>
  <c r="E31" i="30"/>
  <c r="E33" i="30" s="1"/>
  <c r="D31" i="30"/>
  <c r="D33" i="30" s="1"/>
  <c r="C31" i="30"/>
  <c r="C33" i="30" s="1"/>
  <c r="F27" i="30"/>
  <c r="F24" i="30" s="1"/>
  <c r="E27" i="30"/>
  <c r="E24" i="30" s="1"/>
  <c r="D26" i="30"/>
  <c r="D24" i="30" s="1"/>
  <c r="A26" i="30"/>
  <c r="A27" i="30" s="1"/>
  <c r="A28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4" i="30" s="1"/>
  <c r="A45" i="30" s="1"/>
  <c r="A46" i="30" s="1"/>
  <c r="A47" i="30" s="1"/>
  <c r="J25" i="30"/>
  <c r="J24" i="30" s="1"/>
  <c r="I25" i="30"/>
  <c r="I24" i="30" s="1"/>
  <c r="O24" i="30"/>
  <c r="N24" i="30"/>
  <c r="M24" i="30"/>
  <c r="L24" i="30"/>
  <c r="K24" i="30"/>
  <c r="H24" i="30"/>
  <c r="G24" i="30"/>
  <c r="C24" i="30"/>
  <c r="O23" i="30"/>
  <c r="N23" i="30"/>
  <c r="M23" i="30"/>
  <c r="L23" i="30"/>
  <c r="K23" i="30"/>
  <c r="J23" i="30"/>
  <c r="I23" i="30"/>
  <c r="H23" i="30"/>
  <c r="G23" i="30"/>
  <c r="C23" i="30"/>
  <c r="F22" i="30"/>
  <c r="F23" i="30" s="1"/>
  <c r="E22" i="30"/>
  <c r="E23" i="30" s="1"/>
  <c r="D21" i="30"/>
  <c r="D23" i="30" s="1"/>
  <c r="H17" i="30"/>
  <c r="O16" i="30"/>
  <c r="N16" i="30"/>
  <c r="M16" i="30"/>
  <c r="L16" i="30"/>
  <c r="J16" i="30"/>
  <c r="J18" i="30" s="1"/>
  <c r="K15" i="30"/>
  <c r="K16" i="30" s="1"/>
  <c r="I15" i="30"/>
  <c r="H15" i="30"/>
  <c r="G15" i="30"/>
  <c r="F15" i="30"/>
  <c r="E15" i="30"/>
  <c r="D15" i="30"/>
  <c r="C15" i="30"/>
  <c r="G14" i="30"/>
  <c r="F14" i="30"/>
  <c r="E14" i="30"/>
  <c r="D14" i="30"/>
  <c r="C14" i="30"/>
  <c r="H13" i="30"/>
  <c r="G13" i="30"/>
  <c r="F13" i="30"/>
  <c r="C13" i="30"/>
  <c r="G12" i="30"/>
  <c r="I11" i="30"/>
  <c r="H11" i="30"/>
  <c r="G11" i="30"/>
  <c r="F11" i="30"/>
  <c r="E11" i="30"/>
  <c r="D11" i="30"/>
  <c r="C11" i="30"/>
  <c r="P4" i="30"/>
  <c r="C4" i="30"/>
  <c r="D4" i="30" s="1"/>
  <c r="E4" i="30" s="1"/>
  <c r="F4" i="30" s="1"/>
  <c r="G4" i="30" s="1"/>
  <c r="H4" i="30" s="1"/>
  <c r="I4" i="30" s="1"/>
  <c r="J4" i="30" s="1"/>
  <c r="K4" i="30" s="1"/>
  <c r="L4" i="30" s="1"/>
  <c r="M4" i="30" s="1"/>
  <c r="F37" i="30" l="1"/>
  <c r="D37" i="30"/>
  <c r="E37" i="30"/>
  <c r="G37" i="30"/>
  <c r="N18" i="30"/>
  <c r="N28" i="30" s="1"/>
  <c r="M37" i="30"/>
  <c r="M39" i="30" s="1"/>
  <c r="M40" i="30" s="1"/>
  <c r="M42" i="30" s="1"/>
  <c r="I37" i="30"/>
  <c r="I39" i="30" s="1"/>
  <c r="I40" i="30" s="1"/>
  <c r="I42" i="30" s="1"/>
  <c r="J37" i="30"/>
  <c r="J39" i="30" s="1"/>
  <c r="J40" i="30" s="1"/>
  <c r="J42" i="30" s="1"/>
  <c r="K37" i="30"/>
  <c r="K39" i="30" s="1"/>
  <c r="K40" i="30" s="1"/>
  <c r="K42" i="30" s="1"/>
  <c r="H37" i="30"/>
  <c r="H39" i="30" s="1"/>
  <c r="H40" i="30" s="1"/>
  <c r="H42" i="30" s="1"/>
  <c r="L37" i="30"/>
  <c r="L39" i="30" s="1"/>
  <c r="L40" i="30" s="1"/>
  <c r="L42" i="30" s="1"/>
  <c r="O18" i="30"/>
  <c r="O28" i="30" s="1"/>
  <c r="L18" i="30"/>
  <c r="L28" i="30" s="1"/>
  <c r="K18" i="30"/>
  <c r="K28" i="30" s="1"/>
  <c r="M18" i="30"/>
  <c r="M28" i="30" s="1"/>
  <c r="F39" i="30"/>
  <c r="F40" i="30" s="1"/>
  <c r="F42" i="30" s="1"/>
  <c r="J28" i="30"/>
  <c r="N40" i="30"/>
  <c r="N42" i="30" s="1"/>
  <c r="O40" i="30"/>
  <c r="O42" i="30" s="1"/>
  <c r="G39" i="30"/>
  <c r="G40" i="30" s="1"/>
  <c r="G42" i="30" s="1"/>
  <c r="D39" i="30"/>
  <c r="D40" i="30" s="1"/>
  <c r="D42" i="30" s="1"/>
  <c r="E39" i="30"/>
  <c r="E40" i="30" s="1"/>
  <c r="E42" i="30" s="1"/>
  <c r="C39" i="30"/>
  <c r="C40" i="30" s="1"/>
  <c r="C42" i="30" s="1"/>
  <c r="D16" i="30"/>
  <c r="C16" i="30"/>
  <c r="F16" i="30"/>
  <c r="E16" i="30"/>
  <c r="G16" i="30"/>
  <c r="H16" i="30"/>
  <c r="I16" i="30"/>
  <c r="I18" i="30" l="1"/>
  <c r="I28" i="30" s="1"/>
  <c r="H18" i="30"/>
  <c r="H28" i="30" s="1"/>
  <c r="E18" i="30"/>
  <c r="E28" i="30" s="1"/>
  <c r="G18" i="30"/>
  <c r="G28" i="30" s="1"/>
  <c r="F18" i="30"/>
  <c r="F28" i="30" s="1"/>
  <c r="C18" i="30"/>
  <c r="C28" i="30" s="1"/>
  <c r="D18" i="30"/>
  <c r="D28" i="30" s="1"/>
  <c r="A9" i="3" l="1"/>
  <c r="A10" i="3" s="1"/>
  <c r="A11" i="3" s="1"/>
  <c r="A12" i="3" l="1"/>
  <c r="A13" i="3" s="1"/>
  <c r="A14" i="3" s="1"/>
  <c r="A15" i="3" s="1"/>
  <c r="A16" i="3" s="1"/>
  <c r="A17" i="3" s="1"/>
  <c r="A18" i="3" s="1"/>
  <c r="A19" i="3" s="1"/>
  <c r="A21" i="3" l="1"/>
  <c r="A25" i="3" s="1"/>
  <c r="A26" i="3" s="1"/>
  <c r="A28" i="3" s="1"/>
  <c r="A32" i="3" s="1"/>
  <c r="P16" i="30"/>
  <c r="P18" i="30" l="1"/>
  <c r="A33" i="3"/>
  <c r="A34" i="3" s="1"/>
  <c r="A36" i="3" s="1"/>
  <c r="A37" i="3" l="1"/>
  <c r="A38" i="3" s="1"/>
  <c r="A39" i="3"/>
  <c r="A40" i="3" s="1"/>
  <c r="A41" i="3" s="1"/>
  <c r="A42" i="3" s="1"/>
  <c r="P28" i="30"/>
  <c r="A44" i="3" l="1"/>
  <c r="A49" i="3" s="1"/>
  <c r="A50" i="3" s="1"/>
  <c r="A51" i="3" s="1"/>
  <c r="A52" i="3" s="1"/>
  <c r="A53" i="3" s="1"/>
  <c r="A55" i="3" s="1"/>
  <c r="A56" i="3" s="1"/>
  <c r="A57" i="3" s="1"/>
  <c r="A59" i="3" s="1"/>
  <c r="A64" i="3" s="1"/>
  <c r="A43" i="3"/>
  <c r="P42" i="30" l="1"/>
</calcChain>
</file>

<file path=xl/sharedStrings.xml><?xml version="1.0" encoding="utf-8"?>
<sst xmlns="http://schemas.openxmlformats.org/spreadsheetml/2006/main" count="1014" uniqueCount="452">
  <si>
    <t>Summary Statement of Operations</t>
  </si>
  <si>
    <t>(millions of dollars)</t>
  </si>
  <si>
    <t>2019-20</t>
  </si>
  <si>
    <t>2020-21</t>
  </si>
  <si>
    <t>2021-22</t>
  </si>
  <si>
    <t>2022-23</t>
  </si>
  <si>
    <t>2023-24</t>
  </si>
  <si>
    <t>Actual</t>
  </si>
  <si>
    <t>Budget</t>
  </si>
  <si>
    <t>Forecast</t>
  </si>
  <si>
    <t>Estimate</t>
  </si>
  <si>
    <t>Target</t>
  </si>
  <si>
    <t>Revenue</t>
  </si>
  <si>
    <t>Tax revenue</t>
  </si>
  <si>
    <t>Non-renewable resource revenue</t>
  </si>
  <si>
    <t>Federal transfers</t>
  </si>
  <si>
    <t>Investment income</t>
  </si>
  <si>
    <t xml:space="preserve">Other </t>
  </si>
  <si>
    <t>Total Revenue</t>
  </si>
  <si>
    <t>Operating expense</t>
  </si>
  <si>
    <t>Capital grants</t>
  </si>
  <si>
    <t>Amortization / inventory consumption / loss on disposals</t>
  </si>
  <si>
    <t>Debt servicing costs</t>
  </si>
  <si>
    <t>Pension provisions</t>
  </si>
  <si>
    <t>Total Expense</t>
  </si>
  <si>
    <t>Surplus / (deficit)</t>
  </si>
  <si>
    <t>Summary Statement of Financial Position</t>
  </si>
  <si>
    <t>At March 31</t>
  </si>
  <si>
    <t>2023</t>
  </si>
  <si>
    <t>2024</t>
  </si>
  <si>
    <t>Financial Assets</t>
  </si>
  <si>
    <t>Liabilities</t>
  </si>
  <si>
    <t>Net Financial Assets / (Debt)</t>
  </si>
  <si>
    <t>Capital / Other Non-financial Assets</t>
  </si>
  <si>
    <t>Deferred capital contributions</t>
  </si>
  <si>
    <t>Net Assets</t>
  </si>
  <si>
    <t>Net assets at the beginning of the year</t>
  </si>
  <si>
    <t>Surplus / (Deficit)</t>
  </si>
  <si>
    <r>
      <t xml:space="preserve">Adjustment to net assets </t>
    </r>
    <r>
      <rPr>
        <vertAlign val="superscript"/>
        <sz val="8"/>
        <rFont val="Arial"/>
        <family val="2"/>
      </rPr>
      <t>a</t>
    </r>
  </si>
  <si>
    <t>Net assets at end of year</t>
  </si>
  <si>
    <t>Net debt to GDP</t>
  </si>
  <si>
    <t>Consolidated Fiscal Summary</t>
  </si>
  <si>
    <t>Statement of Operations</t>
  </si>
  <si>
    <t>Expense</t>
  </si>
  <si>
    <t>% change from prior year</t>
  </si>
  <si>
    <t>Capital Plan</t>
  </si>
  <si>
    <t>Capital investment</t>
  </si>
  <si>
    <t>Total Capital Plan</t>
  </si>
  <si>
    <t>Cash adjustments / borrowing requirements</t>
  </si>
  <si>
    <t>(at March 31)</t>
  </si>
  <si>
    <t>Other cash adjustments</t>
  </si>
  <si>
    <t>Capital cash adjustments</t>
  </si>
  <si>
    <t>Cash at end of year</t>
  </si>
  <si>
    <t>Taxpayer-supported Liabilities / Borrowing</t>
  </si>
  <si>
    <t>Liabilities for Capital Projects</t>
  </si>
  <si>
    <t>Opening balance</t>
  </si>
  <si>
    <t>Alternative financing (P3s – public-private partnerships)</t>
  </si>
  <si>
    <t>Total Liabilities for Capital Projects</t>
  </si>
  <si>
    <t>Total Borrowing for the Fiscal Plan / Other</t>
  </si>
  <si>
    <t>Percentage of nominal Alberta GDP</t>
  </si>
  <si>
    <t>Alberta Heritage Savings Trust Fund</t>
  </si>
  <si>
    <t>Endowment funds:</t>
  </si>
  <si>
    <t>Alberta Heritage Foundation for Medical Research</t>
  </si>
  <si>
    <t xml:space="preserve">Alberta Heritage Science and Engineering Research </t>
  </si>
  <si>
    <t xml:space="preserve">Alberta Heritage Scholarship </t>
  </si>
  <si>
    <t>Alberta Enterprise Corporation</t>
  </si>
  <si>
    <t>Self-supporting lending organizations / activities:</t>
  </si>
  <si>
    <t>Agriculture Financial Services Corporation</t>
  </si>
  <si>
    <t xml:space="preserve">Equity in commercial enterprises </t>
  </si>
  <si>
    <t>Student loans</t>
  </si>
  <si>
    <t>Other financial assets (including SUCH sector / Alberta Innovates Corp.)</t>
  </si>
  <si>
    <t>Total Financial Assets</t>
  </si>
  <si>
    <t>Taxpayer-supported debt:</t>
  </si>
  <si>
    <t>Direct borrowing for the Capital Plan</t>
  </si>
  <si>
    <t>Alternative financing (P3s - public-private partnerships - Capital Plan)</t>
  </si>
  <si>
    <t xml:space="preserve">Debt issued to reduce pre-1992 TPP unfunded liability </t>
  </si>
  <si>
    <t>Direct borrowing for the Fiscal Plan</t>
  </si>
  <si>
    <t>Total taxpayer-supported debt</t>
  </si>
  <si>
    <t>Self-supporting lending organization / activities debt:</t>
  </si>
  <si>
    <t>Total debt</t>
  </si>
  <si>
    <t>Coal phase-out liabilities</t>
  </si>
  <si>
    <t>Pension liabilities</t>
  </si>
  <si>
    <t>Other liabilities (including SUCH sector / Alberta Innovates Corp.)</t>
  </si>
  <si>
    <t>Total Liabilities</t>
  </si>
  <si>
    <t>Capital Assets</t>
  </si>
  <si>
    <t>Net book value at start of the year</t>
  </si>
  <si>
    <t>Additions (capital investment)</t>
  </si>
  <si>
    <t>Amortization</t>
  </si>
  <si>
    <t>Net book value of capital asset disposals / adjustments</t>
  </si>
  <si>
    <t>Net Book Value at End of Year</t>
  </si>
  <si>
    <t>Personal income tax</t>
  </si>
  <si>
    <t>Corporate income tax</t>
  </si>
  <si>
    <t>Other taxes</t>
  </si>
  <si>
    <t>Transfers from Government of Canada</t>
  </si>
  <si>
    <t>Net income from govt. business enterprises</t>
  </si>
  <si>
    <t>Premiums, fees and licences</t>
  </si>
  <si>
    <t>Other</t>
  </si>
  <si>
    <t>Advanced Education</t>
  </si>
  <si>
    <t>Education</t>
  </si>
  <si>
    <t>Executive Council</t>
  </si>
  <si>
    <t>Health</t>
  </si>
  <si>
    <t>Indigenous Relations</t>
  </si>
  <si>
    <t>Infrastructure</t>
  </si>
  <si>
    <t>Municipal Affairs</t>
  </si>
  <si>
    <t>Transportation</t>
  </si>
  <si>
    <t>Treasury Board and Finance</t>
  </si>
  <si>
    <t xml:space="preserve">Legislative Assembly </t>
  </si>
  <si>
    <t>Beginning net assets (+ adjustments)</t>
  </si>
  <si>
    <r>
      <t xml:space="preserve">Revenue </t>
    </r>
    <r>
      <rPr>
        <i/>
        <sz val="8"/>
        <rFont val="Arial"/>
        <family val="2"/>
      </rPr>
      <t>(millions of dollars)</t>
    </r>
  </si>
  <si>
    <t>Income Taxes</t>
  </si>
  <si>
    <t>Other Taxes</t>
  </si>
  <si>
    <t>Tobacco / vaping taxes</t>
  </si>
  <si>
    <t>Insurance taxes</t>
  </si>
  <si>
    <t>Tourism levy</t>
  </si>
  <si>
    <t>Cannabis tax</t>
  </si>
  <si>
    <t>Non-Renewable Resource Revenue</t>
  </si>
  <si>
    <t>Bitumen royalty</t>
  </si>
  <si>
    <t>Crude oil royalty</t>
  </si>
  <si>
    <t>Natural gas and by-products royalty</t>
  </si>
  <si>
    <t>Bonuses and sales of Crown leases</t>
  </si>
  <si>
    <t>Rentals and fees / coal royalty</t>
  </si>
  <si>
    <t>Canada Health Transfer</t>
  </si>
  <si>
    <t>Canada Social Transfer</t>
  </si>
  <si>
    <t>Direct transfers to SUCH sector / Alberta Innovates Corporation</t>
  </si>
  <si>
    <t>Infrastructure support</t>
  </si>
  <si>
    <t>Agriculture support programs</t>
  </si>
  <si>
    <t>Labour market agreements</t>
  </si>
  <si>
    <t>Investment Income</t>
  </si>
  <si>
    <t>Endowment funds</t>
  </si>
  <si>
    <t>Other (includes SUCH sector)</t>
  </si>
  <si>
    <t>Net Income from Government Business Enterprises</t>
  </si>
  <si>
    <t xml:space="preserve">AGLC – Gaming / lottery </t>
  </si>
  <si>
    <t>AGLC – Liquor</t>
  </si>
  <si>
    <t>AGLC – Cannabis</t>
  </si>
  <si>
    <t>ATB Financial</t>
  </si>
  <si>
    <t>Balancing Pool</t>
  </si>
  <si>
    <t>Other (CUDGCo / APMC / PSIs)</t>
  </si>
  <si>
    <t>Premiums, Fees and Licences</t>
  </si>
  <si>
    <t>Post-secondary institution tuition fees</t>
  </si>
  <si>
    <t>Health / school board fees and charges</t>
  </si>
  <si>
    <t>Motor vehicle licences</t>
  </si>
  <si>
    <t>Crop, hail and livestock insurance premiums</t>
  </si>
  <si>
    <t>Energy industry levies</t>
  </si>
  <si>
    <t>SUCH sector sales, rentals and services</t>
  </si>
  <si>
    <t>SUCH sector fundraising, donations, gifts and contributions</t>
  </si>
  <si>
    <t>AIMCo investment management charges</t>
  </si>
  <si>
    <t>Fines and penalties</t>
  </si>
  <si>
    <t>Refunds of expense</t>
  </si>
  <si>
    <t>Technology Innovation and Emissions Reduction Fund</t>
  </si>
  <si>
    <t xml:space="preserve">Debt Servicing Costs </t>
  </si>
  <si>
    <t>Taxpayer-supported general debt servicing costs</t>
  </si>
  <si>
    <t>Education – school boards</t>
  </si>
  <si>
    <t>Total</t>
  </si>
  <si>
    <t>Taxpayer-supported Capital Plan debt servicing costs</t>
  </si>
  <si>
    <t>Education – Alberta Schools Alternative Procurement P3s</t>
  </si>
  <si>
    <t>Transportation – ring road P3s</t>
  </si>
  <si>
    <t>Treasury Board and Finance – direct borrowing</t>
  </si>
  <si>
    <t>Total taxpayer-supported debt servicing costs</t>
  </si>
  <si>
    <t>Self-supported debt servicing costs</t>
  </si>
  <si>
    <t>Treasury Board and Finance – for loans to local authorities</t>
  </si>
  <si>
    <t>Treasury Board and Finance – Ag. Financial Services Corp.</t>
  </si>
  <si>
    <t>Total Debt Servicing Costs</t>
  </si>
  <si>
    <t>Operating Expense</t>
  </si>
  <si>
    <t xml:space="preserve">Total Operating Expense </t>
  </si>
  <si>
    <t>Capital Amortization</t>
  </si>
  <si>
    <t xml:space="preserve">Total Amortization Expense </t>
  </si>
  <si>
    <t xml:space="preserve">Inventory Consumption </t>
  </si>
  <si>
    <t xml:space="preserve">Health </t>
  </si>
  <si>
    <t xml:space="preserve">Total Inventory Consumption </t>
  </si>
  <si>
    <t>Inventory Acquisition</t>
  </si>
  <si>
    <t>Total Inventory Acquisition</t>
  </si>
  <si>
    <r>
      <t>Capital Plan</t>
    </r>
    <r>
      <rPr>
        <b/>
        <vertAlign val="superscript"/>
        <sz val="12"/>
        <rFont val="Arial"/>
        <family val="2"/>
      </rPr>
      <t>a</t>
    </r>
  </si>
  <si>
    <t>Legislative Assembly</t>
  </si>
  <si>
    <t>Capital Grants</t>
  </si>
  <si>
    <t>Total Capital Grants</t>
  </si>
  <si>
    <t>Capital Investment</t>
  </si>
  <si>
    <t>Total Capital Investment</t>
  </si>
  <si>
    <t>Capital Plan Funding Sources</t>
  </si>
  <si>
    <t>Capital Plan, less</t>
  </si>
  <si>
    <t>10% cash flow adjustment (rounded)</t>
  </si>
  <si>
    <t>Capital Plan funding requirements</t>
  </si>
  <si>
    <t>Source of funding:</t>
  </si>
  <si>
    <t>SUCH sector self-financed</t>
  </si>
  <si>
    <t>Total Capital Plan Funding Sources</t>
  </si>
  <si>
    <t xml:space="preserve"> </t>
  </si>
  <si>
    <t>Borrowing Requirements</t>
  </si>
  <si>
    <t>Government business enterprises</t>
  </si>
  <si>
    <t>Total Borrowing Requirements</t>
  </si>
  <si>
    <t>Change</t>
  </si>
  <si>
    <t>Alberta Petroleum Marketing Commission</t>
  </si>
  <si>
    <t>Borrowing Sources</t>
  </si>
  <si>
    <t>Money market (net change)</t>
  </si>
  <si>
    <t>Public-private partnerships (P3s)</t>
  </si>
  <si>
    <t>Term debt</t>
  </si>
  <si>
    <t xml:space="preserve">Total Borrowing Sources </t>
  </si>
  <si>
    <r>
      <t xml:space="preserve">Pension Liabilities </t>
    </r>
    <r>
      <rPr>
        <b/>
        <vertAlign val="superscript"/>
        <sz val="12"/>
        <rFont val="Arial"/>
        <family val="2"/>
      </rPr>
      <t>a</t>
    </r>
  </si>
  <si>
    <t>Teachers' Pension Plan (pre-1992)</t>
  </si>
  <si>
    <r>
      <t xml:space="preserve">Public Service Management Pension Plan (pre-1992; closed) </t>
    </r>
    <r>
      <rPr>
        <vertAlign val="superscript"/>
        <sz val="8"/>
        <rFont val="Arial"/>
        <family val="2"/>
      </rPr>
      <t>b</t>
    </r>
  </si>
  <si>
    <t>Universities Academic Pension Plan (pre-1992)</t>
  </si>
  <si>
    <t>Special Forces Pension Plan (pre-1992)</t>
  </si>
  <si>
    <r>
      <t xml:space="preserve">Members of the Legislative Assembly Pension Plan (closed) </t>
    </r>
    <r>
      <rPr>
        <vertAlign val="superscript"/>
        <sz val="8"/>
        <rFont val="Arial"/>
        <family val="2"/>
      </rPr>
      <t>b</t>
    </r>
  </si>
  <si>
    <t>Public Service Supplementary Retirement Plan</t>
  </si>
  <si>
    <t>Provincial Judges and Masters in Chambers Pension Plan</t>
  </si>
  <si>
    <t>SUCH sector – Universities Academic / Supp. Exec. Retirement Plans</t>
  </si>
  <si>
    <t xml:space="preserve">Total Pension Liabilities </t>
  </si>
  <si>
    <t>Annual Non-cash Change in Pension Liabilities</t>
  </si>
  <si>
    <r>
      <t>Cash Adjustments</t>
    </r>
    <r>
      <rPr>
        <b/>
        <vertAlign val="superscript"/>
        <sz val="12"/>
        <rFont val="Arial"/>
        <family val="2"/>
      </rPr>
      <t>a</t>
    </r>
  </si>
  <si>
    <t>Retained Income of Funds and Agencies</t>
  </si>
  <si>
    <t>Heritage Foundation for Medical Research Endowment Fund</t>
  </si>
  <si>
    <t>Heritage Science and Engineering Research Endowment Fund</t>
  </si>
  <si>
    <t>Heritage Scholarship Fund</t>
  </si>
  <si>
    <t>Alberta Social Housing Corporation</t>
  </si>
  <si>
    <t>Credit Union Deposit Guarantee Corporation</t>
  </si>
  <si>
    <t xml:space="preserve">Technology Innovation and Emissions Reduction Fund </t>
  </si>
  <si>
    <t xml:space="preserve">Total Retained Income of Funds and Agencies </t>
  </si>
  <si>
    <t>Other Cash Adjustments</t>
  </si>
  <si>
    <t>SUCH sector own-source revenue</t>
  </si>
  <si>
    <t>SUCH sector own-source expense</t>
  </si>
  <si>
    <t>Net deferred capital contribution cash adjustment</t>
  </si>
  <si>
    <t>Energy royalties (difference between accrued revenue &amp; cash)</t>
  </si>
  <si>
    <t>2013 Alberta flood assistance revenue / expense</t>
  </si>
  <si>
    <t>Wood Buffalo wildfire revenue / expense</t>
  </si>
  <si>
    <t>Pension provisions (non-cash expense)</t>
  </si>
  <si>
    <t>Total Other Cash Adjustments</t>
  </si>
  <si>
    <t>Capital investment (excluding SUCH sector self-financed)</t>
  </si>
  <si>
    <t>Current principal repayments (P3s – public-private partnerships)</t>
  </si>
  <si>
    <t>Book value of asset disposals (net non-cash expense / revenue)</t>
  </si>
  <si>
    <t>Total Capital Cash Adjustments</t>
  </si>
  <si>
    <r>
      <t xml:space="preserve">Full-Time Equivalents </t>
    </r>
    <r>
      <rPr>
        <b/>
        <vertAlign val="superscript"/>
        <sz val="12"/>
        <rFont val="Arial"/>
        <family val="2"/>
      </rPr>
      <t>a</t>
    </r>
  </si>
  <si>
    <t>Departments</t>
  </si>
  <si>
    <t>Treasury Board and Finance – department</t>
  </si>
  <si>
    <t>Treasury Board and Finance – Communications and Public Engagement</t>
  </si>
  <si>
    <t>Treasury Board and Finance – Public Service Commission</t>
  </si>
  <si>
    <t xml:space="preserve"> Agencies / SUCH sector / other operationally-independent entities </t>
  </si>
  <si>
    <t>Advanced Education – post-secondary institutions</t>
  </si>
  <si>
    <t>Education –  school boards (including Francophone / charter)</t>
  </si>
  <si>
    <t xml:space="preserve">   Certificated Staff</t>
  </si>
  <si>
    <t xml:space="preserve">   Non-certificated Staff</t>
  </si>
  <si>
    <t>Health – Alberta Health Services</t>
  </si>
  <si>
    <t xml:space="preserve">Health – Health Quality Council of Alberta </t>
  </si>
  <si>
    <t>Indigenous Relations – Alberta Indigenous Opportunities Corporation</t>
  </si>
  <si>
    <t>Municipal Affairs – Safety Codes Council</t>
  </si>
  <si>
    <t>Treasury Board and Finance – Alberta Insurance Council</t>
  </si>
  <si>
    <t>Treasury Board and Finance – Alberta Investment Management Corporation</t>
  </si>
  <si>
    <t>Treasury Board and Finance – Alberta Pensions Services Corporation</t>
  </si>
  <si>
    <t>Treasury Board and Finance – Alberta Securities Commission</t>
  </si>
  <si>
    <t>Agencies / SUCH sector / other operationally-independent entities</t>
  </si>
  <si>
    <t>Total Full-Time Equivalents</t>
  </si>
  <si>
    <t>(thousands of dollars)</t>
  </si>
  <si>
    <t>Net gaming / lottery revenue</t>
  </si>
  <si>
    <t>Resource Management</t>
  </si>
  <si>
    <t>Family and Community Safety</t>
  </si>
  <si>
    <t>Continuing Care</t>
  </si>
  <si>
    <t>Family and Community Support Services</t>
  </si>
  <si>
    <t>Fetal Alcohol Spectrum Disorder Initiatives</t>
  </si>
  <si>
    <t>First Nations and Métis Relations</t>
  </si>
  <si>
    <t>First Nations Development Fund</t>
  </si>
  <si>
    <t>Assistance - Alberta Foundation for Arts</t>
  </si>
  <si>
    <t>Settlement and Integration</t>
  </si>
  <si>
    <t>Skills and Training Support</t>
  </si>
  <si>
    <t>Community Facility Enhancement Program</t>
  </si>
  <si>
    <t>Community Initiatives Program</t>
  </si>
  <si>
    <t>Provincial Highway Maintenance</t>
  </si>
  <si>
    <t>Heritage Preservation Partnership</t>
  </si>
  <si>
    <t>Other Initiatives</t>
  </si>
  <si>
    <t xml:space="preserve">  Gaming Research</t>
  </si>
  <si>
    <t xml:space="preserve">  Horse Racing and Breeding Renewal Program</t>
  </si>
  <si>
    <t>Operations and Maintenance</t>
  </si>
  <si>
    <t>Total Allocation</t>
  </si>
  <si>
    <t>Ministry Expense by Function</t>
  </si>
  <si>
    <t>Social Services</t>
  </si>
  <si>
    <t>Agriculture, Resource Management and Economic Development</t>
  </si>
  <si>
    <t>Protection of Persons and Property (includes contingency and disaster assistance)</t>
  </si>
  <si>
    <t>Transportation, Communications and Utilities</t>
  </si>
  <si>
    <t>Regional Planning and Development</t>
  </si>
  <si>
    <t>Environment</t>
  </si>
  <si>
    <t>Recreation and Culture</t>
  </si>
  <si>
    <t>Housing</t>
  </si>
  <si>
    <t>General Government (includes pension provisions)</t>
  </si>
  <si>
    <t>Debt Servicing Costs</t>
  </si>
  <si>
    <t>Ministry Expense by Object</t>
  </si>
  <si>
    <t>Salaries, Wages and    Employee Benefits</t>
  </si>
  <si>
    <t>Supplies and Services</t>
  </si>
  <si>
    <t>Grants to Others</t>
  </si>
  <si>
    <t>Amortization of Capital Assets</t>
  </si>
  <si>
    <t>Consumption of Inventory</t>
  </si>
  <si>
    <t>Pension Provisions</t>
  </si>
  <si>
    <t>Other / contingency and disaster assistance</t>
  </si>
  <si>
    <t xml:space="preserve">Changes to Fees </t>
  </si>
  <si>
    <t>(dollars)</t>
  </si>
  <si>
    <t>Ministry / Description</t>
  </si>
  <si>
    <t>2024-25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</si>
  <si>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</si>
  <si>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</si>
  <si>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</si>
  <si>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</si>
  <si>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</si>
  <si>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</si>
  <si>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</si>
  <si>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</si>
  <si>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</si>
  <si>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</si>
  <si>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</si>
  <si>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Other tax revenue</t>
  </si>
  <si>
    <t>Resource revenue</t>
  </si>
  <si>
    <t>Other own-source revenue</t>
  </si>
  <si>
    <t>Total own-source revenue</t>
  </si>
  <si>
    <t>Expense by Function</t>
  </si>
  <si>
    <t>Basic / advanced education</t>
  </si>
  <si>
    <t>Social services</t>
  </si>
  <si>
    <t>Other program expense</t>
  </si>
  <si>
    <t>Total program expense</t>
  </si>
  <si>
    <t>Debt servicing costs </t>
  </si>
  <si>
    <r>
      <t>Capital Plan</t>
    </r>
    <r>
      <rPr>
        <b/>
        <vertAlign val="superscript"/>
        <sz val="9"/>
        <color theme="1"/>
        <rFont val="Arial Narrow"/>
        <family val="2"/>
      </rPr>
      <t> b</t>
    </r>
  </si>
  <si>
    <t>Statement of Financial Position (at March 31)</t>
  </si>
  <si>
    <t>Heritage / endowment funds</t>
  </si>
  <si>
    <t>Contingency Account</t>
  </si>
  <si>
    <t>Other financial assets</t>
  </si>
  <si>
    <t>Taxpayer-supported Capital Plan liabilities</t>
  </si>
  <si>
    <t>Self-supported debt</t>
  </si>
  <si>
    <t>Other liabilities</t>
  </si>
  <si>
    <r>
      <t>Net Financial Assets / (Debt)</t>
    </r>
    <r>
      <rPr>
        <b/>
        <vertAlign val="superscript"/>
        <sz val="8"/>
        <color theme="1"/>
        <rFont val="Arial Narrow"/>
        <family val="2"/>
      </rPr>
      <t xml:space="preserve"> </t>
    </r>
  </si>
  <si>
    <t>2025</t>
  </si>
  <si>
    <t>Income from local authority loans</t>
  </si>
  <si>
    <r>
      <t xml:space="preserve">Total Debt </t>
    </r>
    <r>
      <rPr>
        <b/>
        <vertAlign val="superscript"/>
        <sz val="8"/>
        <color theme="1"/>
        <rFont val="Arial Narrow"/>
        <family val="2"/>
      </rPr>
      <t>c</t>
    </r>
  </si>
  <si>
    <r>
      <t xml:space="preserve">Net Assets </t>
    </r>
    <r>
      <rPr>
        <b/>
        <vertAlign val="superscript"/>
        <sz val="8"/>
        <color theme="1"/>
        <rFont val="Arial Narrow"/>
        <family val="2"/>
      </rPr>
      <t>d</t>
    </r>
  </si>
  <si>
    <t>Energy prices and exchange rate</t>
  </si>
  <si>
    <t>Oil price (WTI US$/bbl)</t>
  </si>
  <si>
    <t>Heavy oil price (WCS @ Hardisty; Cdn$/bbl)</t>
  </si>
  <si>
    <t>Natural gas price (ARP; Cdn$/GJ)</t>
  </si>
  <si>
    <t>Exchange rate (US¢/Cdn$)</t>
  </si>
  <si>
    <t>Net financial debt / GDP (calendar year, nominal)</t>
  </si>
  <si>
    <t xml:space="preserve">  Airport Entertainment Centres</t>
  </si>
  <si>
    <t>Local authority loans</t>
  </si>
  <si>
    <t>Debt issued to finance local authority loans</t>
  </si>
  <si>
    <t>Assistance - Provincial Heritage Organizations</t>
  </si>
  <si>
    <t>2025-26</t>
  </si>
  <si>
    <t>2026</t>
  </si>
  <si>
    <t>Capital Plan contingency</t>
  </si>
  <si>
    <t>Affordability and Utilities</t>
  </si>
  <si>
    <t>Agriculture and Irrigation</t>
  </si>
  <si>
    <t>Seniors, Community and Social Services</t>
  </si>
  <si>
    <t>Environment and Protected Areas</t>
  </si>
  <si>
    <t>Justice</t>
  </si>
  <si>
    <t>Mental Health and Addiction</t>
  </si>
  <si>
    <t>Public Safety and Emergency Services</t>
  </si>
  <si>
    <t>Service Alberta and Red Tape Reduction</t>
  </si>
  <si>
    <t>Technology and Innovation</t>
  </si>
  <si>
    <t>Transportation and Economic Corridors</t>
  </si>
  <si>
    <t>Early learning child care agreements</t>
  </si>
  <si>
    <t>Public Safety and Emergency Services – wildfire / flood support</t>
  </si>
  <si>
    <t>Inventory consumption (excluding SUCH sector; non-cash expense)</t>
  </si>
  <si>
    <t xml:space="preserve">Inventory acquisition (excluding SUCH sector; non-cash expense) </t>
  </si>
  <si>
    <t>Amortization (excluding SUCH sector; non-cash expense)</t>
  </si>
  <si>
    <t xml:space="preserve">P3 principal repayments </t>
  </si>
  <si>
    <t>Net borrowing / principal repay. / amort. issue costs</t>
  </si>
  <si>
    <t>Borrowing for the Fiscal Plan</t>
  </si>
  <si>
    <t>Total Taxpayer-supported Debt - Capital Projects / Fiscal Plan</t>
  </si>
  <si>
    <t>Direct borrowing required</t>
  </si>
  <si>
    <t>Taxpayer-supported general / pre-1992 TPP debt</t>
  </si>
  <si>
    <t>Capital / non-financial assets</t>
  </si>
  <si>
    <t>Taxpayer-supported debt servicing costs</t>
  </si>
  <si>
    <t>Total Program Expense</t>
  </si>
  <si>
    <t>Expense before contingency</t>
  </si>
  <si>
    <t>Surplus / (deficit) before contingency</t>
  </si>
  <si>
    <t>Unallocated contingency (disast. and emerg. assist. / COVID-19)</t>
  </si>
  <si>
    <t>Affordability and Utilities – Alberta Utilities Commission</t>
  </si>
  <si>
    <t>Agriculture and Irrigation – Agriculture Financial Services Corporation</t>
  </si>
  <si>
    <t>Environment and Protected Areas – Natural Resources Conservation Board</t>
  </si>
  <si>
    <t>Public Safety and Emergency Services – Victims of Crime and Public Safety Fund</t>
  </si>
  <si>
    <t>Technology and Innovation – Alberta Enterprise Corporation</t>
  </si>
  <si>
    <t>Technology and Innovation – Alberta Innovates Corporation</t>
  </si>
  <si>
    <t>Taxpayer-supported debt</t>
  </si>
  <si>
    <t xml:space="preserve">Annual Debt Maturities </t>
  </si>
  <si>
    <t>Total Annual Debt Maturities</t>
  </si>
  <si>
    <t>Short-term debt maturities</t>
  </si>
  <si>
    <t>Long-term debt maturities</t>
  </si>
  <si>
    <t>2026-27</t>
  </si>
  <si>
    <t>2027-28</t>
  </si>
  <si>
    <t>Other (includes Fiscal Stabilization payment in 2023-24)</t>
  </si>
  <si>
    <t>Contingency (voted in TBF)</t>
  </si>
  <si>
    <t>Primary Agriculture</t>
  </si>
  <si>
    <t>Rural programming and Agricultural Societies</t>
  </si>
  <si>
    <t>Total 2024-25 Expense</t>
  </si>
  <si>
    <t>Arts, Culture, and Status of Women</t>
  </si>
  <si>
    <t>Children and Family Services</t>
  </si>
  <si>
    <t>Energy and Minerals</t>
  </si>
  <si>
    <t>Forestry and Parks</t>
  </si>
  <si>
    <t>Immigration and Multiculturalism</t>
  </si>
  <si>
    <t>Jobs, Economy and Trade</t>
  </si>
  <si>
    <t>Tourism and Sport</t>
  </si>
  <si>
    <t>Energy and Minerals – Alberta Energy Regulator</t>
  </si>
  <si>
    <t>Energy and Minerals – Canadian Energy Centre</t>
  </si>
  <si>
    <t>2027</t>
  </si>
  <si>
    <t>Arts, Culture and Status of Women</t>
  </si>
  <si>
    <t>Disaster and Emergency Assistance</t>
  </si>
  <si>
    <t>Agriculture and Irrigation – agriculture support</t>
  </si>
  <si>
    <t>Forestry and Parks - wildfire fighting</t>
  </si>
  <si>
    <t>Health - wildfire supports</t>
  </si>
  <si>
    <t>Seniors, Community and Social Services - wildfire supports</t>
  </si>
  <si>
    <t>Miscellaneous</t>
  </si>
  <si>
    <t>Education property tax</t>
  </si>
  <si>
    <t>Non-cash adjustments</t>
  </si>
  <si>
    <t>Cash received / assets donated / book value of disposals</t>
  </si>
  <si>
    <t>Retained income of funds and agencies</t>
  </si>
  <si>
    <t>Total Cash Adjustments</t>
  </si>
  <si>
    <t>Disaster and emergency assistance</t>
  </si>
  <si>
    <t>Contingency (forecast un-allocated)</t>
  </si>
  <si>
    <t>Total Disaster and Emergency Assistance Expense</t>
  </si>
  <si>
    <t>Fuel tax / electric vehicle tax</t>
  </si>
  <si>
    <t>Other tax</t>
  </si>
  <si>
    <t>Surplus cash (cash at start of year + surplus +/- net 
cash adjustments)</t>
  </si>
  <si>
    <t>ATB Financial dividend</t>
  </si>
  <si>
    <t>General Revenue Fund cash</t>
  </si>
  <si>
    <t>Alberta Fund</t>
  </si>
  <si>
    <t>Asset retirement obligations</t>
  </si>
  <si>
    <t>Net Assets - operating</t>
  </si>
  <si>
    <t>Accumulated remeasurement gains</t>
  </si>
  <si>
    <t>Change in Net Assets - statement of operations (before adjustments)</t>
  </si>
  <si>
    <t>Accumulated remeasurement gains / losses at the beginning of the year</t>
  </si>
  <si>
    <t>Adjustments to remeasurement gains and losses</t>
  </si>
  <si>
    <t>Net - Operating assets at end of year</t>
  </si>
  <si>
    <t>Less: Taxpayer-supported debt repayment</t>
  </si>
  <si>
    <t>Less: Allocation to Alberta Fund</t>
  </si>
  <si>
    <t>Prepaid</t>
  </si>
  <si>
    <t>Inventory</t>
  </si>
  <si>
    <t>Total capital and inventory assets</t>
  </si>
  <si>
    <t>Executive Council – Invest Alberta Corporation</t>
  </si>
  <si>
    <t>Tourism and Sport – Travel Alberta Corporation</t>
  </si>
  <si>
    <t>Cash at start of year / Alberta Fund</t>
  </si>
  <si>
    <t>Alberta Fund allocation - Heritage Fund</t>
  </si>
  <si>
    <t>Support for Sport, Phys. Activity and Recreat.</t>
  </si>
  <si>
    <t>Immigration and Multicilturalism</t>
  </si>
  <si>
    <t>International Qualification Assessment Services</t>
  </si>
  <si>
    <t>Immigration - Educational Credential Assessment Application Fee</t>
  </si>
  <si>
    <t>Domestic - Basic Application Fee</t>
  </si>
  <si>
    <t>Domestic - Educational Application Fee</t>
  </si>
  <si>
    <t>Alberta Advantage Immigration Program</t>
  </si>
  <si>
    <t>Application Fee</t>
  </si>
  <si>
    <t>Reconsideration Fee</t>
  </si>
  <si>
    <t>Other Post-Application Fee</t>
  </si>
  <si>
    <t>Statement of Financial Position</t>
  </si>
  <si>
    <r>
      <t xml:space="preserve">Historical Fiscal Summary, 2008-09 to 2026-27 </t>
    </r>
    <r>
      <rPr>
        <b/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> </t>
    </r>
  </si>
  <si>
    <t>General revenue fund cash / direct borrowing</t>
  </si>
  <si>
    <t>Domestic - Specialized Application Fee</t>
  </si>
  <si>
    <t>Subtotal borrowing requirements</t>
  </si>
  <si>
    <t>Borrowing for future debt requirement</t>
  </si>
  <si>
    <t>General Revenue Fund cash - debt retirement</t>
  </si>
  <si>
    <r>
      <t>Cash adjustments</t>
    </r>
    <r>
      <rPr>
        <sz val="8"/>
        <rFont val="Arial"/>
        <family val="2"/>
      </rPr>
      <t xml:space="preserve"> (for details, see table on page 157)</t>
    </r>
  </si>
  <si>
    <t>Allocation of 2024-25 net gaming / lottery revenue</t>
  </si>
  <si>
    <t>This document contains information licensed under the</t>
  </si>
  <si>
    <t>Open Government Licence –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</si>
</sst>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_);\(0.0\)"/>
    <numFmt numFmtId="167" formatCode="_(* #,##0_);_(* \(#,##0\);_(* &quot;-&quot;??_);_(@_)"/>
    <numFmt numFmtId="168" formatCode="_(* #,##0.0_);_(* \(#,##0.0\);_(* &quot;-&quot;??_);_(@_)"/>
    <numFmt numFmtId="169" formatCode="_(* #,##0.00_);_(* \(#,##0.00\);_(* &quot;-&quot;_);_(@_)"/>
    <numFmt numFmtId="170" formatCode="_(* #,##0_);_(* \(#,##0\);_(* &quot;-&quot;?_);_(@_)"/>
  </numFmts>
  <fonts count="42"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rgb="FFC0000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u/>
      <sz val="8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b/>
      <vertAlign val="superscript"/>
      <sz val="12"/>
      <name val="Arial"/>
      <family val="2"/>
    </font>
    <font>
      <sz val="8"/>
      <color rgb="FF000000"/>
      <name val="Arial"/>
      <family val="2"/>
    </font>
    <font>
      <sz val="9"/>
      <name val="MyriaMM_400 RG 600 NO"/>
      <family val="2"/>
    </font>
    <font>
      <sz val="8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sz val="7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 Narrow"/>
      <family val="2"/>
    </font>
    <font>
      <b/>
      <u/>
      <sz val="9"/>
      <color theme="1"/>
      <name val="Arial Narrow"/>
      <family val="2"/>
    </font>
    <font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u/>
      <sz val="9"/>
      <color theme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medium">
        <color theme="0" tint="-0.499984740745262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/>
      <diagonal/>
    </border>
    <border>
      <left/>
      <right style="thin">
        <color theme="0" tint="-0.14999847407452621"/>
      </right>
      <top/>
      <bottom style="medium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0" fillId="0" borderId="0"/>
    <xf numFmtId="43" fontId="2" fillId="0" borderId="0" applyFill="0" applyBorder="0" applyAlignment="0" applyProtection="0"/>
    <xf numFmtId="0" fontId="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22" fillId="0" borderId="0" applyAlignment="0"/>
    <xf numFmtId="43" fontId="12" fillId="0" borderId="0" applyFont="0" applyFill="0" applyBorder="0" applyAlignment="0" applyProtection="0"/>
    <xf numFmtId="43" fontId="2" fillId="0" borderId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611">
    <xf numFmtId="0" fontId="0" fillId="0" borderId="0" xfId="0"/>
    <xf numFmtId="0" fontId="3" fillId="0" borderId="0" xfId="0" applyFont="1" applyAlignment="1">
      <alignment horizontal="left"/>
    </xf>
    <xf numFmtId="41" fontId="4" fillId="0" borderId="0" xfId="0" applyNumberFormat="1" applyFont="1"/>
    <xf numFmtId="0" fontId="5" fillId="0" borderId="0" xfId="0" applyFont="1"/>
    <xf numFmtId="49" fontId="6" fillId="0" borderId="0" xfId="0" applyNumberFormat="1" applyFont="1" applyAlignment="1">
      <alignment horizontal="left"/>
    </xf>
    <xf numFmtId="41" fontId="2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41" fontId="9" fillId="2" borderId="0" xfId="0" applyNumberFormat="1" applyFont="1" applyFill="1" applyAlignment="1">
      <alignment horizontal="right" vertical="center"/>
    </xf>
    <xf numFmtId="49" fontId="9" fillId="3" borderId="1" xfId="0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top"/>
    </xf>
    <xf numFmtId="0" fontId="8" fillId="2" borderId="1" xfId="0" applyFont="1" applyFill="1" applyBorder="1" applyAlignment="1">
      <alignment horizontal="right" vertical="top"/>
    </xf>
    <xf numFmtId="49" fontId="9" fillId="3" borderId="0" xfId="0" applyNumberFormat="1" applyFont="1" applyFill="1" applyAlignment="1">
      <alignment horizontal="left" vertical="top"/>
    </xf>
    <xf numFmtId="49" fontId="9" fillId="0" borderId="0" xfId="0" applyNumberFormat="1" applyFont="1" applyAlignment="1">
      <alignment horizontal="right" vertical="center"/>
    </xf>
    <xf numFmtId="49" fontId="9" fillId="0" borderId="2" xfId="0" applyNumberFormat="1" applyFont="1" applyBorder="1" applyAlignment="1">
      <alignment horizontal="right" vertical="center"/>
    </xf>
    <xf numFmtId="41" fontId="4" fillId="2" borderId="0" xfId="0" applyNumberFormat="1" applyFont="1" applyFill="1"/>
    <xf numFmtId="0" fontId="9" fillId="0" borderId="0" xfId="1" applyFont="1" applyAlignment="1">
      <alignment horizontal="left" vertical="center"/>
    </xf>
    <xf numFmtId="41" fontId="7" fillId="0" borderId="0" xfId="0" applyNumberFormat="1" applyFont="1" applyAlignment="1">
      <alignment vertical="center"/>
    </xf>
    <xf numFmtId="41" fontId="9" fillId="2" borderId="0" xfId="0" applyNumberFormat="1" applyFont="1" applyFill="1" applyAlignment="1">
      <alignment vertical="center"/>
    </xf>
    <xf numFmtId="0" fontId="7" fillId="0" borderId="0" xfId="1" applyFont="1" applyAlignment="1">
      <alignment horizontal="left" vertical="center" indent="1"/>
    </xf>
    <xf numFmtId="41" fontId="7" fillId="0" borderId="1" xfId="0" applyNumberFormat="1" applyFont="1" applyBorder="1" applyAlignment="1">
      <alignment vertical="center"/>
    </xf>
    <xf numFmtId="0" fontId="9" fillId="0" borderId="3" xfId="1" applyFont="1" applyBorder="1" applyAlignment="1">
      <alignment horizontal="left" vertical="center"/>
    </xf>
    <xf numFmtId="41" fontId="9" fillId="0" borderId="0" xfId="0" applyNumberFormat="1" applyFont="1" applyAlignment="1">
      <alignment vertical="center"/>
    </xf>
    <xf numFmtId="41" fontId="9" fillId="2" borderId="0" xfId="0" applyNumberFormat="1" applyFont="1" applyFill="1"/>
    <xf numFmtId="41" fontId="7" fillId="2" borderId="0" xfId="0" applyNumberFormat="1" applyFont="1" applyFill="1" applyAlignment="1">
      <alignment vertical="center"/>
    </xf>
    <xf numFmtId="0" fontId="7" fillId="0" borderId="0" xfId="1" applyFont="1" applyAlignment="1">
      <alignment horizontal="left" vertical="center"/>
    </xf>
    <xf numFmtId="41" fontId="7" fillId="0" borderId="3" xfId="0" applyNumberFormat="1" applyFont="1" applyBorder="1" applyAlignment="1">
      <alignment vertical="center"/>
    </xf>
    <xf numFmtId="41" fontId="9" fillId="2" borderId="3" xfId="0" applyNumberFormat="1" applyFont="1" applyFill="1" applyBorder="1" applyAlignment="1">
      <alignment vertical="center"/>
    </xf>
    <xf numFmtId="41" fontId="9" fillId="0" borderId="3" xfId="0" applyNumberFormat="1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41" fontId="9" fillId="0" borderId="4" xfId="0" applyNumberFormat="1" applyFont="1" applyBorder="1" applyAlignment="1">
      <alignment vertical="center"/>
    </xf>
    <xf numFmtId="41" fontId="9" fillId="2" borderId="4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41" fontId="9" fillId="3" borderId="0" xfId="0" applyNumberFormat="1" applyFont="1" applyFill="1" applyAlignment="1">
      <alignment vertical="center"/>
    </xf>
    <xf numFmtId="0" fontId="7" fillId="0" borderId="0" xfId="0" applyFont="1" applyAlignment="1">
      <alignment horizontal="left" vertical="center"/>
    </xf>
    <xf numFmtId="41" fontId="0" fillId="0" borderId="0" xfId="0" applyNumberFormat="1"/>
    <xf numFmtId="49" fontId="3" fillId="0" borderId="0" xfId="0" applyNumberFormat="1" applyFont="1" applyAlignment="1">
      <alignment horizontal="left"/>
    </xf>
    <xf numFmtId="41" fontId="9" fillId="0" borderId="0" xfId="0" applyNumberFormat="1" applyFont="1"/>
    <xf numFmtId="41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9" fillId="3" borderId="3" xfId="3" applyNumberFormat="1" applyFont="1" applyFill="1" applyBorder="1" applyAlignment="1">
      <alignment horizontal="right" vertical="center"/>
    </xf>
    <xf numFmtId="49" fontId="9" fillId="0" borderId="3" xfId="3" applyNumberFormat="1" applyFont="1" applyBorder="1" applyAlignment="1">
      <alignment horizontal="right" vertical="center"/>
    </xf>
    <xf numFmtId="49" fontId="9" fillId="2" borderId="3" xfId="3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top"/>
    </xf>
    <xf numFmtId="0" fontId="8" fillId="0" borderId="0" xfId="0" applyFont="1" applyAlignment="1">
      <alignment horizontal="right" vertical="top"/>
    </xf>
    <xf numFmtId="41" fontId="7" fillId="0" borderId="0" xfId="2" applyNumberFormat="1" applyFont="1" applyAlignment="1">
      <alignment vertical="center"/>
    </xf>
    <xf numFmtId="41" fontId="9" fillId="2" borderId="0" xfId="2" applyNumberFormat="1" applyFont="1" applyFill="1" applyAlignment="1">
      <alignment vertical="center"/>
    </xf>
    <xf numFmtId="0" fontId="9" fillId="0" borderId="0" xfId="0" applyFont="1" applyAlignment="1">
      <alignment horizontal="left"/>
    </xf>
    <xf numFmtId="41" fontId="9" fillId="0" borderId="5" xfId="0" applyNumberFormat="1" applyFont="1" applyBorder="1" applyAlignment="1">
      <alignment vertical="center"/>
    </xf>
    <xf numFmtId="41" fontId="9" fillId="2" borderId="5" xfId="0" applyNumberFormat="1" applyFont="1" applyFill="1" applyBorder="1" applyAlignment="1">
      <alignment vertical="center"/>
    </xf>
    <xf numFmtId="41" fontId="7" fillId="0" borderId="0" xfId="2" applyNumberFormat="1" applyFont="1" applyBorder="1" applyAlignment="1">
      <alignment vertical="center"/>
    </xf>
    <xf numFmtId="41" fontId="9" fillId="2" borderId="0" xfId="2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 indent="1"/>
    </xf>
    <xf numFmtId="41" fontId="9" fillId="0" borderId="4" xfId="2" applyNumberFormat="1" applyFont="1" applyFill="1" applyBorder="1" applyAlignment="1">
      <alignment vertical="center"/>
    </xf>
    <xf numFmtId="0" fontId="4" fillId="2" borderId="0" xfId="0" applyFont="1" applyFill="1"/>
    <xf numFmtId="0" fontId="9" fillId="0" borderId="1" xfId="0" applyFont="1" applyBorder="1" applyAlignment="1">
      <alignment horizontal="left" vertical="center"/>
    </xf>
    <xf numFmtId="41" fontId="9" fillId="0" borderId="1" xfId="0" applyNumberFormat="1" applyFont="1" applyBorder="1" applyAlignment="1">
      <alignment vertical="center"/>
    </xf>
    <xf numFmtId="41" fontId="9" fillId="2" borderId="1" xfId="0" applyNumberFormat="1" applyFont="1" applyFill="1" applyBorder="1" applyAlignment="1">
      <alignment vertical="center"/>
    </xf>
    <xf numFmtId="41" fontId="0" fillId="2" borderId="0" xfId="0" applyNumberFormat="1" applyFill="1"/>
    <xf numFmtId="0" fontId="9" fillId="0" borderId="6" xfId="0" applyFont="1" applyBorder="1" applyAlignment="1">
      <alignment horizontal="left" vertical="center"/>
    </xf>
    <xf numFmtId="0" fontId="7" fillId="3" borderId="0" xfId="3" applyFont="1" applyFill="1" applyAlignment="1">
      <alignment vertical="center"/>
    </xf>
    <xf numFmtId="0" fontId="3" fillId="3" borderId="0" xfId="3" applyFont="1" applyFill="1"/>
    <xf numFmtId="41" fontId="7" fillId="3" borderId="0" xfId="3" applyNumberFormat="1" applyFont="1" applyFill="1" applyAlignment="1">
      <alignment vertical="center"/>
    </xf>
    <xf numFmtId="41" fontId="9" fillId="3" borderId="0" xfId="3" applyNumberFormat="1" applyFont="1" applyFill="1" applyAlignment="1">
      <alignment horizontal="right" vertical="center"/>
    </xf>
    <xf numFmtId="0" fontId="7" fillId="3" borderId="0" xfId="3" applyFont="1" applyFill="1" applyAlignment="1">
      <alignment horizontal="right" vertical="center"/>
    </xf>
    <xf numFmtId="0" fontId="6" fillId="3" borderId="0" xfId="3" applyFont="1" applyFill="1"/>
    <xf numFmtId="41" fontId="7" fillId="3" borderId="0" xfId="3" applyNumberFormat="1" applyFont="1" applyFill="1" applyAlignment="1">
      <alignment horizontal="right" vertical="center"/>
    </xf>
    <xf numFmtId="49" fontId="9" fillId="3" borderId="0" xfId="3" applyNumberFormat="1" applyFont="1" applyFill="1" applyAlignment="1">
      <alignment horizontal="right" vertical="center"/>
    </xf>
    <xf numFmtId="0" fontId="14" fillId="3" borderId="1" xfId="3" applyFont="1" applyFill="1" applyBorder="1" applyAlignment="1">
      <alignment vertical="top"/>
    </xf>
    <xf numFmtId="49" fontId="9" fillId="3" borderId="0" xfId="3" applyNumberFormat="1" applyFont="1" applyFill="1" applyAlignment="1">
      <alignment horizontal="right" vertical="top"/>
    </xf>
    <xf numFmtId="49" fontId="7" fillId="3" borderId="0" xfId="3" applyNumberFormat="1" applyFont="1" applyFill="1" applyAlignment="1">
      <alignment horizontal="right" vertical="center"/>
    </xf>
    <xf numFmtId="41" fontId="9" fillId="0" borderId="0" xfId="2" applyNumberFormat="1" applyFont="1" applyFill="1" applyBorder="1" applyAlignment="1">
      <alignment vertical="center"/>
    </xf>
    <xf numFmtId="49" fontId="9" fillId="2" borderId="0" xfId="3" applyNumberFormat="1" applyFont="1" applyFill="1" applyAlignment="1">
      <alignment horizontal="right" vertical="center"/>
    </xf>
    <xf numFmtId="0" fontId="9" fillId="3" borderId="0" xfId="3" applyFont="1" applyFill="1" applyAlignment="1">
      <alignment horizontal="left"/>
    </xf>
    <xf numFmtId="41" fontId="9" fillId="3" borderId="1" xfId="3" applyNumberFormat="1" applyFont="1" applyFill="1" applyBorder="1"/>
    <xf numFmtId="41" fontId="9" fillId="2" borderId="1" xfId="3" applyNumberFormat="1" applyFont="1" applyFill="1" applyBorder="1"/>
    <xf numFmtId="0" fontId="9" fillId="3" borderId="0" xfId="3" applyFont="1" applyFill="1"/>
    <xf numFmtId="41" fontId="9" fillId="3" borderId="0" xfId="2" applyNumberFormat="1" applyFont="1" applyFill="1" applyBorder="1" applyAlignment="1"/>
    <xf numFmtId="41" fontId="9" fillId="0" borderId="0" xfId="2" applyNumberFormat="1" applyFont="1" applyFill="1" applyBorder="1" applyAlignment="1"/>
    <xf numFmtId="41" fontId="9" fillId="2" borderId="0" xfId="3" applyNumberFormat="1" applyFont="1" applyFill="1"/>
    <xf numFmtId="41" fontId="9" fillId="3" borderId="0" xfId="3" applyNumberFormat="1" applyFont="1" applyFill="1"/>
    <xf numFmtId="0" fontId="7" fillId="3" borderId="0" xfId="3" applyFont="1" applyFill="1" applyAlignment="1">
      <alignment horizontal="left" indent="1"/>
    </xf>
    <xf numFmtId="41" fontId="7" fillId="3" borderId="0" xfId="3" applyNumberFormat="1" applyFont="1" applyFill="1"/>
    <xf numFmtId="41" fontId="7" fillId="0" borderId="0" xfId="3" applyNumberFormat="1" applyFont="1"/>
    <xf numFmtId="0" fontId="7" fillId="3" borderId="7" xfId="3" applyFont="1" applyFill="1" applyBorder="1" applyAlignment="1">
      <alignment horizontal="left" indent="2"/>
    </xf>
    <xf numFmtId="166" fontId="6" fillId="0" borderId="8" xfId="5" applyNumberFormat="1" applyFont="1" applyFill="1" applyBorder="1" applyAlignment="1"/>
    <xf numFmtId="166" fontId="6" fillId="0" borderId="9" xfId="5" applyNumberFormat="1" applyFont="1" applyFill="1" applyBorder="1" applyAlignment="1"/>
    <xf numFmtId="166" fontId="15" fillId="2" borderId="9" xfId="5" applyNumberFormat="1" applyFont="1" applyFill="1" applyBorder="1" applyAlignment="1"/>
    <xf numFmtId="166" fontId="6" fillId="0" borderId="10" xfId="5" applyNumberFormat="1" applyFont="1" applyFill="1" applyBorder="1" applyAlignment="1"/>
    <xf numFmtId="0" fontId="7" fillId="3" borderId="0" xfId="3" applyFont="1" applyFill="1"/>
    <xf numFmtId="41" fontId="7" fillId="0" borderId="0" xfId="2" applyNumberFormat="1" applyFont="1" applyFill="1" applyBorder="1" applyAlignment="1"/>
    <xf numFmtId="41" fontId="9" fillId="2" borderId="0" xfId="2" applyNumberFormat="1" applyFont="1" applyFill="1" applyBorder="1" applyAlignment="1"/>
    <xf numFmtId="41" fontId="7" fillId="0" borderId="0" xfId="3" applyNumberFormat="1" applyFont="1" applyAlignment="1">
      <alignment vertical="center"/>
    </xf>
    <xf numFmtId="41" fontId="9" fillId="2" borderId="0" xfId="3" applyNumberFormat="1" applyFont="1" applyFill="1" applyAlignment="1">
      <alignment vertical="center"/>
    </xf>
    <xf numFmtId="0" fontId="9" fillId="3" borderId="0" xfId="3" applyFont="1" applyFill="1" applyAlignment="1">
      <alignment horizontal="left" vertical="center"/>
    </xf>
    <xf numFmtId="41" fontId="9" fillId="0" borderId="0" xfId="3" applyNumberFormat="1" applyFont="1" applyAlignment="1">
      <alignment vertical="center"/>
    </xf>
    <xf numFmtId="41" fontId="9" fillId="0" borderId="5" xfId="3" applyNumberFormat="1" applyFont="1" applyBorder="1" applyAlignment="1">
      <alignment vertical="center"/>
    </xf>
    <xf numFmtId="41" fontId="9" fillId="2" borderId="5" xfId="3" applyNumberFormat="1" applyFont="1" applyFill="1" applyBorder="1" applyAlignment="1">
      <alignment vertical="center"/>
    </xf>
    <xf numFmtId="167" fontId="0" fillId="0" borderId="0" xfId="0" applyNumberFormat="1"/>
    <xf numFmtId="0" fontId="7" fillId="3" borderId="6" xfId="3" applyFont="1" applyFill="1" applyBorder="1" applyAlignment="1">
      <alignment vertical="center"/>
    </xf>
    <xf numFmtId="0" fontId="9" fillId="3" borderId="6" xfId="3" applyFont="1" applyFill="1" applyBorder="1" applyAlignment="1">
      <alignment horizontal="left" vertical="center"/>
    </xf>
    <xf numFmtId="41" fontId="9" fillId="3" borderId="6" xfId="3" applyNumberFormat="1" applyFont="1" applyFill="1" applyBorder="1" applyAlignment="1">
      <alignment vertical="center"/>
    </xf>
    <xf numFmtId="41" fontId="9" fillId="2" borderId="6" xfId="3" applyNumberFormat="1" applyFont="1" applyFill="1" applyBorder="1" applyAlignment="1">
      <alignment vertical="center"/>
    </xf>
    <xf numFmtId="41" fontId="9" fillId="3" borderId="0" xfId="3" applyNumberFormat="1" applyFont="1" applyFill="1" applyAlignment="1">
      <alignment vertical="center"/>
    </xf>
    <xf numFmtId="0" fontId="7" fillId="3" borderId="1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left" vertical="center"/>
    </xf>
    <xf numFmtId="41" fontId="3" fillId="3" borderId="1" xfId="3" applyNumberFormat="1" applyFont="1" applyFill="1" applyBorder="1" applyAlignment="1">
      <alignment horizontal="left" vertical="center"/>
    </xf>
    <xf numFmtId="41" fontId="10" fillId="0" borderId="1" xfId="3" applyNumberFormat="1" applyFont="1" applyBorder="1" applyAlignment="1">
      <alignment horizontal="left" vertical="center"/>
    </xf>
    <xf numFmtId="0" fontId="3" fillId="3" borderId="0" xfId="3" applyFont="1" applyFill="1" applyAlignment="1">
      <alignment horizontal="left" vertical="center"/>
    </xf>
    <xf numFmtId="0" fontId="7" fillId="3" borderId="1" xfId="3" applyFont="1" applyFill="1" applyBorder="1" applyAlignment="1">
      <alignment horizontal="left" indent="1"/>
    </xf>
    <xf numFmtId="41" fontId="7" fillId="3" borderId="3" xfId="3" applyNumberFormat="1" applyFont="1" applyFill="1" applyBorder="1" applyAlignment="1">
      <alignment vertical="center"/>
    </xf>
    <xf numFmtId="41" fontId="9" fillId="0" borderId="3" xfId="3" applyNumberFormat="1" applyFont="1" applyBorder="1" applyAlignment="1">
      <alignment vertical="center"/>
    </xf>
    <xf numFmtId="41" fontId="9" fillId="2" borderId="3" xfId="3" applyNumberFormat="1" applyFont="1" applyFill="1" applyBorder="1" applyAlignment="1">
      <alignment vertical="center"/>
    </xf>
    <xf numFmtId="41" fontId="9" fillId="0" borderId="6" xfId="3" applyNumberFormat="1" applyFont="1" applyBorder="1" applyAlignment="1">
      <alignment vertical="center"/>
    </xf>
    <xf numFmtId="49" fontId="9" fillId="3" borderId="0" xfId="3" applyNumberFormat="1" applyFont="1" applyFill="1" applyAlignment="1">
      <alignment horizontal="left"/>
    </xf>
    <xf numFmtId="41" fontId="7" fillId="3" borderId="0" xfId="2" applyNumberFormat="1" applyFont="1" applyFill="1" applyBorder="1" applyAlignment="1"/>
    <xf numFmtId="0" fontId="12" fillId="0" borderId="0" xfId="6"/>
    <xf numFmtId="49" fontId="13" fillId="3" borderId="1" xfId="3" applyNumberFormat="1" applyFont="1" applyFill="1" applyBorder="1" applyAlignment="1">
      <alignment horizontal="left"/>
    </xf>
    <xf numFmtId="41" fontId="9" fillId="3" borderId="0" xfId="2" applyNumberFormat="1" applyFont="1" applyFill="1" applyBorder="1" applyAlignment="1">
      <alignment horizontal="center"/>
    </xf>
    <xf numFmtId="49" fontId="13" fillId="3" borderId="0" xfId="3" applyNumberFormat="1" applyFont="1" applyFill="1" applyAlignment="1">
      <alignment horizontal="left"/>
    </xf>
    <xf numFmtId="41" fontId="9" fillId="0" borderId="0" xfId="2" applyNumberFormat="1" applyFont="1" applyFill="1" applyBorder="1" applyAlignment="1">
      <alignment horizontal="center"/>
    </xf>
    <xf numFmtId="41" fontId="7" fillId="3" borderId="1" xfId="2" applyNumberFormat="1" applyFont="1" applyFill="1" applyBorder="1" applyAlignment="1"/>
    <xf numFmtId="41" fontId="7" fillId="0" borderId="1" xfId="2" applyNumberFormat="1" applyFont="1" applyFill="1" applyBorder="1" applyAlignment="1"/>
    <xf numFmtId="41" fontId="9" fillId="2" borderId="1" xfId="2" applyNumberFormat="1" applyFont="1" applyFill="1" applyBorder="1" applyAlignment="1"/>
    <xf numFmtId="0" fontId="7" fillId="0" borderId="0" xfId="0" applyFont="1" applyAlignment="1">
      <alignment horizontal="left" indent="1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49" fontId="13" fillId="3" borderId="0" xfId="3" applyNumberFormat="1" applyFont="1" applyFill="1" applyAlignment="1">
      <alignment horizontal="left" indent="1"/>
    </xf>
    <xf numFmtId="0" fontId="7" fillId="3" borderId="3" xfId="3" applyFont="1" applyFill="1" applyBorder="1" applyAlignment="1">
      <alignment vertical="center"/>
    </xf>
    <xf numFmtId="49" fontId="13" fillId="3" borderId="3" xfId="3" applyNumberFormat="1" applyFont="1" applyFill="1" applyBorder="1" applyAlignment="1">
      <alignment horizontal="left" indent="1"/>
    </xf>
    <xf numFmtId="0" fontId="8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0" borderId="0" xfId="6" applyFont="1" applyAlignment="1">
      <alignment horizontal="left" vertical="center"/>
    </xf>
    <xf numFmtId="41" fontId="9" fillId="0" borderId="0" xfId="7" applyNumberFormat="1" applyFont="1" applyAlignment="1">
      <alignment vertical="center"/>
    </xf>
    <xf numFmtId="41" fontId="9" fillId="0" borderId="0" xfId="2" applyNumberFormat="1" applyFont="1" applyFill="1" applyBorder="1" applyAlignment="1">
      <alignment horizontal="right" vertical="center"/>
    </xf>
    <xf numFmtId="41" fontId="9" fillId="2" borderId="0" xfId="7" applyNumberFormat="1" applyFont="1" applyFill="1" applyAlignment="1">
      <alignment vertical="center"/>
    </xf>
    <xf numFmtId="41" fontId="7" fillId="0" borderId="0" xfId="7" applyNumberFormat="1" applyFont="1" applyAlignment="1">
      <alignment vertical="center"/>
    </xf>
    <xf numFmtId="49" fontId="7" fillId="0" borderId="0" xfId="7" applyNumberFormat="1" applyFont="1" applyAlignment="1">
      <alignment horizontal="left"/>
    </xf>
    <xf numFmtId="41" fontId="7" fillId="0" borderId="0" xfId="2" applyNumberFormat="1" applyFont="1" applyFill="1" applyAlignment="1">
      <alignment horizontal="right" vertical="center"/>
    </xf>
    <xf numFmtId="41" fontId="7" fillId="0" borderId="0" xfId="2" applyNumberFormat="1" applyFont="1" applyFill="1" applyBorder="1" applyAlignment="1">
      <alignment horizontal="right" vertical="center"/>
    </xf>
    <xf numFmtId="41" fontId="9" fillId="2" borderId="0" xfId="2" applyNumberFormat="1" applyFont="1" applyFill="1" applyAlignment="1">
      <alignment horizontal="right" vertical="center"/>
    </xf>
    <xf numFmtId="41" fontId="7" fillId="0" borderId="0" xfId="2" applyNumberFormat="1" applyFont="1" applyAlignment="1">
      <alignment horizontal="right" vertical="center"/>
    </xf>
    <xf numFmtId="41" fontId="7" fillId="3" borderId="0" xfId="0" applyNumberFormat="1" applyFont="1" applyFill="1" applyAlignment="1">
      <alignment vertical="center"/>
    </xf>
    <xf numFmtId="0" fontId="9" fillId="0" borderId="5" xfId="6" applyFont="1" applyBorder="1" applyAlignment="1">
      <alignment horizontal="left" vertical="center"/>
    </xf>
    <xf numFmtId="41" fontId="9" fillId="0" borderId="5" xfId="2" applyNumberFormat="1" applyFont="1" applyFill="1" applyBorder="1" applyAlignment="1">
      <alignment horizontal="right" vertical="center"/>
    </xf>
    <xf numFmtId="41" fontId="9" fillId="2" borderId="5" xfId="2" applyNumberFormat="1" applyFont="1" applyFill="1" applyBorder="1" applyAlignment="1">
      <alignment horizontal="right" vertical="center"/>
    </xf>
    <xf numFmtId="41" fontId="9" fillId="0" borderId="5" xfId="2" applyNumberFormat="1" applyFont="1" applyBorder="1" applyAlignment="1">
      <alignment horizontal="right" vertical="center"/>
    </xf>
    <xf numFmtId="41" fontId="9" fillId="0" borderId="0" xfId="6" applyNumberFormat="1" applyFont="1" applyAlignment="1">
      <alignment horizontal="right" vertical="center"/>
    </xf>
    <xf numFmtId="41" fontId="7" fillId="0" borderId="0" xfId="6" applyNumberFormat="1" applyFont="1" applyAlignment="1">
      <alignment horizontal="right" vertical="center"/>
    </xf>
    <xf numFmtId="41" fontId="9" fillId="2" borderId="0" xfId="6" applyNumberFormat="1" applyFont="1" applyFill="1" applyAlignment="1">
      <alignment horizontal="right" vertical="center"/>
    </xf>
    <xf numFmtId="41" fontId="9" fillId="2" borderId="0" xfId="6" applyNumberFormat="1" applyFont="1" applyFill="1" applyAlignment="1">
      <alignment vertical="center"/>
    </xf>
    <xf numFmtId="41" fontId="7" fillId="0" borderId="0" xfId="6" applyNumberFormat="1" applyFont="1" applyAlignment="1">
      <alignment vertical="center"/>
    </xf>
    <xf numFmtId="41" fontId="7" fillId="3" borderId="0" xfId="2" applyNumberFormat="1" applyFont="1" applyFill="1" applyAlignment="1"/>
    <xf numFmtId="41" fontId="9" fillId="2" borderId="0" xfId="2" applyNumberFormat="1" applyFont="1" applyFill="1" applyAlignment="1"/>
    <xf numFmtId="0" fontId="7" fillId="0" borderId="0" xfId="6" applyFont="1" applyAlignment="1">
      <alignment horizontal="left" vertical="center"/>
    </xf>
    <xf numFmtId="41" fontId="9" fillId="2" borderId="0" xfId="2" applyNumberFormat="1" applyFont="1" applyFill="1" applyBorder="1" applyAlignment="1">
      <alignment horizontal="right" vertical="center"/>
    </xf>
    <xf numFmtId="41" fontId="9" fillId="0" borderId="0" xfId="2" applyNumberFormat="1" applyFont="1" applyBorder="1" applyAlignment="1">
      <alignment horizontal="right" vertical="center"/>
    </xf>
    <xf numFmtId="0" fontId="9" fillId="0" borderId="6" xfId="6" applyFont="1" applyBorder="1" applyAlignment="1">
      <alignment horizontal="left" vertical="center"/>
    </xf>
    <xf numFmtId="41" fontId="9" fillId="0" borderId="6" xfId="2" applyNumberFormat="1" applyFont="1" applyBorder="1" applyAlignment="1">
      <alignment horizontal="right" vertical="center"/>
    </xf>
    <xf numFmtId="41" fontId="9" fillId="0" borderId="6" xfId="2" applyNumberFormat="1" applyFont="1" applyFill="1" applyBorder="1" applyAlignment="1">
      <alignment horizontal="right" vertical="center"/>
    </xf>
    <xf numFmtId="41" fontId="9" fillId="2" borderId="6" xfId="2" applyNumberFormat="1" applyFont="1" applyFill="1" applyBorder="1" applyAlignment="1">
      <alignment horizontal="right" vertical="center"/>
    </xf>
    <xf numFmtId="0" fontId="7" fillId="3" borderId="0" xfId="3" applyFont="1" applyFill="1" applyAlignment="1">
      <alignment horizontal="left"/>
    </xf>
    <xf numFmtId="0" fontId="7" fillId="3" borderId="11" xfId="3" applyFont="1" applyFill="1" applyBorder="1" applyAlignment="1">
      <alignment vertical="center"/>
    </xf>
    <xf numFmtId="0" fontId="9" fillId="0" borderId="11" xfId="6" applyFont="1" applyBorder="1" applyAlignment="1">
      <alignment horizontal="left" vertical="center"/>
    </xf>
    <xf numFmtId="165" fontId="9" fillId="0" borderId="11" xfId="4" applyNumberFormat="1" applyFont="1" applyFill="1" applyBorder="1" applyAlignment="1">
      <alignment horizontal="right" vertical="center"/>
    </xf>
    <xf numFmtId="49" fontId="3" fillId="0" borderId="0" xfId="7" applyNumberFormat="1" applyFont="1" applyAlignment="1">
      <alignment horizontal="left"/>
    </xf>
    <xf numFmtId="49" fontId="7" fillId="0" borderId="0" xfId="3" applyNumberFormat="1" applyFont="1" applyAlignment="1">
      <alignment horizontal="left" vertical="center" indent="1"/>
    </xf>
    <xf numFmtId="0" fontId="9" fillId="0" borderId="0" xfId="0" applyFont="1" applyAlignment="1">
      <alignment horizontal="right" vertical="center"/>
    </xf>
    <xf numFmtId="41" fontId="7" fillId="0" borderId="0" xfId="2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/>
    <xf numFmtId="0" fontId="7" fillId="0" borderId="0" xfId="0" applyFont="1" applyAlignment="1">
      <alignment horizontal="left" indent="2"/>
    </xf>
    <xf numFmtId="41" fontId="0" fillId="3" borderId="0" xfId="0" applyNumberFormat="1" applyFill="1"/>
    <xf numFmtId="41" fontId="7" fillId="0" borderId="0" xfId="2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41" fontId="9" fillId="2" borderId="4" xfId="2" applyNumberFormat="1" applyFont="1" applyFill="1" applyBorder="1" applyAlignment="1">
      <alignment vertical="center"/>
    </xf>
    <xf numFmtId="0" fontId="1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49" fontId="7" fillId="0" borderId="0" xfId="0" applyNumberFormat="1" applyFont="1" applyAlignment="1">
      <alignment horizontal="left" indent="2"/>
    </xf>
    <xf numFmtId="49" fontId="7" fillId="0" borderId="0" xfId="0" applyNumberFormat="1" applyFont="1" applyAlignment="1">
      <alignment horizontal="right" indent="2"/>
    </xf>
    <xf numFmtId="41" fontId="7" fillId="0" borderId="5" xfId="2" applyNumberFormat="1" applyFont="1" applyBorder="1" applyAlignment="1">
      <alignment vertical="center"/>
    </xf>
    <xf numFmtId="41" fontId="7" fillId="0" borderId="5" xfId="2" applyNumberFormat="1" applyFont="1" applyFill="1" applyBorder="1" applyAlignment="1">
      <alignment vertical="center"/>
    </xf>
    <xf numFmtId="41" fontId="9" fillId="2" borderId="5" xfId="2" applyNumberFormat="1" applyFont="1" applyFill="1" applyBorder="1" applyAlignment="1">
      <alignment vertical="center"/>
    </xf>
    <xf numFmtId="0" fontId="16" fillId="0" borderId="0" xfId="0" applyFont="1" applyAlignment="1">
      <alignment horizontal="left" indent="1"/>
    </xf>
    <xf numFmtId="41" fontId="7" fillId="3" borderId="0" xfId="0" applyNumberFormat="1" applyFont="1" applyFill="1"/>
    <xf numFmtId="0" fontId="7" fillId="0" borderId="0" xfId="0" applyFont="1" applyAlignment="1">
      <alignment horizontal="right" indent="2"/>
    </xf>
    <xf numFmtId="41" fontId="7" fillId="0" borderId="0" xfId="2" applyNumberFormat="1" applyFont="1" applyFill="1" applyAlignment="1">
      <alignment horizontal="left" vertical="center" indent="1"/>
    </xf>
    <xf numFmtId="41" fontId="9" fillId="2" borderId="0" xfId="2" applyNumberFormat="1" applyFont="1" applyFill="1" applyAlignment="1">
      <alignment horizontal="left" vertical="center" indent="1"/>
    </xf>
    <xf numFmtId="41" fontId="7" fillId="0" borderId="1" xfId="2" applyNumberFormat="1" applyFont="1" applyBorder="1" applyAlignment="1">
      <alignment vertical="center"/>
    </xf>
    <xf numFmtId="41" fontId="7" fillId="0" borderId="1" xfId="2" applyNumberFormat="1" applyFont="1" applyFill="1" applyBorder="1" applyAlignment="1">
      <alignment vertical="center"/>
    </xf>
    <xf numFmtId="41" fontId="9" fillId="2" borderId="1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0" fontId="0" fillId="2" borderId="3" xfId="0" applyFill="1" applyBorder="1"/>
    <xf numFmtId="0" fontId="0" fillId="0" borderId="3" xfId="0" applyBorder="1"/>
    <xf numFmtId="41" fontId="7" fillId="0" borderId="2" xfId="0" applyNumberFormat="1" applyFont="1" applyBorder="1"/>
    <xf numFmtId="0" fontId="7" fillId="0" borderId="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41" fontId="9" fillId="3" borderId="12" xfId="8" applyNumberFormat="1" applyFont="1" applyFill="1" applyBorder="1" applyAlignment="1">
      <alignment horizontal="left" vertical="center"/>
    </xf>
    <xf numFmtId="41" fontId="9" fillId="2" borderId="12" xfId="0" applyNumberFormat="1" applyFont="1" applyFill="1" applyBorder="1" applyAlignment="1">
      <alignment vertical="center"/>
    </xf>
    <xf numFmtId="41" fontId="9" fillId="0" borderId="12" xfId="0" applyNumberFormat="1" applyFont="1" applyBorder="1" applyAlignment="1">
      <alignment vertical="center"/>
    </xf>
    <xf numFmtId="0" fontId="4" fillId="0" borderId="0" xfId="0" applyFont="1"/>
    <xf numFmtId="0" fontId="6" fillId="0" borderId="0" xfId="0" applyFont="1"/>
    <xf numFmtId="41" fontId="7" fillId="3" borderId="1" xfId="0" applyNumberFormat="1" applyFont="1" applyFill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41" fontId="9" fillId="3" borderId="4" xfId="8" applyNumberFormat="1" applyFont="1" applyFill="1" applyBorder="1" applyAlignment="1">
      <alignment horizontal="left" vertical="center"/>
    </xf>
    <xf numFmtId="41" fontId="9" fillId="3" borderId="4" xfId="0" applyNumberFormat="1" applyFont="1" applyFill="1" applyBorder="1" applyAlignment="1">
      <alignment vertical="center"/>
    </xf>
    <xf numFmtId="0" fontId="7" fillId="0" borderId="0" xfId="1" applyFont="1" applyAlignment="1">
      <alignment horizontal="left" indent="1"/>
    </xf>
    <xf numFmtId="0" fontId="9" fillId="0" borderId="1" xfId="1" applyFont="1" applyBorder="1" applyAlignment="1">
      <alignment horizontal="left" vertical="center"/>
    </xf>
    <xf numFmtId="0" fontId="9" fillId="0" borderId="0" xfId="1" applyFont="1" applyAlignment="1">
      <alignment horizontal="left"/>
    </xf>
    <xf numFmtId="41" fontId="9" fillId="0" borderId="0" xfId="1" applyNumberFormat="1" applyFont="1" applyAlignment="1">
      <alignment vertical="center"/>
    </xf>
    <xf numFmtId="41" fontId="9" fillId="0" borderId="0" xfId="0" applyNumberFormat="1" applyFont="1" applyAlignment="1">
      <alignment horizontal="left"/>
    </xf>
    <xf numFmtId="41" fontId="7" fillId="0" borderId="0" xfId="2" applyNumberFormat="1" applyFont="1" applyFill="1" applyAlignment="1"/>
    <xf numFmtId="0" fontId="7" fillId="0" borderId="0" xfId="9" applyFont="1" applyAlignment="1">
      <alignment horizontal="left" indent="1"/>
    </xf>
    <xf numFmtId="0" fontId="9" fillId="0" borderId="5" xfId="3" applyFont="1" applyBorder="1" applyAlignment="1">
      <alignment horizontal="left" vertical="center"/>
    </xf>
    <xf numFmtId="41" fontId="9" fillId="0" borderId="5" xfId="3" applyNumberFormat="1" applyFont="1" applyBorder="1" applyAlignment="1">
      <alignment horizontal="left" vertical="center"/>
    </xf>
    <xf numFmtId="41" fontId="9" fillId="2" borderId="5" xfId="3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indent="1"/>
    </xf>
    <xf numFmtId="0" fontId="9" fillId="0" borderId="5" xfId="0" applyFont="1" applyBorder="1" applyAlignment="1">
      <alignment horizontal="left" vertical="center"/>
    </xf>
    <xf numFmtId="41" fontId="9" fillId="0" borderId="5" xfId="2" applyNumberFormat="1" applyFont="1" applyFill="1" applyBorder="1" applyAlignment="1"/>
    <xf numFmtId="41" fontId="9" fillId="2" borderId="5" xfId="2" applyNumberFormat="1" applyFont="1" applyFill="1" applyBorder="1" applyAlignment="1"/>
    <xf numFmtId="0" fontId="0" fillId="0" borderId="0" xfId="0" applyAlignment="1">
      <alignment horizontal="right"/>
    </xf>
    <xf numFmtId="167" fontId="2" fillId="0" borderId="0" xfId="2" applyNumberFormat="1"/>
    <xf numFmtId="0" fontId="7" fillId="0" borderId="1" xfId="0" applyFont="1" applyBorder="1" applyAlignment="1">
      <alignment horizontal="left"/>
    </xf>
    <xf numFmtId="9" fontId="9" fillId="0" borderId="0" xfId="4" applyFont="1" applyFill="1" applyBorder="1" applyAlignment="1">
      <alignment vertical="center"/>
    </xf>
    <xf numFmtId="41" fontId="9" fillId="0" borderId="0" xfId="4" applyNumberFormat="1" applyFont="1" applyFill="1" applyBorder="1" applyAlignment="1">
      <alignment vertical="center"/>
    </xf>
    <xf numFmtId="41" fontId="9" fillId="0" borderId="5" xfId="0" applyNumberFormat="1" applyFont="1" applyBorder="1" applyAlignment="1">
      <alignment horizontal="left" vertical="center"/>
    </xf>
    <xf numFmtId="41" fontId="9" fillId="0" borderId="4" xfId="0" applyNumberFormat="1" applyFont="1" applyBorder="1" applyAlignment="1">
      <alignment horizontal="left" vertical="center"/>
    </xf>
    <xf numFmtId="41" fontId="9" fillId="2" borderId="4" xfId="0" applyNumberFormat="1" applyFont="1" applyFill="1" applyBorder="1" applyAlignment="1">
      <alignment horizontal="left" vertical="center"/>
    </xf>
    <xf numFmtId="0" fontId="7" fillId="0" borderId="0" xfId="3" applyFont="1"/>
    <xf numFmtId="0" fontId="7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indent="1"/>
    </xf>
    <xf numFmtId="41" fontId="7" fillId="0" borderId="0" xfId="0" applyNumberFormat="1" applyFont="1" applyAlignment="1">
      <alignment horizontal="left" indent="1"/>
    </xf>
    <xf numFmtId="0" fontId="9" fillId="0" borderId="0" xfId="0" applyFont="1" applyAlignment="1">
      <alignment horizontal="right"/>
    </xf>
    <xf numFmtId="41" fontId="9" fillId="0" borderId="3" xfId="0" applyNumberFormat="1" applyFont="1" applyBorder="1"/>
    <xf numFmtId="41" fontId="9" fillId="2" borderId="3" xfId="0" applyNumberFormat="1" applyFont="1" applyFill="1" applyBorder="1"/>
    <xf numFmtId="41" fontId="9" fillId="2" borderId="1" xfId="0" applyNumberFormat="1" applyFont="1" applyFill="1" applyBorder="1"/>
    <xf numFmtId="41" fontId="7" fillId="3" borderId="1" xfId="0" applyNumberFormat="1" applyFont="1" applyFill="1" applyBorder="1"/>
    <xf numFmtId="0" fontId="17" fillId="0" borderId="0" xfId="0" applyFont="1" applyAlignment="1">
      <alignment horizontal="right"/>
    </xf>
    <xf numFmtId="41" fontId="9" fillId="3" borderId="3" xfId="8" applyNumberFormat="1" applyFont="1" applyFill="1" applyBorder="1"/>
    <xf numFmtId="41" fontId="9" fillId="2" borderId="3" xfId="8" applyNumberFormat="1" applyFont="1" applyFill="1" applyBorder="1"/>
    <xf numFmtId="41" fontId="9" fillId="3" borderId="0" xfId="8" applyNumberFormat="1" applyFont="1" applyFill="1"/>
    <xf numFmtId="41" fontId="9" fillId="2" borderId="0" xfId="8" applyNumberFormat="1" applyFont="1" applyFill="1"/>
    <xf numFmtId="0" fontId="9" fillId="0" borderId="1" xfId="0" applyFont="1" applyBorder="1" applyAlignment="1">
      <alignment horizontal="right" wrapText="1"/>
    </xf>
    <xf numFmtId="41" fontId="9" fillId="3" borderId="5" xfId="8" applyNumberFormat="1" applyFont="1" applyFill="1" applyBorder="1"/>
    <xf numFmtId="41" fontId="9" fillId="0" borderId="5" xfId="8" applyNumberFormat="1" applyFont="1" applyBorder="1"/>
    <xf numFmtId="41" fontId="9" fillId="2" borderId="5" xfId="8" applyNumberFormat="1" applyFont="1" applyFill="1" applyBorder="1"/>
    <xf numFmtId="0" fontId="17" fillId="0" borderId="0" xfId="0" applyFont="1" applyAlignment="1">
      <alignment horizontal="left" vertical="center"/>
    </xf>
    <xf numFmtId="41" fontId="9" fillId="0" borderId="4" xfId="0" applyNumberFormat="1" applyFont="1" applyBorder="1"/>
    <xf numFmtId="41" fontId="9" fillId="2" borderId="4" xfId="0" applyNumberFormat="1" applyFont="1" applyFill="1" applyBorder="1"/>
    <xf numFmtId="0" fontId="19" fillId="0" borderId="0" xfId="0" applyFont="1"/>
    <xf numFmtId="0" fontId="3" fillId="0" borderId="0" xfId="3" applyFont="1" applyAlignment="1">
      <alignment horizontal="left"/>
    </xf>
    <xf numFmtId="0" fontId="7" fillId="0" borderId="0" xfId="3" applyFont="1" applyAlignment="1">
      <alignment horizontal="left"/>
    </xf>
    <xf numFmtId="0" fontId="7" fillId="0" borderId="0" xfId="3" applyFont="1" applyAlignment="1">
      <alignment horizontal="right" vertical="center"/>
    </xf>
    <xf numFmtId="0" fontId="9" fillId="0" borderId="0" xfId="0" applyFont="1"/>
    <xf numFmtId="0" fontId="9" fillId="2" borderId="0" xfId="3" applyFont="1" applyFill="1"/>
    <xf numFmtId="0" fontId="7" fillId="0" borderId="0" xfId="9" applyFont="1" applyAlignment="1">
      <alignment horizontal="left"/>
    </xf>
    <xf numFmtId="0" fontId="7" fillId="0" borderId="0" xfId="3" applyFont="1" applyAlignment="1">
      <alignment vertical="center"/>
    </xf>
    <xf numFmtId="0" fontId="7" fillId="0" borderId="0" xfId="9" applyFont="1"/>
    <xf numFmtId="41" fontId="9" fillId="0" borderId="0" xfId="3" applyNumberFormat="1" applyFont="1" applyAlignment="1">
      <alignment horizontal="right" vertical="center"/>
    </xf>
    <xf numFmtId="0" fontId="9" fillId="0" borderId="4" xfId="3" applyFont="1" applyBorder="1" applyAlignment="1">
      <alignment horizontal="left" vertical="center"/>
    </xf>
    <xf numFmtId="0" fontId="9" fillId="0" borderId="0" xfId="3" applyFont="1" applyAlignment="1">
      <alignment horizontal="right"/>
    </xf>
    <xf numFmtId="168" fontId="7" fillId="0" borderId="0" xfId="0" applyNumberFormat="1" applyFont="1"/>
    <xf numFmtId="0" fontId="3" fillId="3" borderId="0" xfId="8" applyFont="1" applyFill="1" applyAlignment="1">
      <alignment horizontal="left"/>
    </xf>
    <xf numFmtId="0" fontId="7" fillId="3" borderId="0" xfId="8" applyFont="1" applyFill="1" applyAlignment="1">
      <alignment horizontal="left"/>
    </xf>
    <xf numFmtId="0" fontId="11" fillId="0" borderId="0" xfId="3" applyFont="1"/>
    <xf numFmtId="49" fontId="9" fillId="0" borderId="1" xfId="0" applyNumberFormat="1" applyFont="1" applyBorder="1" applyAlignment="1">
      <alignment horizontal="right" vertical="center"/>
    </xf>
    <xf numFmtId="0" fontId="7" fillId="3" borderId="0" xfId="8" applyFont="1" applyFill="1"/>
    <xf numFmtId="0" fontId="9" fillId="3" borderId="4" xfId="8" applyFont="1" applyFill="1" applyBorder="1" applyAlignment="1">
      <alignment horizontal="left" vertical="center"/>
    </xf>
    <xf numFmtId="41" fontId="9" fillId="0" borderId="4" xfId="8" applyNumberFormat="1" applyFont="1" applyBorder="1" applyAlignment="1">
      <alignment horizontal="left" vertical="center"/>
    </xf>
    <xf numFmtId="41" fontId="9" fillId="2" borderId="4" xfId="8" applyNumberFormat="1" applyFont="1" applyFill="1" applyBorder="1" applyAlignment="1">
      <alignment horizontal="right" vertical="center"/>
    </xf>
    <xf numFmtId="41" fontId="9" fillId="3" borderId="4" xfId="8" applyNumberFormat="1" applyFont="1" applyFill="1" applyBorder="1" applyAlignment="1">
      <alignment horizontal="right" vertical="center"/>
    </xf>
    <xf numFmtId="0" fontId="18" fillId="0" borderId="0" xfId="3" applyFont="1" applyAlignment="1">
      <alignment vertical="center"/>
    </xf>
    <xf numFmtId="41" fontId="18" fillId="0" borderId="0" xfId="0" applyNumberFormat="1" applyFont="1"/>
    <xf numFmtId="0" fontId="8" fillId="3" borderId="1" xfId="0" applyFont="1" applyFill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41" fontId="7" fillId="3" borderId="0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1" fontId="7" fillId="0" borderId="13" xfId="2" applyNumberFormat="1" applyFont="1" applyBorder="1" applyAlignment="1">
      <alignment vertical="center"/>
    </xf>
    <xf numFmtId="41" fontId="9" fillId="2" borderId="13" xfId="2" applyNumberFormat="1" applyFont="1" applyFill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41" fontId="9" fillId="0" borderId="14" xfId="2" applyNumberFormat="1" applyFont="1" applyBorder="1" applyAlignment="1">
      <alignment vertical="center"/>
    </xf>
    <xf numFmtId="41" fontId="9" fillId="3" borderId="14" xfId="2" applyNumberFormat="1" applyFont="1" applyFill="1" applyBorder="1" applyAlignment="1">
      <alignment vertical="center"/>
    </xf>
    <xf numFmtId="41" fontId="9" fillId="2" borderId="14" xfId="2" applyNumberFormat="1" applyFont="1" applyFill="1" applyBorder="1" applyAlignment="1">
      <alignment vertical="center"/>
    </xf>
    <xf numFmtId="0" fontId="9" fillId="2" borderId="0" xfId="0" applyFont="1" applyFill="1"/>
    <xf numFmtId="41" fontId="7" fillId="0" borderId="0" xfId="2" applyNumberFormat="1" applyFont="1" applyAlignment="1"/>
    <xf numFmtId="0" fontId="0" fillId="0" borderId="0" xfId="0" applyAlignment="1">
      <alignment vertical="center"/>
    </xf>
    <xf numFmtId="0" fontId="3" fillId="0" borderId="0" xfId="10" applyFont="1"/>
    <xf numFmtId="0" fontId="7" fillId="0" borderId="0" xfId="9" applyFont="1" applyAlignment="1">
      <alignment horizontal="left" vertical="center"/>
    </xf>
    <xf numFmtId="41" fontId="7" fillId="0" borderId="0" xfId="9" applyNumberFormat="1" applyFont="1" applyAlignment="1">
      <alignment horizontal="left"/>
    </xf>
    <xf numFmtId="41" fontId="9" fillId="2" borderId="0" xfId="9" applyNumberFormat="1" applyFont="1" applyFill="1" applyAlignment="1">
      <alignment horizontal="left"/>
    </xf>
    <xf numFmtId="41" fontId="9" fillId="0" borderId="15" xfId="2" applyNumberFormat="1" applyFont="1" applyFill="1" applyBorder="1" applyAlignment="1">
      <alignment vertical="center"/>
    </xf>
    <xf numFmtId="41" fontId="7" fillId="0" borderId="0" xfId="9" applyNumberFormat="1" applyFont="1" applyAlignment="1">
      <alignment horizontal="left" vertical="center"/>
    </xf>
    <xf numFmtId="41" fontId="9" fillId="2" borderId="0" xfId="9" applyNumberFormat="1" applyFont="1" applyFill="1" applyAlignment="1">
      <alignment horizontal="left" vertical="center"/>
    </xf>
    <xf numFmtId="0" fontId="8" fillId="2" borderId="3" xfId="0" applyFont="1" applyFill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49" fontId="7" fillId="0" borderId="0" xfId="7" applyNumberFormat="1" applyFont="1" applyAlignment="1">
      <alignment horizontal="left" vertical="center" indent="1"/>
    </xf>
    <xf numFmtId="41" fontId="9" fillId="0" borderId="4" xfId="8" applyNumberFormat="1" applyFont="1" applyBorder="1" applyAlignment="1">
      <alignment horizontal="right" vertical="center"/>
    </xf>
    <xf numFmtId="41" fontId="9" fillId="2" borderId="4" xfId="8" applyNumberFormat="1" applyFont="1" applyFill="1" applyBorder="1" applyAlignment="1">
      <alignment horizontal="left" vertical="center"/>
    </xf>
    <xf numFmtId="49" fontId="3" fillId="3" borderId="0" xfId="11" applyNumberFormat="1" applyFont="1" applyFill="1" applyAlignment="1">
      <alignment horizontal="left"/>
    </xf>
    <xf numFmtId="0" fontId="22" fillId="3" borderId="0" xfId="11" applyFill="1"/>
    <xf numFmtId="49" fontId="4" fillId="3" borderId="1" xfId="11" applyNumberFormat="1" applyFont="1" applyFill="1" applyBorder="1" applyAlignment="1">
      <alignment horizontal="left"/>
    </xf>
    <xf numFmtId="41" fontId="7" fillId="3" borderId="0" xfId="12" applyNumberFormat="1" applyFont="1" applyFill="1" applyBorder="1" applyAlignment="1">
      <alignment horizontal="right" vertical="center"/>
    </xf>
    <xf numFmtId="0" fontId="7" fillId="3" borderId="0" xfId="11" applyFont="1" applyFill="1" applyAlignment="1">
      <alignment horizontal="left" vertical="center"/>
    </xf>
    <xf numFmtId="41" fontId="7" fillId="0" borderId="0" xfId="12" applyNumberFormat="1" applyFont="1" applyFill="1" applyBorder="1" applyAlignment="1">
      <alignment horizontal="right" vertical="center"/>
    </xf>
    <xf numFmtId="41" fontId="9" fillId="2" borderId="0" xfId="12" applyNumberFormat="1" applyFont="1" applyFill="1" applyBorder="1" applyAlignment="1">
      <alignment horizontal="right" vertical="center"/>
    </xf>
    <xf numFmtId="41" fontId="9" fillId="0" borderId="0" xfId="12" applyNumberFormat="1" applyFont="1" applyFill="1" applyBorder="1" applyAlignment="1">
      <alignment horizontal="right" vertical="center"/>
    </xf>
    <xf numFmtId="41" fontId="7" fillId="3" borderId="1" xfId="12" applyNumberFormat="1" applyFont="1" applyFill="1" applyBorder="1" applyAlignment="1">
      <alignment horizontal="right" vertical="center"/>
    </xf>
    <xf numFmtId="41" fontId="9" fillId="3" borderId="5" xfId="12" applyNumberFormat="1" applyFont="1" applyFill="1" applyBorder="1" applyAlignment="1">
      <alignment horizontal="left" vertical="center"/>
    </xf>
    <xf numFmtId="41" fontId="9" fillId="0" borderId="5" xfId="12" applyNumberFormat="1" applyFont="1" applyFill="1" applyBorder="1" applyAlignment="1">
      <alignment horizontal="left" vertical="center"/>
    </xf>
    <xf numFmtId="41" fontId="9" fillId="3" borderId="0" xfId="12" applyNumberFormat="1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41" fontId="0" fillId="3" borderId="0" xfId="0" applyNumberFormat="1" applyFill="1" applyAlignment="1">
      <alignment vertical="center"/>
    </xf>
    <xf numFmtId="49" fontId="3" fillId="0" borderId="0" xfId="3" applyNumberFormat="1" applyFont="1" applyAlignment="1">
      <alignment horizontal="left"/>
    </xf>
    <xf numFmtId="41" fontId="9" fillId="0" borderId="0" xfId="3" applyNumberFormat="1" applyFont="1"/>
    <xf numFmtId="49" fontId="6" fillId="0" borderId="0" xfId="3" applyNumberFormat="1" applyFont="1" applyAlignment="1">
      <alignment horizontal="left"/>
    </xf>
    <xf numFmtId="0" fontId="2" fillId="0" borderId="0" xfId="3"/>
    <xf numFmtId="49" fontId="7" fillId="0" borderId="0" xfId="3" applyNumberFormat="1" applyFont="1" applyAlignment="1">
      <alignment horizontal="right" vertical="center"/>
    </xf>
    <xf numFmtId="0" fontId="2" fillId="0" borderId="1" xfId="3" applyBorder="1" applyProtection="1">
      <protection locked="0"/>
    </xf>
    <xf numFmtId="49" fontId="9" fillId="0" borderId="1" xfId="3" applyNumberFormat="1" applyFont="1" applyBorder="1" applyAlignment="1">
      <alignment horizontal="right" vertical="top"/>
    </xf>
    <xf numFmtId="49" fontId="9" fillId="3" borderId="1" xfId="3" applyNumberFormat="1" applyFont="1" applyFill="1" applyBorder="1" applyAlignment="1">
      <alignment horizontal="right" vertical="top"/>
    </xf>
    <xf numFmtId="49" fontId="9" fillId="2" borderId="1" xfId="3" applyNumberFormat="1" applyFont="1" applyFill="1" applyBorder="1" applyAlignment="1">
      <alignment horizontal="right" vertical="top"/>
    </xf>
    <xf numFmtId="41" fontId="9" fillId="0" borderId="5" xfId="2" applyNumberFormat="1" applyFont="1" applyBorder="1" applyAlignment="1">
      <alignment vertical="center"/>
    </xf>
    <xf numFmtId="41" fontId="9" fillId="3" borderId="5" xfId="2" applyNumberFormat="1" applyFont="1" applyFill="1" applyBorder="1" applyAlignment="1">
      <alignment vertical="center"/>
    </xf>
    <xf numFmtId="41" fontId="9" fillId="0" borderId="5" xfId="2" applyNumberFormat="1" applyFont="1" applyFill="1" applyBorder="1" applyAlignment="1">
      <alignment vertical="center"/>
    </xf>
    <xf numFmtId="49" fontId="9" fillId="3" borderId="4" xfId="11" applyNumberFormat="1" applyFont="1" applyFill="1" applyBorder="1" applyAlignment="1">
      <alignment horizontal="left" vertical="center"/>
    </xf>
    <xf numFmtId="41" fontId="9" fillId="3" borderId="4" xfId="12" applyNumberFormat="1" applyFont="1" applyFill="1" applyBorder="1" applyAlignment="1">
      <alignment horizontal="left" vertical="center"/>
    </xf>
    <xf numFmtId="41" fontId="9" fillId="2" borderId="4" xfId="12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1" fontId="9" fillId="3" borderId="0" xfId="0" applyNumberFormat="1" applyFont="1" applyFill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left"/>
    </xf>
    <xf numFmtId="41" fontId="7" fillId="0" borderId="0" xfId="2" applyNumberFormat="1" applyFont="1" applyBorder="1" applyAlignment="1"/>
    <xf numFmtId="49" fontId="7" fillId="0" borderId="0" xfId="0" applyNumberFormat="1" applyFont="1" applyAlignment="1">
      <alignment horizontal="left" indent="1"/>
    </xf>
    <xf numFmtId="41" fontId="7" fillId="0" borderId="0" xfId="2" applyNumberFormat="1" applyFont="1" applyFill="1"/>
    <xf numFmtId="41" fontId="7" fillId="0" borderId="0" xfId="2" applyNumberFormat="1" applyFont="1"/>
    <xf numFmtId="41" fontId="7" fillId="3" borderId="0" xfId="2" applyNumberFormat="1" applyFont="1" applyFill="1" applyBorder="1"/>
    <xf numFmtId="41" fontId="9" fillId="2" borderId="0" xfId="2" applyNumberFormat="1" applyFont="1" applyFill="1"/>
    <xf numFmtId="0" fontId="9" fillId="0" borderId="5" xfId="0" applyFont="1" applyBorder="1" applyAlignment="1">
      <alignment vertical="center"/>
    </xf>
    <xf numFmtId="41" fontId="9" fillId="3" borderId="5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1" fontId="9" fillId="3" borderId="0" xfId="0" applyNumberFormat="1" applyFont="1" applyFill="1"/>
    <xf numFmtId="49" fontId="7" fillId="3" borderId="0" xfId="0" applyNumberFormat="1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9" fillId="0" borderId="4" xfId="0" applyFont="1" applyBorder="1" applyAlignment="1">
      <alignment vertical="center"/>
    </xf>
    <xf numFmtId="41" fontId="9" fillId="2" borderId="16" xfId="3" applyNumberFormat="1" applyFont="1" applyFill="1" applyBorder="1" applyAlignment="1">
      <alignment horizontal="right" vertical="center"/>
    </xf>
    <xf numFmtId="0" fontId="9" fillId="0" borderId="0" xfId="3" applyFont="1" applyAlignment="1">
      <alignment horizontal="right" vertical="center"/>
    </xf>
    <xf numFmtId="0" fontId="9" fillId="0" borderId="1" xfId="3" applyFont="1" applyBorder="1" applyAlignment="1">
      <alignment horizontal="left"/>
    </xf>
    <xf numFmtId="41" fontId="9" fillId="0" borderId="1" xfId="0" applyNumberFormat="1" applyFont="1" applyBorder="1" applyAlignment="1">
      <alignment horizontal="right" vertical="top"/>
    </xf>
    <xf numFmtId="41" fontId="9" fillId="2" borderId="17" xfId="3" applyNumberFormat="1" applyFont="1" applyFill="1" applyBorder="1" applyAlignment="1">
      <alignment horizontal="right" vertical="top"/>
    </xf>
    <xf numFmtId="41" fontId="9" fillId="0" borderId="1" xfId="3" applyNumberFormat="1" applyFont="1" applyBorder="1" applyAlignment="1">
      <alignment horizontal="right" vertical="top"/>
    </xf>
    <xf numFmtId="0" fontId="9" fillId="0" borderId="0" xfId="3" applyFont="1" applyAlignment="1">
      <alignment horizontal="left"/>
    </xf>
    <xf numFmtId="41" fontId="9" fillId="0" borderId="0" xfId="0" applyNumberFormat="1" applyFont="1" applyAlignment="1">
      <alignment horizontal="right" vertical="center"/>
    </xf>
    <xf numFmtId="41" fontId="9" fillId="2" borderId="18" xfId="2" applyNumberFormat="1" applyFont="1" applyFill="1" applyBorder="1" applyAlignment="1">
      <alignment vertical="center"/>
    </xf>
    <xf numFmtId="0" fontId="9" fillId="0" borderId="0" xfId="3" applyFont="1" applyAlignment="1">
      <alignment horizontal="left" vertical="center"/>
    </xf>
    <xf numFmtId="41" fontId="9" fillId="2" borderId="16" xfId="2" applyNumberFormat="1" applyFont="1" applyFill="1" applyBorder="1" applyAlignment="1">
      <alignment vertical="center"/>
    </xf>
    <xf numFmtId="0" fontId="7" fillId="0" borderId="1" xfId="9" applyFont="1" applyBorder="1" applyAlignment="1">
      <alignment horizontal="left" indent="1"/>
    </xf>
    <xf numFmtId="41" fontId="9" fillId="2" borderId="17" xfId="3" applyNumberFormat="1" applyFont="1" applyFill="1" applyBorder="1" applyAlignment="1">
      <alignment horizontal="right" vertical="center"/>
    </xf>
    <xf numFmtId="0" fontId="7" fillId="0" borderId="3" xfId="3" applyFont="1" applyBorder="1" applyAlignment="1">
      <alignment horizontal="left" vertical="center" indent="1"/>
    </xf>
    <xf numFmtId="41" fontId="7" fillId="0" borderId="3" xfId="2" applyNumberFormat="1" applyFont="1" applyBorder="1" applyAlignment="1">
      <alignment vertical="center"/>
    </xf>
    <xf numFmtId="41" fontId="9" fillId="2" borderId="19" xfId="3" applyNumberFormat="1" applyFont="1" applyFill="1" applyBorder="1" applyAlignment="1">
      <alignment horizontal="right" vertical="center"/>
    </xf>
    <xf numFmtId="0" fontId="9" fillId="0" borderId="6" xfId="3" applyFont="1" applyBorder="1" applyAlignment="1">
      <alignment horizontal="left" vertical="center"/>
    </xf>
    <xf numFmtId="41" fontId="9" fillId="3" borderId="6" xfId="12" applyNumberFormat="1" applyFont="1" applyFill="1" applyBorder="1" applyAlignment="1">
      <alignment horizontal="left" vertical="center"/>
    </xf>
    <xf numFmtId="41" fontId="9" fillId="2" borderId="20" xfId="2" applyNumberFormat="1" applyFont="1" applyFill="1" applyBorder="1" applyAlignment="1">
      <alignment vertical="center"/>
    </xf>
    <xf numFmtId="0" fontId="9" fillId="0" borderId="0" xfId="3" applyFont="1" applyAlignment="1">
      <alignment vertical="center"/>
    </xf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 applyAlignment="1">
      <alignment horizontal="right" vertical="center"/>
    </xf>
    <xf numFmtId="0" fontId="4" fillId="0" borderId="21" xfId="2" applyNumberFormat="1" applyFont="1" applyBorder="1" applyAlignment="1">
      <alignment horizontal="left"/>
    </xf>
    <xf numFmtId="167" fontId="9" fillId="0" borderId="21" xfId="2" applyNumberFormat="1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0" xfId="2" applyNumberFormat="1" applyFont="1" applyBorder="1" applyAlignment="1">
      <alignment horizontal="left"/>
    </xf>
    <xf numFmtId="167" fontId="9" fillId="0" borderId="0" xfId="2" applyNumberFormat="1" applyFont="1" applyBorder="1" applyAlignment="1"/>
    <xf numFmtId="167" fontId="9" fillId="0" borderId="0" xfId="2" applyNumberFormat="1" applyFont="1" applyBorder="1" applyAlignment="1">
      <alignment vertical="center"/>
    </xf>
    <xf numFmtId="167" fontId="7" fillId="0" borderId="0" xfId="2" applyNumberFormat="1" applyFont="1" applyBorder="1" applyAlignment="1">
      <alignment vertical="center"/>
    </xf>
    <xf numFmtId="49" fontId="7" fillId="0" borderId="0" xfId="0" applyNumberFormat="1" applyFont="1" applyAlignment="1">
      <alignment horizontal="left" vertical="top" indent="1"/>
    </xf>
    <xf numFmtId="0" fontId="9" fillId="0" borderId="6" xfId="0" applyFont="1" applyBorder="1" applyAlignment="1">
      <alignment vertical="center"/>
    </xf>
    <xf numFmtId="167" fontId="7" fillId="0" borderId="0" xfId="2" applyNumberFormat="1" applyFont="1" applyBorder="1" applyAlignment="1">
      <alignment vertical="top"/>
    </xf>
    <xf numFmtId="167" fontId="7" fillId="0" borderId="0" xfId="2" applyNumberFormat="1" applyFont="1" applyAlignment="1">
      <alignment vertical="center"/>
    </xf>
    <xf numFmtId="0" fontId="23" fillId="0" borderId="0" xfId="0" applyFont="1" applyAlignment="1">
      <alignment horizontal="left" indent="1"/>
    </xf>
    <xf numFmtId="0" fontId="24" fillId="0" borderId="0" xfId="0" applyFont="1"/>
    <xf numFmtId="0" fontId="25" fillId="0" borderId="0" xfId="0" applyFont="1"/>
    <xf numFmtId="0" fontId="3" fillId="0" borderId="0" xfId="9" applyFont="1" applyAlignment="1">
      <alignment horizontal="left"/>
    </xf>
    <xf numFmtId="0" fontId="7" fillId="0" borderId="0" xfId="9" applyFont="1" applyAlignment="1">
      <alignment horizontal="right"/>
    </xf>
    <xf numFmtId="0" fontId="9" fillId="0" borderId="0" xfId="9" applyFont="1" applyAlignment="1">
      <alignment horizontal="left" textRotation="90"/>
    </xf>
    <xf numFmtId="0" fontId="7" fillId="2" borderId="0" xfId="9" applyFont="1" applyFill="1" applyAlignment="1">
      <alignment horizontal="right" textRotation="90" wrapText="1"/>
    </xf>
    <xf numFmtId="0" fontId="9" fillId="0" borderId="0" xfId="9" applyFont="1" applyAlignment="1">
      <alignment textRotation="90"/>
    </xf>
    <xf numFmtId="167" fontId="7" fillId="0" borderId="0" xfId="13" applyNumberFormat="1" applyFont="1" applyBorder="1" applyAlignment="1">
      <alignment horizontal="right"/>
    </xf>
    <xf numFmtId="0" fontId="9" fillId="0" borderId="0" xfId="9" applyFont="1" applyAlignment="1">
      <alignment horizontal="right" textRotation="90"/>
    </xf>
    <xf numFmtId="0" fontId="9" fillId="0" borderId="1" xfId="9" applyFont="1" applyBorder="1" applyAlignment="1">
      <alignment horizontal="right" textRotation="90"/>
    </xf>
    <xf numFmtId="0" fontId="9" fillId="0" borderId="21" xfId="9" applyFont="1" applyBorder="1" applyAlignment="1" applyProtection="1">
      <alignment horizontal="right" textRotation="90"/>
      <protection locked="0"/>
    </xf>
    <xf numFmtId="0" fontId="9" fillId="2" borderId="21" xfId="9" applyFont="1" applyFill="1" applyBorder="1" applyAlignment="1">
      <alignment horizontal="right" textRotation="90"/>
    </xf>
    <xf numFmtId="0" fontId="9" fillId="0" borderId="21" xfId="9" applyFont="1" applyBorder="1" applyAlignment="1">
      <alignment horizontal="right" textRotation="90" wrapText="1"/>
    </xf>
    <xf numFmtId="0" fontId="9" fillId="2" borderId="21" xfId="9" applyFont="1" applyFill="1" applyBorder="1" applyAlignment="1">
      <alignment horizontal="right" textRotation="90" wrapText="1"/>
    </xf>
    <xf numFmtId="41" fontId="7" fillId="0" borderId="0" xfId="9" applyNumberFormat="1" applyFont="1"/>
    <xf numFmtId="41" fontId="7" fillId="2" borderId="0" xfId="9" applyNumberFormat="1" applyFont="1" applyFill="1"/>
    <xf numFmtId="41" fontId="9" fillId="0" borderId="0" xfId="9" applyNumberFormat="1" applyFont="1"/>
    <xf numFmtId="0" fontId="7" fillId="0" borderId="21" xfId="9" applyFont="1" applyBorder="1" applyAlignment="1">
      <alignment horizontal="left"/>
    </xf>
    <xf numFmtId="41" fontId="7" fillId="0" borderId="21" xfId="9" applyNumberFormat="1" applyFont="1" applyBorder="1"/>
    <xf numFmtId="41" fontId="7" fillId="2" borderId="21" xfId="9" applyNumberFormat="1" applyFont="1" applyFill="1" applyBorder="1"/>
    <xf numFmtId="41" fontId="9" fillId="0" borderId="21" xfId="9" applyNumberFormat="1" applyFont="1" applyBorder="1"/>
    <xf numFmtId="0" fontId="9" fillId="0" borderId="22" xfId="9" applyFont="1" applyBorder="1" applyAlignment="1">
      <alignment horizontal="left" vertical="center"/>
    </xf>
    <xf numFmtId="41" fontId="9" fillId="0" borderId="22" xfId="13" applyNumberFormat="1" applyFont="1" applyFill="1" applyBorder="1" applyAlignment="1">
      <alignment horizontal="right" vertical="center"/>
    </xf>
    <xf numFmtId="41" fontId="9" fillId="2" borderId="22" xfId="13" applyNumberFormat="1" applyFont="1" applyFill="1" applyBorder="1" applyAlignment="1">
      <alignment horizontal="right" vertical="center"/>
    </xf>
    <xf numFmtId="41" fontId="7" fillId="0" borderId="0" xfId="13" applyNumberFormat="1" applyFont="1" applyAlignment="1">
      <alignment horizontal="right"/>
    </xf>
    <xf numFmtId="41" fontId="7" fillId="0" borderId="0" xfId="9" applyNumberFormat="1" applyFont="1" applyAlignment="1">
      <alignment horizontal="right"/>
    </xf>
    <xf numFmtId="167" fontId="2" fillId="0" borderId="0" xfId="2" applyNumberFormat="1" applyAlignment="1">
      <alignment horizontal="right"/>
    </xf>
    <xf numFmtId="167" fontId="7" fillId="0" borderId="0" xfId="13" applyNumberFormat="1" applyFont="1" applyAlignment="1">
      <alignment horizontal="right"/>
    </xf>
    <xf numFmtId="0" fontId="9" fillId="0" borderId="21" xfId="9" applyFont="1" applyBorder="1" applyAlignment="1">
      <alignment horizontal="right" textRotation="90"/>
    </xf>
    <xf numFmtId="0" fontId="9" fillId="2" borderId="21" xfId="9" applyFont="1" applyFill="1" applyBorder="1" applyAlignment="1" applyProtection="1">
      <alignment horizontal="right" textRotation="90"/>
      <protection locked="0"/>
    </xf>
    <xf numFmtId="0" fontId="9" fillId="2" borderId="21" xfId="9" applyFont="1" applyFill="1" applyBorder="1" applyAlignment="1">
      <alignment horizontal="center" textRotation="90" wrapText="1"/>
    </xf>
    <xf numFmtId="41" fontId="9" fillId="2" borderId="22" xfId="13" applyNumberFormat="1" applyFont="1" applyFill="1" applyBorder="1" applyAlignment="1">
      <alignment horizontal="right"/>
    </xf>
    <xf numFmtId="41" fontId="9" fillId="0" borderId="22" xfId="13" applyNumberFormat="1" applyFont="1" applyFill="1" applyBorder="1" applyAlignment="1">
      <alignment horizontal="right"/>
    </xf>
    <xf numFmtId="0" fontId="18" fillId="0" borderId="0" xfId="9" applyFont="1" applyAlignment="1">
      <alignment horizontal="left"/>
    </xf>
    <xf numFmtId="0" fontId="27" fillId="0" borderId="0" xfId="14" applyFont="1"/>
    <xf numFmtId="0" fontId="26" fillId="0" borderId="0" xfId="14"/>
    <xf numFmtId="0" fontId="28" fillId="0" borderId="0" xfId="14" applyFont="1"/>
    <xf numFmtId="0" fontId="26" fillId="0" borderId="0" xfId="14" applyAlignment="1">
      <alignment vertical="top"/>
    </xf>
    <xf numFmtId="0" fontId="17" fillId="3" borderId="1" xfId="14" applyFont="1" applyFill="1" applyBorder="1" applyAlignment="1">
      <alignment vertical="center"/>
    </xf>
    <xf numFmtId="0" fontId="17" fillId="3" borderId="1" xfId="14" applyFont="1" applyFill="1" applyBorder="1" applyAlignment="1">
      <alignment horizontal="right" vertical="center"/>
    </xf>
    <xf numFmtId="0" fontId="17" fillId="3" borderId="0" xfId="14" applyFont="1" applyFill="1" applyAlignment="1">
      <alignment vertical="center"/>
    </xf>
    <xf numFmtId="0" fontId="17" fillId="3" borderId="0" xfId="14" applyFont="1" applyFill="1" applyAlignment="1">
      <alignment horizontal="right" vertical="center"/>
    </xf>
    <xf numFmtId="0" fontId="9" fillId="3" borderId="0" xfId="9" applyFont="1" applyFill="1" applyAlignment="1">
      <alignment horizontal="left"/>
    </xf>
    <xf numFmtId="5" fontId="7" fillId="0" borderId="0" xfId="0" applyNumberFormat="1" applyFont="1" applyAlignment="1">
      <alignment horizontal="right"/>
    </xf>
    <xf numFmtId="5" fontId="7" fillId="0" borderId="0" xfId="0" applyNumberFormat="1" applyFont="1"/>
    <xf numFmtId="0" fontId="7" fillId="0" borderId="0" xfId="0" applyFont="1" applyAlignment="1">
      <alignment horizontal="left" wrapText="1" indent="2"/>
    </xf>
    <xf numFmtId="5" fontId="7" fillId="0" borderId="0" xfId="0" applyNumberFormat="1" applyFont="1" applyAlignment="1">
      <alignment vertical="center"/>
    </xf>
    <xf numFmtId="5" fontId="7" fillId="0" borderId="0" xfId="0" applyNumberFormat="1" applyFont="1" applyAlignment="1">
      <alignment horizontal="right" vertical="center"/>
    </xf>
    <xf numFmtId="0" fontId="7" fillId="0" borderId="6" xfId="0" applyFont="1" applyBorder="1" applyAlignment="1">
      <alignment horizontal="left" indent="2"/>
    </xf>
    <xf numFmtId="5" fontId="7" fillId="0" borderId="6" xfId="0" applyNumberFormat="1" applyFont="1" applyBorder="1"/>
    <xf numFmtId="5" fontId="7" fillId="0" borderId="6" xfId="0" applyNumberFormat="1" applyFont="1" applyBorder="1" applyAlignment="1">
      <alignment horizontal="right"/>
    </xf>
    <xf numFmtId="0" fontId="29" fillId="0" borderId="0" xfId="16" applyFont="1"/>
    <xf numFmtId="0" fontId="26" fillId="0" borderId="0" xfId="16"/>
    <xf numFmtId="0" fontId="28" fillId="0" borderId="0" xfId="16" applyFont="1"/>
    <xf numFmtId="0" fontId="31" fillId="0" borderId="0" xfId="16" applyFont="1"/>
    <xf numFmtId="0" fontId="17" fillId="0" borderId="0" xfId="16" applyFont="1"/>
    <xf numFmtId="0" fontId="33" fillId="0" borderId="0" xfId="16" applyFont="1"/>
    <xf numFmtId="0" fontId="35" fillId="0" borderId="0" xfId="16" applyFont="1"/>
    <xf numFmtId="0" fontId="34" fillId="0" borderId="0" xfId="16" applyFont="1"/>
    <xf numFmtId="0" fontId="36" fillId="0" borderId="0" xfId="16" applyFont="1" applyAlignment="1">
      <alignment horizontal="right"/>
    </xf>
    <xf numFmtId="0" fontId="36" fillId="0" borderId="0" xfId="16" applyFont="1"/>
    <xf numFmtId="0" fontId="36" fillId="0" borderId="1" xfId="16" applyFont="1" applyBorder="1" applyAlignment="1">
      <alignment horizontal="right"/>
    </xf>
    <xf numFmtId="0" fontId="36" fillId="0" borderId="1" xfId="16" applyFont="1" applyBorder="1"/>
    <xf numFmtId="0" fontId="36" fillId="0" borderId="3" xfId="16" applyFont="1" applyBorder="1" applyAlignment="1">
      <alignment horizontal="right"/>
    </xf>
    <xf numFmtId="0" fontId="36" fillId="0" borderId="5" xfId="16" applyFont="1" applyBorder="1" applyAlignment="1">
      <alignment horizontal="right" vertical="center"/>
    </xf>
    <xf numFmtId="0" fontId="34" fillId="0" borderId="5" xfId="16" applyFont="1" applyBorder="1" applyAlignment="1">
      <alignment vertical="center"/>
    </xf>
    <xf numFmtId="0" fontId="29" fillId="0" borderId="0" xfId="16" applyFont="1" applyAlignment="1">
      <alignment vertical="center"/>
    </xf>
    <xf numFmtId="0" fontId="36" fillId="0" borderId="4" xfId="16" applyFont="1" applyBorder="1" applyAlignment="1">
      <alignment horizontal="right" vertical="center"/>
    </xf>
    <xf numFmtId="0" fontId="34" fillId="0" borderId="6" xfId="16" applyFont="1" applyBorder="1" applyAlignment="1">
      <alignment vertical="center"/>
    </xf>
    <xf numFmtId="0" fontId="37" fillId="0" borderId="23" xfId="16" applyFont="1" applyBorder="1" applyAlignment="1">
      <alignment vertical="center"/>
    </xf>
    <xf numFmtId="0" fontId="37" fillId="0" borderId="23" xfId="16" applyFont="1" applyBorder="1" applyAlignment="1">
      <alignment horizontal="left" vertical="center"/>
    </xf>
    <xf numFmtId="0" fontId="26" fillId="0" borderId="0" xfId="16" applyAlignment="1">
      <alignment vertical="center"/>
    </xf>
    <xf numFmtId="0" fontId="35" fillId="0" borderId="0" xfId="16" applyFont="1" applyAlignment="1">
      <alignment horizontal="left"/>
    </xf>
    <xf numFmtId="41" fontId="36" fillId="0" borderId="0" xfId="16" applyNumberFormat="1" applyFont="1"/>
    <xf numFmtId="41" fontId="36" fillId="2" borderId="0" xfId="16" applyNumberFormat="1" applyFont="1" applyFill="1"/>
    <xf numFmtId="0" fontId="34" fillId="0" borderId="0" xfId="16" applyFont="1" applyAlignment="1">
      <alignment horizontal="right"/>
    </xf>
    <xf numFmtId="41" fontId="34" fillId="0" borderId="5" xfId="16" applyNumberFormat="1" applyFont="1" applyBorder="1"/>
    <xf numFmtId="41" fontId="34" fillId="2" borderId="5" xfId="16" applyNumberFormat="1" applyFont="1" applyFill="1" applyBorder="1"/>
    <xf numFmtId="0" fontId="34" fillId="0" borderId="5" xfId="16" applyFont="1" applyBorder="1"/>
    <xf numFmtId="0" fontId="36" fillId="0" borderId="5" xfId="16" applyFont="1" applyBorder="1"/>
    <xf numFmtId="0" fontId="34" fillId="0" borderId="4" xfId="16" applyFont="1" applyBorder="1" applyAlignment="1">
      <alignment vertical="center"/>
    </xf>
    <xf numFmtId="0" fontId="29" fillId="0" borderId="5" xfId="16" applyFont="1" applyBorder="1"/>
    <xf numFmtId="0" fontId="36" fillId="0" borderId="6" xfId="16" applyFont="1" applyBorder="1" applyAlignment="1">
      <alignment horizontal="right"/>
    </xf>
    <xf numFmtId="0" fontId="28" fillId="0" borderId="6" xfId="16" applyFont="1" applyBorder="1"/>
    <xf numFmtId="0" fontId="9" fillId="0" borderId="23" xfId="0" applyFont="1" applyBorder="1" applyAlignment="1">
      <alignment horizontal="right" indent="2"/>
    </xf>
    <xf numFmtId="0" fontId="9" fillId="0" borderId="0" xfId="3" quotePrefix="1" applyFont="1" applyAlignment="1">
      <alignment horizontal="right"/>
    </xf>
    <xf numFmtId="41" fontId="9" fillId="0" borderId="6" xfId="0" applyNumberFormat="1" applyFont="1" applyBorder="1" applyAlignment="1">
      <alignment vertical="center"/>
    </xf>
    <xf numFmtId="0" fontId="28" fillId="0" borderId="0" xfId="9" applyFont="1" applyAlignment="1">
      <alignment horizontal="left"/>
    </xf>
    <xf numFmtId="41" fontId="28" fillId="2" borderId="0" xfId="9" applyNumberFormat="1" applyFont="1" applyFill="1"/>
    <xf numFmtId="41" fontId="28" fillId="0" borderId="0" xfId="9" applyNumberFormat="1" applyFont="1"/>
    <xf numFmtId="41" fontId="17" fillId="0" borderId="0" xfId="9" applyNumberFormat="1" applyFont="1"/>
    <xf numFmtId="41" fontId="28" fillId="0" borderId="0" xfId="2" applyNumberFormat="1" applyFont="1" applyFill="1" applyBorder="1" applyAlignment="1">
      <alignment vertical="center"/>
    </xf>
    <xf numFmtId="41" fontId="17" fillId="2" borderId="0" xfId="9" applyNumberFormat="1" applyFont="1" applyFill="1" applyAlignment="1">
      <alignment horizontal="left" vertical="center"/>
    </xf>
    <xf numFmtId="41" fontId="28" fillId="0" borderId="0" xfId="9" applyNumberFormat="1" applyFont="1" applyAlignment="1">
      <alignment horizontal="left" vertical="center"/>
    </xf>
    <xf numFmtId="41" fontId="21" fillId="0" borderId="0" xfId="0" applyNumberFormat="1" applyFont="1" applyAlignment="1">
      <alignment horizontal="right"/>
    </xf>
    <xf numFmtId="41" fontId="28" fillId="0" borderId="0" xfId="16" applyNumberFormat="1" applyFont="1"/>
    <xf numFmtId="49" fontId="7" fillId="3" borderId="0" xfId="3" applyNumberFormat="1" applyFont="1" applyFill="1" applyAlignment="1">
      <alignment horizontal="left" indent="1"/>
    </xf>
    <xf numFmtId="0" fontId="7" fillId="0" borderId="0" xfId="3" applyFont="1" applyAlignment="1">
      <alignment horizontal="left" vertical="center" indent="1"/>
    </xf>
    <xf numFmtId="0" fontId="7" fillId="3" borderId="0" xfId="11" applyFont="1" applyFill="1" applyAlignment="1">
      <alignment horizontal="left"/>
    </xf>
    <xf numFmtId="41" fontId="7" fillId="3" borderId="0" xfId="12" applyNumberFormat="1" applyFont="1" applyFill="1" applyBorder="1" applyAlignment="1">
      <alignment horizontal="right"/>
    </xf>
    <xf numFmtId="41" fontId="9" fillId="2" borderId="0" xfId="12" applyNumberFormat="1" applyFont="1" applyFill="1" applyBorder="1" applyAlignment="1">
      <alignment horizontal="right"/>
    </xf>
    <xf numFmtId="0" fontId="9" fillId="0" borderId="0" xfId="0" applyFont="1" applyAlignment="1">
      <alignment horizontal="right" indent="2"/>
    </xf>
    <xf numFmtId="165" fontId="9" fillId="0" borderId="0" xfId="0" applyNumberFormat="1" applyFont="1"/>
    <xf numFmtId="41" fontId="9" fillId="0" borderId="21" xfId="2" applyNumberFormat="1" applyFont="1" applyBorder="1" applyAlignment="1"/>
    <xf numFmtId="0" fontId="4" fillId="0" borderId="0" xfId="9" applyFont="1" applyAlignment="1">
      <alignment horizontal="left"/>
    </xf>
    <xf numFmtId="170" fontId="7" fillId="0" borderId="0" xfId="2" applyNumberFormat="1" applyFont="1" applyFill="1" applyBorder="1" applyAlignment="1">
      <alignment vertical="center"/>
    </xf>
    <xf numFmtId="170" fontId="9" fillId="0" borderId="0" xfId="0" applyNumberFormat="1" applyFont="1" applyAlignment="1">
      <alignment vertical="center"/>
    </xf>
    <xf numFmtId="170" fontId="9" fillId="0" borderId="0" xfId="9" applyNumberFormat="1" applyFont="1" applyAlignment="1">
      <alignment horizontal="left" vertical="center"/>
    </xf>
    <xf numFmtId="170" fontId="28" fillId="0" borderId="0" xfId="2" applyNumberFormat="1" applyFont="1" applyFill="1" applyBorder="1" applyAlignment="1">
      <alignment vertical="center"/>
    </xf>
    <xf numFmtId="170" fontId="17" fillId="0" borderId="0" xfId="9" applyNumberFormat="1" applyFont="1" applyAlignment="1">
      <alignment horizontal="left" vertical="center"/>
    </xf>
    <xf numFmtId="41" fontId="21" fillId="0" borderId="0" xfId="0" applyNumberFormat="1" applyFont="1" applyAlignment="1">
      <alignment horizontal="right" vertical="center"/>
    </xf>
    <xf numFmtId="41" fontId="9" fillId="2" borderId="6" xfId="0" applyNumberFormat="1" applyFont="1" applyFill="1" applyBorder="1" applyAlignment="1">
      <alignment vertical="center"/>
    </xf>
    <xf numFmtId="41" fontId="7" fillId="0" borderId="6" xfId="0" applyNumberFormat="1" applyFont="1" applyBorder="1" applyAlignment="1">
      <alignment vertical="center"/>
    </xf>
    <xf numFmtId="41" fontId="7" fillId="3" borderId="1" xfId="3" applyNumberFormat="1" applyFont="1" applyFill="1" applyBorder="1" applyAlignment="1">
      <alignment vertical="center"/>
    </xf>
    <xf numFmtId="41" fontId="9" fillId="2" borderId="1" xfId="3" applyNumberFormat="1" applyFont="1" applyFill="1" applyBorder="1" applyAlignment="1">
      <alignment vertical="center"/>
    </xf>
    <xf numFmtId="0" fontId="9" fillId="3" borderId="0" xfId="3" applyFont="1" applyFill="1" applyAlignment="1">
      <alignment horizontal="left" indent="1"/>
    </xf>
    <xf numFmtId="41" fontId="7" fillId="0" borderId="1" xfId="3" applyNumberFormat="1" applyFont="1" applyBorder="1" applyAlignment="1">
      <alignment vertical="center"/>
    </xf>
    <xf numFmtId="41" fontId="7" fillId="0" borderId="1" xfId="2" applyNumberFormat="1" applyFont="1" applyFill="1" applyBorder="1" applyAlignment="1">
      <alignment horizontal="right" vertical="center"/>
    </xf>
    <xf numFmtId="41" fontId="9" fillId="2" borderId="1" xfId="2" applyNumberFormat="1" applyFont="1" applyFill="1" applyBorder="1" applyAlignment="1">
      <alignment horizontal="right" vertical="center"/>
    </xf>
    <xf numFmtId="41" fontId="7" fillId="0" borderId="1" xfId="2" applyNumberFormat="1" applyFont="1" applyBorder="1" applyAlignment="1">
      <alignment horizontal="right" vertical="center"/>
    </xf>
    <xf numFmtId="41" fontId="9" fillId="3" borderId="6" xfId="0" applyNumberFormat="1" applyFont="1" applyFill="1" applyBorder="1" applyAlignment="1">
      <alignment vertical="center"/>
    </xf>
    <xf numFmtId="41" fontId="7" fillId="2" borderId="6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left"/>
    </xf>
    <xf numFmtId="41" fontId="7" fillId="0" borderId="1" xfId="2" applyNumberFormat="1" applyFont="1" applyFill="1" applyBorder="1" applyAlignment="1">
      <alignment horizontal="left" vertical="center" indent="1"/>
    </xf>
    <xf numFmtId="41" fontId="9" fillId="2" borderId="1" xfId="2" applyNumberFormat="1" applyFont="1" applyFill="1" applyBorder="1" applyAlignment="1">
      <alignment horizontal="left" vertical="center" indent="1"/>
    </xf>
    <xf numFmtId="0" fontId="7" fillId="3" borderId="0" xfId="0" applyFont="1" applyFill="1" applyAlignment="1">
      <alignment horizontal="left"/>
    </xf>
    <xf numFmtId="167" fontId="7" fillId="0" borderId="0" xfId="0" applyNumberFormat="1" applyFont="1"/>
    <xf numFmtId="167" fontId="7" fillId="0" borderId="0" xfId="19" applyNumberFormat="1" applyFont="1" applyFill="1"/>
    <xf numFmtId="167" fontId="7" fillId="2" borderId="0" xfId="19" applyNumberFormat="1" applyFont="1" applyFill="1"/>
    <xf numFmtId="0" fontId="7" fillId="3" borderId="0" xfId="0" applyFont="1" applyFill="1" applyAlignment="1">
      <alignment horizontal="left" vertical="center"/>
    </xf>
    <xf numFmtId="167" fontId="7" fillId="2" borderId="0" xfId="0" applyNumberFormat="1" applyFont="1" applyFill="1"/>
    <xf numFmtId="0" fontId="17" fillId="3" borderId="25" xfId="0" applyFont="1" applyFill="1" applyBorder="1" applyAlignment="1">
      <alignment horizontal="left" vertical="center"/>
    </xf>
    <xf numFmtId="167" fontId="9" fillId="0" borderId="25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165" fontId="9" fillId="0" borderId="11" xfId="2" applyNumberFormat="1" applyFont="1" applyFill="1" applyBorder="1" applyAlignment="1">
      <alignment horizontal="right" vertical="center"/>
    </xf>
    <xf numFmtId="165" fontId="9" fillId="2" borderId="11" xfId="2" applyNumberFormat="1" applyFont="1" applyFill="1" applyBorder="1" applyAlignment="1">
      <alignment horizontal="right" vertical="center"/>
    </xf>
    <xf numFmtId="41" fontId="9" fillId="0" borderId="0" xfId="12" applyNumberFormat="1" applyFont="1" applyFill="1" applyBorder="1" applyAlignment="1">
      <alignment horizontal="left" vertical="center"/>
    </xf>
    <xf numFmtId="41" fontId="7" fillId="0" borderId="3" xfId="2" applyNumberFormat="1" applyFont="1" applyFill="1" applyBorder="1" applyAlignment="1">
      <alignment vertical="center"/>
    </xf>
    <xf numFmtId="41" fontId="9" fillId="0" borderId="6" xfId="12" applyNumberFormat="1" applyFont="1" applyFill="1" applyBorder="1" applyAlignment="1">
      <alignment horizontal="left" vertical="center"/>
    </xf>
    <xf numFmtId="41" fontId="26" fillId="0" borderId="0" xfId="16" applyNumberFormat="1"/>
    <xf numFmtId="41" fontId="32" fillId="0" borderId="0" xfId="16" applyNumberFormat="1" applyFont="1" applyAlignment="1">
      <alignment horizontal="center"/>
    </xf>
    <xf numFmtId="41" fontId="32" fillId="2" borderId="0" xfId="16" applyNumberFormat="1" applyFont="1" applyFill="1" applyAlignment="1">
      <alignment horizontal="center"/>
    </xf>
    <xf numFmtId="41" fontId="34" fillId="0" borderId="0" xfId="16" applyNumberFormat="1" applyFont="1" applyAlignment="1">
      <alignment horizontal="center"/>
    </xf>
    <xf numFmtId="41" fontId="34" fillId="2" borderId="0" xfId="16" applyNumberFormat="1" applyFont="1" applyFill="1" applyAlignment="1">
      <alignment horizontal="center"/>
    </xf>
    <xf numFmtId="41" fontId="34" fillId="0" borderId="0" xfId="16" applyNumberFormat="1" applyFont="1" applyAlignment="1">
      <alignment horizontal="center" vertical="center"/>
    </xf>
    <xf numFmtId="41" fontId="34" fillId="2" borderId="0" xfId="16" applyNumberFormat="1" applyFont="1" applyFill="1" applyAlignment="1">
      <alignment horizontal="center" vertical="center"/>
    </xf>
    <xf numFmtId="41" fontId="34" fillId="0" borderId="1" xfId="16" applyNumberFormat="1" applyFont="1" applyBorder="1" applyAlignment="1">
      <alignment horizontal="center" vertical="center"/>
    </xf>
    <xf numFmtId="41" fontId="34" fillId="2" borderId="1" xfId="16" applyNumberFormat="1" applyFont="1" applyFill="1" applyBorder="1" applyAlignment="1">
      <alignment horizontal="center" vertical="center"/>
    </xf>
    <xf numFmtId="41" fontId="28" fillId="2" borderId="0" xfId="16" applyNumberFormat="1" applyFont="1" applyFill="1"/>
    <xf numFmtId="41" fontId="7" fillId="0" borderId="0" xfId="17" applyNumberFormat="1" applyFont="1"/>
    <xf numFmtId="41" fontId="36" fillId="0" borderId="1" xfId="16" applyNumberFormat="1" applyFont="1" applyBorder="1"/>
    <xf numFmtId="41" fontId="36" fillId="2" borderId="1" xfId="16" applyNumberFormat="1" applyFont="1" applyFill="1" applyBorder="1"/>
    <xf numFmtId="41" fontId="34" fillId="0" borderId="5" xfId="16" applyNumberFormat="1" applyFont="1" applyBorder="1" applyAlignment="1">
      <alignment vertical="center"/>
    </xf>
    <xf numFmtId="41" fontId="34" fillId="2" borderId="5" xfId="16" applyNumberFormat="1" applyFont="1" applyFill="1" applyBorder="1" applyAlignment="1">
      <alignment vertical="center"/>
    </xf>
    <xf numFmtId="41" fontId="17" fillId="0" borderId="0" xfId="16" applyNumberFormat="1" applyFont="1" applyAlignment="1">
      <alignment vertical="center"/>
    </xf>
    <xf numFmtId="41" fontId="34" fillId="0" borderId="6" xfId="16" applyNumberFormat="1" applyFont="1" applyBorder="1" applyAlignment="1">
      <alignment vertical="center"/>
    </xf>
    <xf numFmtId="41" fontId="34" fillId="2" borderId="6" xfId="16" applyNumberFormat="1" applyFont="1" applyFill="1" applyBorder="1" applyAlignment="1">
      <alignment vertical="center"/>
    </xf>
    <xf numFmtId="41" fontId="34" fillId="0" borderId="23" xfId="16" applyNumberFormat="1" applyFont="1" applyBorder="1" applyAlignment="1">
      <alignment vertical="center"/>
    </xf>
    <xf numFmtId="41" fontId="34" fillId="2" borderId="23" xfId="16" applyNumberFormat="1" applyFont="1" applyFill="1" applyBorder="1" applyAlignment="1">
      <alignment vertical="center"/>
    </xf>
    <xf numFmtId="41" fontId="28" fillId="0" borderId="0" xfId="16" applyNumberFormat="1" applyFont="1" applyAlignment="1">
      <alignment vertical="center"/>
    </xf>
    <xf numFmtId="41" fontId="36" fillId="0" borderId="5" xfId="16" applyNumberFormat="1" applyFont="1" applyBorder="1"/>
    <xf numFmtId="41" fontId="36" fillId="2" borderId="5" xfId="16" applyNumberFormat="1" applyFont="1" applyFill="1" applyBorder="1"/>
    <xf numFmtId="41" fontId="34" fillId="0" borderId="4" xfId="16" applyNumberFormat="1" applyFont="1" applyBorder="1" applyAlignment="1">
      <alignment vertical="center"/>
    </xf>
    <xf numFmtId="41" fontId="34" fillId="2" borderId="4" xfId="16" applyNumberFormat="1" applyFont="1" applyFill="1" applyBorder="1" applyAlignment="1">
      <alignment vertical="center"/>
    </xf>
    <xf numFmtId="41" fontId="17" fillId="0" borderId="5" xfId="16" applyNumberFormat="1" applyFont="1" applyBorder="1"/>
    <xf numFmtId="164" fontId="36" fillId="0" borderId="0" xfId="19" applyFont="1"/>
    <xf numFmtId="164" fontId="36" fillId="2" borderId="0" xfId="19" applyFont="1" applyFill="1"/>
    <xf numFmtId="164" fontId="36" fillId="0" borderId="6" xfId="19" applyFont="1" applyBorder="1"/>
    <xf numFmtId="164" fontId="36" fillId="2" borderId="6" xfId="19" applyFont="1" applyFill="1" applyBorder="1"/>
    <xf numFmtId="0" fontId="9" fillId="0" borderId="1" xfId="0" applyFont="1" applyBorder="1" applyAlignment="1">
      <alignment horizontal="right" vertical="top"/>
    </xf>
    <xf numFmtId="0" fontId="7" fillId="0" borderId="24" xfId="0" applyFont="1" applyBorder="1" applyAlignment="1">
      <alignment vertical="center"/>
    </xf>
    <xf numFmtId="41" fontId="7" fillId="0" borderId="24" xfId="2" applyNumberFormat="1" applyFont="1" applyBorder="1" applyAlignment="1">
      <alignment vertical="center"/>
    </xf>
    <xf numFmtId="167" fontId="7" fillId="0" borderId="24" xfId="2" applyNumberFormat="1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1" fontId="9" fillId="0" borderId="25" xfId="0" applyNumberFormat="1" applyFont="1" applyBorder="1" applyAlignment="1">
      <alignment vertical="center"/>
    </xf>
    <xf numFmtId="165" fontId="9" fillId="0" borderId="6" xfId="4" applyNumberFormat="1" applyFont="1" applyBorder="1" applyAlignment="1">
      <alignment vertical="center"/>
    </xf>
    <xf numFmtId="165" fontId="9" fillId="2" borderId="6" xfId="4" applyNumberFormat="1" applyFont="1" applyFill="1" applyBorder="1" applyAlignment="1">
      <alignment vertical="center"/>
    </xf>
    <xf numFmtId="165" fontId="9" fillId="0" borderId="23" xfId="0" applyNumberFormat="1" applyFont="1" applyBorder="1"/>
    <xf numFmtId="164" fontId="36" fillId="0" borderId="0" xfId="19" applyFont="1" applyFill="1"/>
    <xf numFmtId="164" fontId="36" fillId="0" borderId="6" xfId="19" applyFont="1" applyFill="1" applyBorder="1"/>
    <xf numFmtId="41" fontId="26" fillId="2" borderId="0" xfId="16" applyNumberFormat="1" applyFill="1"/>
    <xf numFmtId="41" fontId="7" fillId="0" borderId="0" xfId="3" applyNumberFormat="1" applyFont="1" applyAlignment="1">
      <alignment horizontal="right" vertical="center"/>
    </xf>
    <xf numFmtId="41" fontId="9" fillId="0" borderId="1" xfId="3" applyNumberFormat="1" applyFont="1" applyBorder="1"/>
    <xf numFmtId="41" fontId="3" fillId="0" borderId="1" xfId="3" applyNumberFormat="1" applyFont="1" applyBorder="1" applyAlignment="1">
      <alignment horizontal="left" vertical="center"/>
    </xf>
    <xf numFmtId="41" fontId="7" fillId="0" borderId="1" xfId="0" applyNumberFormat="1" applyFont="1" applyBorder="1"/>
    <xf numFmtId="41" fontId="9" fillId="0" borderId="3" xfId="8" applyNumberFormat="1" applyFont="1" applyBorder="1"/>
    <xf numFmtId="41" fontId="9" fillId="0" borderId="0" xfId="8" applyNumberFormat="1" applyFont="1"/>
    <xf numFmtId="41" fontId="9" fillId="0" borderId="4" xfId="12" applyNumberFormat="1" applyFont="1" applyFill="1" applyBorder="1" applyAlignment="1">
      <alignment horizontal="left" vertical="center"/>
    </xf>
    <xf numFmtId="167" fontId="9" fillId="2" borderId="25" xfId="0" applyNumberFormat="1" applyFont="1" applyFill="1" applyBorder="1" applyAlignment="1">
      <alignment vertical="center"/>
    </xf>
    <xf numFmtId="41" fontId="7" fillId="0" borderId="0" xfId="12" applyNumberFormat="1" applyFont="1" applyFill="1" applyBorder="1" applyAlignment="1">
      <alignment horizontal="right"/>
    </xf>
    <xf numFmtId="41" fontId="7" fillId="0" borderId="1" xfId="12" applyNumberFormat="1" applyFont="1" applyFill="1" applyBorder="1" applyAlignment="1">
      <alignment horizontal="right" vertical="center"/>
    </xf>
    <xf numFmtId="41" fontId="9" fillId="2" borderId="1" xfId="12" applyNumberFormat="1" applyFont="1" applyFill="1" applyBorder="1" applyAlignment="1">
      <alignment horizontal="right" vertical="center"/>
    </xf>
    <xf numFmtId="0" fontId="9" fillId="3" borderId="0" xfId="11" applyFont="1" applyFill="1" applyAlignment="1">
      <alignment horizontal="right" vertical="center"/>
    </xf>
    <xf numFmtId="41" fontId="9" fillId="3" borderId="0" xfId="12" applyNumberFormat="1" applyFont="1" applyFill="1" applyBorder="1" applyAlignment="1">
      <alignment horizontal="right" vertical="center"/>
    </xf>
    <xf numFmtId="0" fontId="4" fillId="3" borderId="0" xfId="0" applyFont="1" applyFill="1"/>
    <xf numFmtId="0" fontId="0" fillId="0" borderId="0" xfId="0"/>
    <xf numFmtId="0" fontId="41" fillId="0" borderId="0" xfId="0" applyFont="1" applyAlignment="1">
      <alignment horizontal="center"/>
    </xf>
    <xf numFmtId="0" fontId="40" fillId="0" borderId="0" xfId="20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41" fontId="9" fillId="3" borderId="1" xfId="2" applyNumberFormat="1" applyFont="1" applyFill="1" applyBorder="1" applyAlignment="1">
      <alignment horizontal="center"/>
    </xf>
    <xf numFmtId="49" fontId="13" fillId="3" borderId="0" xfId="3" applyNumberFormat="1" applyFont="1" applyFill="1" applyAlignment="1">
      <alignment horizontal="left"/>
    </xf>
    <xf numFmtId="49" fontId="13" fillId="3" borderId="1" xfId="3" applyNumberFormat="1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1" fontId="9" fillId="0" borderId="1" xfId="3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7" fillId="2" borderId="0" xfId="9" applyFont="1" applyFill="1" applyAlignment="1">
      <alignment horizontal="center" textRotation="90" wrapText="1"/>
    </xf>
    <xf numFmtId="0" fontId="7" fillId="0" borderId="0" xfId="9" applyFont="1" applyAlignment="1">
      <alignment horizontal="center" textRotation="90" wrapText="1"/>
    </xf>
    <xf numFmtId="0" fontId="9" fillId="0" borderId="0" xfId="9" applyFont="1" applyAlignment="1">
      <alignment horizontal="center" textRotation="90" wrapText="1"/>
    </xf>
    <xf numFmtId="0" fontId="7" fillId="2" borderId="0" xfId="9" applyFont="1" applyFill="1" applyAlignment="1" applyProtection="1">
      <alignment horizontal="center" textRotation="90" wrapText="1"/>
      <protection locked="0"/>
    </xf>
    <xf numFmtId="0" fontId="0" fillId="2" borderId="0" xfId="0" applyFill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horizontal="center" textRotation="90" wrapText="1"/>
    </xf>
    <xf numFmtId="0" fontId="7" fillId="2" borderId="0" xfId="9" applyFont="1" applyFill="1" applyAlignment="1">
      <alignment horizontal="center" vertical="center" textRotation="90" wrapText="1"/>
    </xf>
    <xf numFmtId="0" fontId="0" fillId="2" borderId="0" xfId="0" applyFill="1" applyAlignment="1">
      <alignment horizontal="center" vertical="center" textRotation="90" wrapText="1"/>
    </xf>
    <xf numFmtId="0" fontId="7" fillId="0" borderId="0" xfId="9" applyFont="1" applyAlignment="1" applyProtection="1">
      <alignment horizontal="center" textRotation="90"/>
      <protection locked="0"/>
    </xf>
    <xf numFmtId="0" fontId="7" fillId="2" borderId="0" xfId="9" applyFont="1" applyFill="1" applyAlignment="1">
      <alignment horizontal="center" textRotation="90"/>
    </xf>
    <xf numFmtId="0" fontId="0" fillId="0" borderId="0" xfId="0" applyAlignment="1">
      <alignment horizontal="center" textRotation="90" wrapText="1"/>
    </xf>
    <xf numFmtId="0" fontId="7" fillId="2" borderId="0" xfId="9" applyFont="1" applyFill="1" applyAlignment="1">
      <alignment horizontal="right" textRotation="90" wrapText="1"/>
    </xf>
    <xf numFmtId="0" fontId="7" fillId="0" borderId="0" xfId="9" applyFont="1" applyAlignment="1">
      <alignment horizontal="right" textRotation="90" wrapText="1"/>
    </xf>
  </cellXfs>
  <cellStyles count="21">
    <cellStyle name="Comma" xfId="19" builtinId="3"/>
    <cellStyle name="Comma 2 5 2" xfId="2" xr:uid="{00000000-0005-0000-0000-000001000000}"/>
    <cellStyle name="Comma 3" xfId="18" xr:uid="{00000000-0005-0000-0000-000002000000}"/>
    <cellStyle name="Comma 9 2" xfId="12" xr:uid="{00000000-0005-0000-0000-000003000000}"/>
    <cellStyle name="Comma_X-BUDGET2006_Fiscal plan vs. X-gov" xfId="13" xr:uid="{00000000-0005-0000-0000-000004000000}"/>
    <cellStyle name="Hyperlink" xfId="20" builtinId="8"/>
    <cellStyle name="Normal" xfId="0" builtinId="0"/>
    <cellStyle name="Normal 2 13" xfId="3" xr:uid="{00000000-0005-0000-0000-000006000000}"/>
    <cellStyle name="Normal 3 6" xfId="8" xr:uid="{00000000-0005-0000-0000-000007000000}"/>
    <cellStyle name="Normal 407" xfId="6" xr:uid="{00000000-0005-0000-0000-000008000000}"/>
    <cellStyle name="Normal 5 2" xfId="14" xr:uid="{00000000-0005-0000-0000-000009000000}"/>
    <cellStyle name="Normal 5 2 4" xfId="16" xr:uid="{00000000-0005-0000-0000-00000A000000}"/>
    <cellStyle name="Normal 61" xfId="11" xr:uid="{00000000-0005-0000-0000-00000B000000}"/>
    <cellStyle name="Normal_A" xfId="1" xr:uid="{00000000-0005-0000-0000-00000C000000}"/>
    <cellStyle name="Normal_CAP_PLNDETS" xfId="7" xr:uid="{00000000-0005-0000-0000-00000D000000}"/>
    <cellStyle name="Normal_CAP_PLNSPNG" xfId="10" xr:uid="{00000000-0005-0000-0000-00000E000000}"/>
    <cellStyle name="Normal_X-BUDGET2006_Fiscal plan vs. X-gov" xfId="9" xr:uid="{00000000-0005-0000-0000-00000F000000}"/>
    <cellStyle name="Percent 2" xfId="4" xr:uid="{00000000-0005-0000-0000-000010000000}"/>
    <cellStyle name="Percent 2 2 2 2" xfId="5" xr:uid="{00000000-0005-0000-0000-000011000000}"/>
    <cellStyle name="Percent 23" xfId="17" xr:uid="{00000000-0005-0000-0000-000012000000}"/>
    <cellStyle name="Percent 3" xfId="15" xr:uid="{00000000-0005-0000-0000-000013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141639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349C4F-8E3E-1F08-9E95-B2A1BB9B1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56839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oa\shared\CF298758\Capital%20Plan%20Master%20Copy%20-%20Updated%20Dec%2014'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298758\Capital%20Plan%20Master%20Copy%20-%20Updated%20Dec%2014'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BUD\Instructions\Form%203%20-%20Credit%20Or%20Recove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nal.treasuryboard.alberta.ca/Documents%20and%20Settings/GaleL/Local%20Settings/Temporary%20Internet%20Files/OLK3/Book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BF\MinShare\PublnsProd\CorpFin\OBM.PUBLNS-2019-20\B19_Fiscal-Plan_vol\07_FiscalPlan_TABLES_B19\source_docs_Tables\ABOR%2009-10%20Year%20End%20Tab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Functions\SCP\Capital%20Planning\2007-08%20Capital%20Plan\2008-2013Capital%20Plan_Pearl\2008_2013_Submission\Submission_Version%209\Extraction\ExtractAug20_10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GE\Bus_Activity\Corp_Fin\Year%20End\2004-05\Financial%20Statements\288%20FS%202005_SCHEDULES_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RPORATE\Fiscal_Reports\TB_OBM_SHARE\CI-B2010\SharePoint%20Files\Estimates%20Drafts\ABO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BF\MinShare\PublnsProd\CorpFin\OBM.PUBLNS-2019-20\B19_Fiscal-Plan_vol\07_FiscalPlan_TABLES_B19\source_docs_Tables\X-ExpbyFunRec%20B2010%20-%20test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osiowy\Desktop\Tanya's%20stuff\BC\AER%20template%20(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len.savitsky\Local%20Settings\Temporary%20Internet%20Files\OLK926\ADET_TableA_E_12Mar0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BUD\Instructions\Form%209%20-%20Expense%20by%20Ob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Schools List"/>
      <sheetName val="Input Tab"/>
    </sheetNames>
    <sheetDataSet>
      <sheetData sheetId="0" refreshError="1">
        <row r="1">
          <cell r="A1" t="str">
            <v>Authority Name</v>
          </cell>
        </row>
        <row r="2">
          <cell r="A2" t="str">
            <v>40-Mile Christian Education Society</v>
          </cell>
        </row>
        <row r="3">
          <cell r="A3" t="str">
            <v>ABC Head Start Society</v>
          </cell>
        </row>
        <row r="4">
          <cell r="A4" t="str">
            <v>Ability Society of Alberta Assistive Technology for Persons with Disabilities</v>
          </cell>
        </row>
        <row r="5">
          <cell r="A5" t="str">
            <v>Academic Express Inc.</v>
          </cell>
        </row>
        <row r="6">
          <cell r="A6" t="str">
            <v>Acadia Valley Early Childhood Services</v>
          </cell>
        </row>
        <row r="7">
          <cell r="A7" t="str">
            <v>Access International College (Calgary) Incorporated</v>
          </cell>
        </row>
        <row r="8">
          <cell r="A8" t="str">
            <v>Airdrie Koinonia Christian School Society</v>
          </cell>
        </row>
        <row r="9">
          <cell r="A9" t="str">
            <v>Alberta Centre for Chinese Studies</v>
          </cell>
        </row>
        <row r="10">
          <cell r="A10" t="str">
            <v>Alberta Charitable Society of St. Pius X</v>
          </cell>
        </row>
        <row r="11">
          <cell r="A11" t="str">
            <v>Alberta Chung Wah School Society</v>
          </cell>
        </row>
        <row r="12">
          <cell r="A12" t="str">
            <v>Alberta Conference of 7th Day Adventist Church</v>
          </cell>
        </row>
        <row r="13">
          <cell r="A13" t="str">
            <v>Alexander First Nation Education Authority</v>
          </cell>
        </row>
        <row r="14">
          <cell r="A14" t="str">
            <v>Alexis Band</v>
          </cell>
        </row>
        <row r="15">
          <cell r="A15" t="str">
            <v>Alliance &amp; District ECS Society</v>
          </cell>
        </row>
        <row r="16">
          <cell r="A16" t="str">
            <v>Almadina School Society</v>
          </cell>
        </row>
        <row r="17">
          <cell r="A17" t="str">
            <v>Arrowwood and District E.C.S. Society</v>
          </cell>
        </row>
        <row r="18">
          <cell r="A18" t="str">
            <v>Aspen View Regional Division No. 19</v>
          </cell>
        </row>
        <row r="19">
          <cell r="A19" t="str">
            <v>Association for Christian Schooling in Calgary South</v>
          </cell>
        </row>
        <row r="20">
          <cell r="A20" t="str">
            <v>Aurora School Ltd.</v>
          </cell>
        </row>
        <row r="21">
          <cell r="A21" t="str">
            <v>Banbury Crossroads School</v>
          </cell>
        </row>
        <row r="22">
          <cell r="A22" t="str">
            <v>Bashaw Early Learning Centre</v>
          </cell>
        </row>
        <row r="23">
          <cell r="A23" t="str">
            <v>Battle River Regional Division No. 31</v>
          </cell>
        </row>
        <row r="24">
          <cell r="A24" t="str">
            <v>Bearspaw Christian School Society</v>
          </cell>
        </row>
        <row r="25">
          <cell r="A25" t="str">
            <v>Beaver Lake Education Authority</v>
          </cell>
        </row>
        <row r="26">
          <cell r="A26" t="str">
            <v>Behaviour Therapy and Learning Centre Ltd.</v>
          </cell>
        </row>
        <row r="27">
          <cell r="A27" t="str">
            <v>Ben Calf Robe Society</v>
          </cell>
        </row>
        <row r="28">
          <cell r="A28" t="str">
            <v>Bent Arrow Traditional Healing Society</v>
          </cell>
        </row>
        <row r="29">
          <cell r="A29" t="str">
            <v>Bethel Christian Academy Society</v>
          </cell>
        </row>
        <row r="30">
          <cell r="A30" t="str">
            <v>Beverly Day Care Society &amp; Family Resource Centre</v>
          </cell>
        </row>
        <row r="31">
          <cell r="A31" t="str">
            <v>Bigstone Education Authority Society</v>
          </cell>
        </row>
        <row r="32">
          <cell r="A32" t="str">
            <v>Black Gold Regional Division No. 18</v>
          </cell>
        </row>
        <row r="33">
          <cell r="A33" t="str">
            <v>Blue Quills Native Education Council</v>
          </cell>
        </row>
        <row r="34">
          <cell r="A34" t="str">
            <v>Bosco Homes A Society For Children And Adolescents</v>
          </cell>
        </row>
        <row r="35">
          <cell r="A35" t="str">
            <v>Bow Island Congregation, Church of God in Christ, Mennonite</v>
          </cell>
        </row>
        <row r="36">
          <cell r="A36" t="str">
            <v>Boyle Street Education Centre</v>
          </cell>
        </row>
        <row r="37">
          <cell r="A37" t="str">
            <v>Bragg Creek Education Services Association</v>
          </cell>
        </row>
        <row r="38">
          <cell r="A38" t="str">
            <v>Buffalo Head Mennonite School Society</v>
          </cell>
        </row>
        <row r="39">
          <cell r="A39" t="str">
            <v>Buffalo Trail Public Schools Regional Division No. 28</v>
          </cell>
        </row>
        <row r="40">
          <cell r="A40" t="str">
            <v>Cactus Country E.C.S. Association</v>
          </cell>
        </row>
        <row r="41">
          <cell r="A41" t="str">
            <v>Calgary Arts Academy Society</v>
          </cell>
        </row>
        <row r="42">
          <cell r="A42" t="str">
            <v>Calgary Catholic Immigration Society</v>
          </cell>
        </row>
        <row r="43">
          <cell r="A43" t="str">
            <v>Calgary Chinese Alliance School Society</v>
          </cell>
        </row>
        <row r="44">
          <cell r="A44" t="str">
            <v>Calgary Chinese Cultural Centre</v>
          </cell>
        </row>
        <row r="45">
          <cell r="A45" t="str">
            <v>Calgary French &amp; International School Society</v>
          </cell>
        </row>
        <row r="46">
          <cell r="A46" t="str">
            <v>Calgary Girls' School Society</v>
          </cell>
        </row>
        <row r="47">
          <cell r="A47" t="str">
            <v>Calgary Preparatory School Association</v>
          </cell>
        </row>
        <row r="48">
          <cell r="A48" t="str">
            <v>Calgary Quest Children's Society</v>
          </cell>
        </row>
        <row r="49">
          <cell r="A49" t="str">
            <v>Calgary Roman Catholic Separate School District No. 1</v>
          </cell>
        </row>
        <row r="50">
          <cell r="A50" t="str">
            <v>Calgary School District No. 19</v>
          </cell>
        </row>
        <row r="51">
          <cell r="A51" t="str">
            <v>Calgary Science School Society</v>
          </cell>
        </row>
        <row r="52">
          <cell r="A52" t="str">
            <v>Calgary Society for Christian Education</v>
          </cell>
        </row>
        <row r="53">
          <cell r="A53" t="str">
            <v>Calgary Urban Project Society</v>
          </cell>
        </row>
        <row r="54">
          <cell r="A54" t="str">
            <v>Calgary Waldorf School Society</v>
          </cell>
        </row>
        <row r="55">
          <cell r="A55" t="str">
            <v>Calvin Christian School Society of the Netherlands Reformed Congregations</v>
          </cell>
        </row>
        <row r="56">
          <cell r="A56" t="str">
            <v>Camrose Children's Centre</v>
          </cell>
        </row>
        <row r="57">
          <cell r="A57" t="str">
            <v>Canadian College International Institute</v>
          </cell>
        </row>
        <row r="58">
          <cell r="A58" t="str">
            <v>Canadian Reformed School Society of Edmonton</v>
          </cell>
        </row>
        <row r="59">
          <cell r="A59" t="str">
            <v>Canadian Reformed School Society of Neerlandia</v>
          </cell>
        </row>
        <row r="60">
          <cell r="A60" t="str">
            <v>Canadian Rockies Regional Division No. 12</v>
          </cell>
        </row>
        <row r="61">
          <cell r="A61" t="str">
            <v>Canadian University College</v>
          </cell>
        </row>
        <row r="62">
          <cell r="A62" t="str">
            <v>CAPE - Centre for Academic and Personal Excellence Institute</v>
          </cell>
        </row>
        <row r="63">
          <cell r="A63" t="str">
            <v>Castor Early Childhood Society</v>
          </cell>
        </row>
        <row r="64">
          <cell r="A64" t="str">
            <v>Catholic Hungarian Association (Edmonton)</v>
          </cell>
        </row>
        <row r="65">
          <cell r="A65" t="str">
            <v>Cause and Effect Foundation</v>
          </cell>
        </row>
        <row r="66">
          <cell r="A66" t="str">
            <v>Central Alberta Christian High School Society</v>
          </cell>
        </row>
        <row r="67">
          <cell r="A67" t="str">
            <v>Centro Linguistico E Culturale Italiano Calgary</v>
          </cell>
        </row>
        <row r="68">
          <cell r="A68" t="str">
            <v>Cereal Early Childhood Service Association</v>
          </cell>
        </row>
        <row r="69">
          <cell r="A69" t="str">
            <v>Champion Kindergarten Association</v>
          </cell>
        </row>
        <row r="70">
          <cell r="A70" t="str">
            <v>Chief Shot Both Sides Traditional Science Institute</v>
          </cell>
        </row>
        <row r="71">
          <cell r="A71" t="str">
            <v>Children's Services Centre, An Alberta Society</v>
          </cell>
        </row>
        <row r="72">
          <cell r="A72" t="str">
            <v>Chinook's Edge School Division No. 73</v>
          </cell>
        </row>
        <row r="73">
          <cell r="A73" t="str">
            <v>Chipewyan Prairie First Nation</v>
          </cell>
        </row>
        <row r="74">
          <cell r="A74" t="str">
            <v>Christ the Redeemer Catholic Separate Regional Division No. 3</v>
          </cell>
        </row>
        <row r="75">
          <cell r="A75" t="str">
            <v>Christopher Robin School Ltd.</v>
          </cell>
        </row>
        <row r="76">
          <cell r="A76" t="str">
            <v>Church of God in Christ Mennonite</v>
          </cell>
        </row>
        <row r="77">
          <cell r="A77" t="str">
            <v>Church of God in Christ Mennonite Rosedale Congregation</v>
          </cell>
        </row>
        <row r="78">
          <cell r="A78" t="str">
            <v>City West Childcare &amp; Community Support Society</v>
          </cell>
        </row>
        <row r="79">
          <cell r="A79" t="str">
            <v>Clandonald Early Childhood Services Association</v>
          </cell>
        </row>
        <row r="80">
          <cell r="A80" t="str">
            <v>Clear Water Academy Foundation</v>
          </cell>
        </row>
        <row r="81">
          <cell r="A81" t="str">
            <v>Cleardale Mennonite School Society</v>
          </cell>
        </row>
        <row r="82">
          <cell r="A82" t="str">
            <v>Clearview School Division No. 71</v>
          </cell>
        </row>
        <row r="83">
          <cell r="A83" t="str">
            <v>Coaldale Canadian Reformed School Society</v>
          </cell>
        </row>
        <row r="84">
          <cell r="A84" t="str">
            <v>Columbia College Corp.</v>
          </cell>
        </row>
        <row r="85">
          <cell r="A85" t="str">
            <v>Community Connections School (CCS)</v>
          </cell>
        </row>
        <row r="86">
          <cell r="A86" t="str">
            <v>Community Options - A Society for Children and Families</v>
          </cell>
        </row>
        <row r="87">
          <cell r="A87" t="str">
            <v>Concordia University College of Alberta</v>
          </cell>
        </row>
        <row r="88">
          <cell r="A88" t="str">
            <v>Congregation House of Jacob - Mikveh Israel</v>
          </cell>
        </row>
        <row r="89">
          <cell r="A89" t="str">
            <v>Connect Society-Deafness, Education, Advocacy &amp; Family Services</v>
          </cell>
        </row>
        <row r="90">
          <cell r="A90" t="str">
            <v>Coral Springs Child Care Society</v>
          </cell>
        </row>
        <row r="91">
          <cell r="A91" t="str">
            <v>Cornerstone Christian School Society</v>
          </cell>
        </row>
        <row r="92">
          <cell r="A92" t="str">
            <v>Countryside Christian School</v>
          </cell>
        </row>
        <row r="93">
          <cell r="A93" t="str">
            <v>Crossroads Family Services</v>
          </cell>
        </row>
        <row r="94">
          <cell r="A94" t="str">
            <v>Dalhousie Community Association</v>
          </cell>
        </row>
        <row r="95">
          <cell r="A95" t="str">
            <v>Delta West Academy Society</v>
          </cell>
        </row>
        <row r="96">
          <cell r="A96" t="str">
            <v>Dene Tha' Band</v>
          </cell>
        </row>
        <row r="97">
          <cell r="A97" t="str">
            <v>Department of Elementary Education University of Alberta</v>
          </cell>
        </row>
        <row r="98">
          <cell r="A98" t="str">
            <v>Department of Speech Pathology and Audiology University of Alberta</v>
          </cell>
        </row>
        <row r="99">
          <cell r="A99" t="str">
            <v>Destiny Christian School Society</v>
          </cell>
        </row>
        <row r="100">
          <cell r="A100" t="str">
            <v>Devon Christian School Society</v>
          </cell>
        </row>
        <row r="101">
          <cell r="A101" t="str">
            <v>Dewberry Early Childhood Parents Society</v>
          </cell>
        </row>
        <row r="102">
          <cell r="A102" t="str">
            <v>Diaspora Communications &amp; Human Resources Institute Inc.</v>
          </cell>
        </row>
        <row r="103">
          <cell r="A103" t="str">
            <v>Driftpile Band</v>
          </cell>
        </row>
        <row r="104">
          <cell r="A104" t="str">
            <v>Duchess Bethel Mennonite S</v>
          </cell>
        </row>
        <row r="105">
          <cell r="A105" t="str">
            <v>Early Discoveries Childhood Services Ltd.</v>
          </cell>
        </row>
        <row r="106">
          <cell r="A106" t="str">
            <v>East Central Alberta Catholic Separate Schools Regional Division No. 16</v>
          </cell>
        </row>
        <row r="107">
          <cell r="A107" t="str">
            <v>East Central Francophone Education Region No. 3</v>
          </cell>
        </row>
        <row r="108">
          <cell r="A108" t="str">
            <v>Eastside City Church</v>
          </cell>
        </row>
        <row r="109">
          <cell r="A109" t="str">
            <v>Echo Valley Church of God in Christ Mennonite</v>
          </cell>
        </row>
        <row r="110">
          <cell r="A110" t="str">
            <v>Edberg/Meeting Creek ECS Society</v>
          </cell>
        </row>
        <row r="111">
          <cell r="A111" t="str">
            <v>Edelweiss Preparatory School Society</v>
          </cell>
        </row>
        <row r="112">
          <cell r="A112" t="str">
            <v>Edison School Society</v>
          </cell>
        </row>
        <row r="113">
          <cell r="A113" t="str">
            <v>Edmonton Academy Society for Learning Disabled</v>
          </cell>
        </row>
        <row r="114">
          <cell r="A114" t="str">
            <v>Edmonton Bible Heritage Christian School &amp; College Society</v>
          </cell>
        </row>
        <row r="115">
          <cell r="A115" t="str">
            <v>Edmonton Catholic Separate School District No. 7</v>
          </cell>
        </row>
        <row r="116">
          <cell r="A116" t="str">
            <v>Edmonton City Centre Church Corporation</v>
          </cell>
        </row>
        <row r="117">
          <cell r="A117" t="str">
            <v>Edmonton Hispanic Bilingual Association</v>
          </cell>
        </row>
        <row r="118">
          <cell r="A118" t="str">
            <v>Edmonton Islamic School Society</v>
          </cell>
        </row>
        <row r="119">
          <cell r="A119" t="str">
            <v>Edmonton John Howard Society</v>
          </cell>
        </row>
        <row r="120">
          <cell r="A120" t="str">
            <v>Edmonton Khalsa School Educational Association</v>
          </cell>
        </row>
        <row r="121">
          <cell r="A121" t="str">
            <v>Edmonton School District No. 7</v>
          </cell>
        </row>
        <row r="122">
          <cell r="A122" t="str">
            <v>Educere Learning Society</v>
          </cell>
        </row>
        <row r="123">
          <cell r="A123" t="str">
            <v>Elk Island Catholic Separate Regional Division No. 41</v>
          </cell>
        </row>
        <row r="124">
          <cell r="A124" t="str">
            <v>Elk Island Public Schools Regional Division No. 14</v>
          </cell>
        </row>
        <row r="125">
          <cell r="A125" t="str">
            <v>Elves Special Needs Society</v>
          </cell>
        </row>
        <row r="126">
          <cell r="A126" t="str">
            <v>Equilibrium International Education Foundation</v>
          </cell>
        </row>
        <row r="127">
          <cell r="A127" t="str">
            <v>Evangelical Free Church of Champion, Alberta</v>
          </cell>
        </row>
        <row r="128">
          <cell r="A128" t="str">
            <v>Evergreen Catholic Separate Regional Division No. 2</v>
          </cell>
        </row>
        <row r="129">
          <cell r="A129" t="str">
            <v>Excel Kindergarten Ltd.</v>
          </cell>
        </row>
        <row r="130">
          <cell r="A130" t="str">
            <v>Expression's ECS Society East</v>
          </cell>
        </row>
        <row r="131">
          <cell r="A131" t="str">
            <v>Family Linkages Foundation of Alberta</v>
          </cell>
        </row>
        <row r="132">
          <cell r="A132" t="str">
            <v>Federally Administered Schools</v>
          </cell>
        </row>
        <row r="133">
          <cell r="A133" t="str">
            <v>Foothills Academy Society</v>
          </cell>
        </row>
        <row r="134">
          <cell r="A134" t="str">
            <v>Foothills Alliance Kindergarten Society</v>
          </cell>
        </row>
        <row r="135">
          <cell r="A135" t="str">
            <v>Foothills Creative Beginnings Preschool and E.C.S. Association</v>
          </cell>
        </row>
        <row r="136">
          <cell r="A136" t="str">
            <v>Foothills School Division No. 38</v>
          </cell>
        </row>
        <row r="137">
          <cell r="A137" t="str">
            <v>Fort McMurray Christian School Society</v>
          </cell>
        </row>
        <row r="138">
          <cell r="A138" t="str">
            <v>Fort McMurray Roman Catholic Separate School District No. 32</v>
          </cell>
        </row>
        <row r="139">
          <cell r="A139" t="str">
            <v>Fort McMurray School District No. 2833</v>
          </cell>
        </row>
        <row r="140">
          <cell r="A140" t="str">
            <v>Fort Vermilion School Division No. 52</v>
          </cell>
        </row>
        <row r="141">
          <cell r="A141" t="str">
            <v>Foundations for the Future Charter Academy Charter School Society</v>
          </cell>
        </row>
        <row r="142">
          <cell r="A142" t="str">
            <v>Froebel Kindergarten Society of Alberta</v>
          </cell>
        </row>
        <row r="143">
          <cell r="A143" t="str">
            <v>Frog Lake Band</v>
          </cell>
        </row>
        <row r="144">
          <cell r="A144" t="str">
            <v>G.R.I.T. (Getting Ready for Inclusion Today) Calgary Society</v>
          </cell>
        </row>
        <row r="145">
          <cell r="A145" t="str">
            <v>Gabriela Mistral Latin American School Society</v>
          </cell>
        </row>
        <row r="146">
          <cell r="A146" t="str">
            <v>GCA Educational Society</v>
          </cell>
        </row>
        <row r="147">
          <cell r="A147" t="str">
            <v>German Language School of Calgary</v>
          </cell>
        </row>
        <row r="148">
          <cell r="A148" t="str">
            <v>German Language School Society of Edmonton</v>
          </cell>
        </row>
        <row r="149">
          <cell r="A149" t="str">
            <v>Getting Ready for Inclusion Today (The GRIT Program) Society of Edmonton</v>
          </cell>
        </row>
        <row r="150">
          <cell r="A150" t="str">
            <v>Gil Vicente Edmonton Portuguese School Society</v>
          </cell>
        </row>
        <row r="151">
          <cell r="A151" t="str">
            <v>Glamorgan Community Early Childhood Services (E.C.S.) Institute</v>
          </cell>
        </row>
        <row r="152">
          <cell r="A152" t="str">
            <v>Golden Hills School Division No. 75</v>
          </cell>
        </row>
        <row r="153">
          <cell r="A153" t="str">
            <v>Grande Prairie and District Society for Christian Education</v>
          </cell>
        </row>
        <row r="154">
          <cell r="A154" t="str">
            <v>Grande Prairie Roman Catholic Separate School District No. 28</v>
          </cell>
        </row>
        <row r="155">
          <cell r="A155" t="str">
            <v>Grande Prairie School District No. 2357</v>
          </cell>
        </row>
        <row r="156">
          <cell r="A156" t="str">
            <v>Grande Yellowhead Regional Division No. 35</v>
          </cell>
        </row>
        <row r="157">
          <cell r="A157" t="str">
            <v>Grasslands Regional Division No. 6</v>
          </cell>
        </row>
        <row r="158">
          <cell r="A158" t="str">
            <v>Greater North Central Francophone Education Region No. 2</v>
          </cell>
        </row>
        <row r="159">
          <cell r="A159" t="str">
            <v>Greater Southern Public Francophone Education Region No. 4</v>
          </cell>
        </row>
        <row r="160">
          <cell r="A160" t="str">
            <v>Greater Southern Separate Catholic Francophone Education Region No. 4</v>
          </cell>
        </row>
        <row r="161">
          <cell r="A161" t="str">
            <v>Greater St. Albert Catholic Regional Division No. 29</v>
          </cell>
        </row>
        <row r="162">
          <cell r="A162" t="str">
            <v>Greek Orthodox Community of Edmonton and District Society</v>
          </cell>
        </row>
        <row r="163">
          <cell r="A163" t="str">
            <v>Green Learning Academy</v>
          </cell>
        </row>
        <row r="164">
          <cell r="A164" t="str">
            <v>H. Sienkiewicz Polish School Parent Association</v>
          </cell>
        </row>
        <row r="165">
          <cell r="A165" t="str">
            <v>Hardisty Early Childhood Services Society</v>
          </cell>
        </row>
        <row r="166">
          <cell r="A166" t="str">
            <v>Hay Lakes ECS</v>
          </cell>
        </row>
        <row r="167">
          <cell r="A167" t="str">
            <v>Headway School Society of Alberta</v>
          </cell>
        </row>
        <row r="168">
          <cell r="A168" t="str">
            <v>Heart Lake Band #469</v>
          </cell>
        </row>
        <row r="169">
          <cell r="A169" t="str">
            <v>Hellenic Society of Calgary and District</v>
          </cell>
        </row>
        <row r="170">
          <cell r="A170" t="str">
            <v>Hellenic-Canadian Community of Edmonton and Region</v>
          </cell>
        </row>
        <row r="171">
          <cell r="A171" t="str">
            <v>Heritage Christian Academy Foundation</v>
          </cell>
        </row>
        <row r="172">
          <cell r="A172" t="str">
            <v>High Level Christian Education Society</v>
          </cell>
        </row>
        <row r="173">
          <cell r="A173" t="str">
            <v>High Prairie School Division No. 48</v>
          </cell>
        </row>
        <row r="174">
          <cell r="A174" t="str">
            <v>Highwood Community E.C.S. Association</v>
          </cell>
        </row>
        <row r="175">
          <cell r="A175" t="str">
            <v>Hillcrest Christian School Society</v>
          </cell>
        </row>
        <row r="176">
          <cell r="A176" t="str">
            <v>Holy Family Catholic Regional Division No. 37</v>
          </cell>
        </row>
        <row r="177">
          <cell r="A177" t="str">
            <v>Holy Spirit Roman Catholic Separate Regional Division No. 4</v>
          </cell>
        </row>
        <row r="178">
          <cell r="A178" t="str">
            <v>Horizon School Committee</v>
          </cell>
        </row>
        <row r="179">
          <cell r="A179" t="str">
            <v>Horizon School Division No. 67</v>
          </cell>
        </row>
        <row r="180">
          <cell r="A180" t="str">
            <v>Horse Lake First Nation</v>
          </cell>
        </row>
        <row r="181">
          <cell r="A181" t="str">
            <v>Hounsfield Heights-Briar Hill Community Association</v>
          </cell>
        </row>
        <row r="182">
          <cell r="A182" t="str">
            <v>Huntington Hills Community Association</v>
          </cell>
        </row>
        <row r="183">
          <cell r="A183" t="str">
            <v>I'm For Kids Team Ltd.</v>
          </cell>
        </row>
        <row r="184">
          <cell r="A184" t="str">
            <v>Independent Baptist Christian Education Society</v>
          </cell>
        </row>
        <row r="185">
          <cell r="A185" t="str">
            <v>Inner City Youth Development Association</v>
          </cell>
        </row>
        <row r="186">
          <cell r="A186" t="str">
            <v>Innisfree and District Early Childhood Services Association</v>
          </cell>
        </row>
        <row r="187">
          <cell r="A187" t="str">
            <v>Integro Youth Counselling Services</v>
          </cell>
        </row>
        <row r="188">
          <cell r="A188" t="str">
            <v>International School of Excellence (ISE)</v>
          </cell>
        </row>
        <row r="189">
          <cell r="A189" t="str">
            <v>Irricana E.C.S. Society</v>
          </cell>
        </row>
        <row r="190">
          <cell r="A190" t="str">
            <v>Janus Academy Society</v>
          </cell>
        </row>
        <row r="191">
          <cell r="A191" t="str">
            <v>Jasper Place Child and Family Resource Society</v>
          </cell>
        </row>
        <row r="192">
          <cell r="A192" t="str">
            <v>Kainaiwa Board of Education</v>
          </cell>
        </row>
        <row r="193">
          <cell r="A193" t="str">
            <v>Kathyrn E.C.S. Society</v>
          </cell>
        </row>
        <row r="194">
          <cell r="A194" t="str">
            <v>Kehewin Band</v>
          </cell>
        </row>
        <row r="195">
          <cell r="A195" t="str">
            <v>Kingman-Round Hill Child Development Centre</v>
          </cell>
        </row>
        <row r="196">
          <cell r="A196" t="str">
            <v>Kirriemuir Altario Compeer School Project Society</v>
          </cell>
        </row>
        <row r="197">
          <cell r="A197" t="str">
            <v>Kisipatnahk School Society</v>
          </cell>
        </row>
        <row r="198">
          <cell r="A198" t="str">
            <v>Kitaskinaw Education Authority</v>
          </cell>
        </row>
        <row r="199">
          <cell r="A199" t="str">
            <v>Kitscoty and District Early Childhood Education Kindergarten</v>
          </cell>
        </row>
        <row r="200">
          <cell r="A200" t="str">
            <v>Kneehill Christian School</v>
          </cell>
        </row>
        <row r="201">
          <cell r="A201" t="str">
            <v>Koinonia Christian Education Society</v>
          </cell>
        </row>
        <row r="202">
          <cell r="A202" t="str">
            <v>Koinonia Christian School - Red Deer Society</v>
          </cell>
        </row>
        <row r="203">
          <cell r="A203" t="str">
            <v>Lakeland Christian School Society</v>
          </cell>
        </row>
        <row r="204">
          <cell r="A204" t="str">
            <v>Lakeland Country School</v>
          </cell>
        </row>
        <row r="205">
          <cell r="A205" t="str">
            <v>Lakeland Roman Catholic Separate School District No. 150</v>
          </cell>
        </row>
        <row r="206">
          <cell r="A206" t="str">
            <v>Lakeview Christian School</v>
          </cell>
        </row>
        <row r="207">
          <cell r="A207" t="str">
            <v>Language School of the German Canadian Club, Calgary</v>
          </cell>
        </row>
        <row r="208">
          <cell r="A208" t="str">
            <v>Learning and Enrichment for Autism Disorders Foundation (L.E.A.D.)</v>
          </cell>
        </row>
        <row r="209">
          <cell r="A209" t="str">
            <v>Lesser Slave Lake North Country Community Association</v>
          </cell>
        </row>
        <row r="210">
          <cell r="A210" t="str">
            <v>Lethbridge Montessori Society</v>
          </cell>
        </row>
        <row r="211">
          <cell r="A211" t="str">
            <v>Lethbridge Preschool Services Project</v>
          </cell>
        </row>
        <row r="212">
          <cell r="A212" t="str">
            <v>Lethbridge School District No. 51</v>
          </cell>
        </row>
        <row r="213">
          <cell r="A213" t="str">
            <v>Lighthouse Christian School Society</v>
          </cell>
        </row>
        <row r="214">
          <cell r="A214" t="str">
            <v>Little Flower Day Care Society</v>
          </cell>
        </row>
        <row r="215">
          <cell r="A215" t="str">
            <v>Little Red River Board of Education</v>
          </cell>
        </row>
        <row r="216">
          <cell r="A216" t="str">
            <v>Living Faith Evangelistic Association</v>
          </cell>
        </row>
        <row r="217">
          <cell r="A217" t="str">
            <v>Living Springs Mennonite Church of Hythe</v>
          </cell>
        </row>
        <row r="218">
          <cell r="A218" t="str">
            <v>Living Waters Catholic Regional Division No. 42</v>
          </cell>
        </row>
        <row r="219">
          <cell r="A219" t="str">
            <v>Living Waters Christian  Academy</v>
          </cell>
        </row>
        <row r="220">
          <cell r="A220" t="str">
            <v>Livingstone Range School Division No. 68</v>
          </cell>
        </row>
        <row r="221">
          <cell r="A221" t="str">
            <v>Lloydminster Public School Division</v>
          </cell>
        </row>
        <row r="222">
          <cell r="A222" t="str">
            <v>Lloydminster Roman Catholic Separate School Division</v>
          </cell>
        </row>
        <row r="223">
          <cell r="A223" t="str">
            <v>Lomond Little Learners Society</v>
          </cell>
        </row>
        <row r="224">
          <cell r="A224" t="str">
            <v>Londonderry Child Development Society</v>
          </cell>
        </row>
        <row r="225">
          <cell r="A225" t="str">
            <v>Loon River First Nation</v>
          </cell>
        </row>
        <row r="226">
          <cell r="A226" t="str">
            <v>Lotsa Tots Early Childhood Society</v>
          </cell>
        </row>
        <row r="227">
          <cell r="A227" t="str">
            <v>Lougheed Childhood Services Society</v>
          </cell>
        </row>
        <row r="228">
          <cell r="A228" t="str">
            <v>Lycee Louis Pasteur Society</v>
          </cell>
        </row>
        <row r="229">
          <cell r="A229" t="str">
            <v>Mannawanis Native Friendship Centre</v>
          </cell>
        </row>
        <row r="230">
          <cell r="A230" t="str">
            <v>Manyberries Private Kindergarten Society</v>
          </cell>
        </row>
        <row r="231">
          <cell r="A231" t="str">
            <v>Marlborough Day Nursery ECS Limited</v>
          </cell>
        </row>
        <row r="232">
          <cell r="A232" t="str">
            <v>Maskwachees Cultural College</v>
          </cell>
        </row>
        <row r="233">
          <cell r="A233" t="str">
            <v>Master's Academy Educational Society</v>
          </cell>
        </row>
        <row r="234">
          <cell r="A234" t="str">
            <v>Medicine Hat Catholic Separate Regional Division No. 20</v>
          </cell>
        </row>
        <row r="235">
          <cell r="A235" t="str">
            <v>Medicine Hat School District No. 76</v>
          </cell>
        </row>
        <row r="236">
          <cell r="A236" t="str">
            <v>Mennonite Educational Society of Calgary</v>
          </cell>
        </row>
        <row r="237">
          <cell r="A237" t="str">
            <v>Meskanahk Ka-Nipa-Wit School</v>
          </cell>
        </row>
        <row r="238">
          <cell r="A238" t="str">
            <v>Midway E.C.S. Society</v>
          </cell>
        </row>
        <row r="239">
          <cell r="A239" t="str">
            <v>Milo Alphabets Kindergarten Society</v>
          </cell>
        </row>
        <row r="240">
          <cell r="A240" t="str">
            <v>Miyo Wahkohtowin Community Education Authority</v>
          </cell>
        </row>
        <row r="241">
          <cell r="A241" t="str">
            <v>Moberly Hall School Society</v>
          </cell>
        </row>
        <row r="242">
          <cell r="A242" t="str">
            <v>Montessori Education Preschool &amp; ECS Institute of Alberta</v>
          </cell>
        </row>
        <row r="243">
          <cell r="A243" t="str">
            <v>Montessori School of Calgary</v>
          </cell>
        </row>
        <row r="244">
          <cell r="A244" t="str">
            <v>Morinville Christian Fellowship</v>
          </cell>
        </row>
        <row r="245">
          <cell r="A245" t="str">
            <v>Mother Earth's Children's Charter School Society</v>
          </cell>
        </row>
        <row r="246">
          <cell r="A246" t="str">
            <v>Mount Royal College Day-Care Society</v>
          </cell>
        </row>
        <row r="247">
          <cell r="A247" t="str">
            <v>Mountain View Academy Society</v>
          </cell>
        </row>
        <row r="248">
          <cell r="A248" t="str">
            <v>Muslim Community Foundation of Calgary</v>
          </cell>
        </row>
        <row r="249">
          <cell r="A249" t="str">
            <v>Nampa and District Kindergarten Society</v>
          </cell>
        </row>
        <row r="250">
          <cell r="A250" t="str">
            <v>New Brigden Early Childhood Services Association</v>
          </cell>
        </row>
        <row r="251">
          <cell r="A251" t="str">
            <v>New Heights Early Learning Services Society</v>
          </cell>
        </row>
        <row r="252">
          <cell r="A252" t="str">
            <v>New Horizons Charter School Society</v>
          </cell>
        </row>
        <row r="253">
          <cell r="A253" t="str">
            <v>Newell Christian School Society</v>
          </cell>
        </row>
        <row r="254">
          <cell r="A254" t="str">
            <v>Nipisihkopahk Education Authority</v>
          </cell>
        </row>
        <row r="255">
          <cell r="A255" t="str">
            <v>Northern Gateway Regional Division No. 10</v>
          </cell>
        </row>
        <row r="256">
          <cell r="A256" t="str">
            <v>Northern Lights School</v>
          </cell>
        </row>
        <row r="257">
          <cell r="A257" t="str">
            <v>Northern Lights School Division No. 69</v>
          </cell>
        </row>
        <row r="258">
          <cell r="A258" t="str">
            <v>Northland School Division No. 61</v>
          </cell>
        </row>
        <row r="259">
          <cell r="A259" t="str">
            <v>Northwest Francophone Education Region No. 1</v>
          </cell>
        </row>
        <row r="260">
          <cell r="A260" t="str">
            <v>Norwood Child &amp; Family Resource Centre</v>
          </cell>
        </row>
        <row r="261">
          <cell r="A261" t="str">
            <v>Norwood Chinese Education Association</v>
          </cell>
        </row>
        <row r="262">
          <cell r="A262" t="str">
            <v>O'Chiese Education Authority</v>
          </cell>
        </row>
        <row r="263">
          <cell r="A263" t="str">
            <v>Okotoks Montessori Preschool Society</v>
          </cell>
        </row>
        <row r="264">
          <cell r="A264" t="str">
            <v>Olds Kindergarten Society</v>
          </cell>
        </row>
        <row r="265">
          <cell r="A265" t="str">
            <v>Olds Mountain View Christian School Association</v>
          </cell>
        </row>
        <row r="266">
          <cell r="A266" t="str">
            <v>Oliver Centre Early Learning Programs for Children &amp; Families Society</v>
          </cell>
        </row>
        <row r="267">
          <cell r="A267" t="str">
            <v>Oyen Early Childhood Services</v>
          </cell>
        </row>
        <row r="268">
          <cell r="A268" t="str">
            <v>Pacekids Programs for Children with Motor Disabilities Society</v>
          </cell>
        </row>
        <row r="269">
          <cell r="A269" t="str">
            <v>Palliser Regional Division No. 26</v>
          </cell>
        </row>
        <row r="270">
          <cell r="A270" t="str">
            <v>Parkland Community Living and Supports Society</v>
          </cell>
        </row>
        <row r="271">
          <cell r="A271" t="str">
            <v>Parkland School Division No. 70</v>
          </cell>
        </row>
        <row r="272">
          <cell r="A272" t="str">
            <v>Paul Band Education Authority</v>
          </cell>
        </row>
        <row r="273">
          <cell r="A273" t="str">
            <v>Peace Country Montessori Society</v>
          </cell>
        </row>
        <row r="274">
          <cell r="A274" t="str">
            <v>Peace Mennonite School</v>
          </cell>
        </row>
        <row r="275">
          <cell r="A275" t="str">
            <v>Peace River School Division No. 10</v>
          </cell>
        </row>
        <row r="276">
          <cell r="A276" t="str">
            <v>Peace Wapiti School Division No. 76</v>
          </cell>
        </row>
        <row r="277">
          <cell r="A277" t="str">
            <v>Peigan Band</v>
          </cell>
        </row>
        <row r="278">
          <cell r="A278" t="str">
            <v>Pembina Hills Regional Division No. 7</v>
          </cell>
        </row>
        <row r="279">
          <cell r="A279" t="str">
            <v>Phoenix Home Education Foundation</v>
          </cell>
        </row>
        <row r="280">
          <cell r="A280" t="str">
            <v>Pigeon Lake Regional Early Childhood Services Advisory</v>
          </cell>
        </row>
        <row r="281">
          <cell r="A281" t="str">
            <v>Playcare ECS Ltd.</v>
          </cell>
        </row>
        <row r="282">
          <cell r="A282" t="str">
            <v>Ponoka Christian School Society</v>
          </cell>
        </row>
        <row r="283">
          <cell r="A283" t="str">
            <v>Prairie Land Regional Division No. 25</v>
          </cell>
        </row>
        <row r="284">
          <cell r="A284" t="str">
            <v>Prairie Rose School Division No. 8</v>
          </cell>
        </row>
        <row r="285">
          <cell r="A285" t="str">
            <v>Prairie Winds International Academy</v>
          </cell>
        </row>
        <row r="286">
          <cell r="A286" t="str">
            <v>Primrose Place Family Centre Association</v>
          </cell>
        </row>
        <row r="287">
          <cell r="A287" t="str">
            <v>Prince of Peace Lutheran Church of Calgary</v>
          </cell>
        </row>
        <row r="288">
          <cell r="A288" t="str">
            <v>Progressive Academy Education Society</v>
          </cell>
        </row>
        <row r="289">
          <cell r="A289" t="str">
            <v>Providence Child Development Society</v>
          </cell>
        </row>
        <row r="290">
          <cell r="A290" t="str">
            <v>Providence Christian School Society</v>
          </cell>
        </row>
        <row r="291">
          <cell r="A291" t="str">
            <v>Red Crow Community College</v>
          </cell>
        </row>
        <row r="292">
          <cell r="A292" t="str">
            <v>Red Deer Catholic Regional Division No. 39</v>
          </cell>
        </row>
        <row r="293">
          <cell r="A293" t="str">
            <v>Red Deer College</v>
          </cell>
        </row>
        <row r="294">
          <cell r="A294" t="str">
            <v>Red Deer School District No. 104</v>
          </cell>
        </row>
        <row r="295">
          <cell r="A295" t="str">
            <v>Renfrew Educational Services Society</v>
          </cell>
        </row>
        <row r="296">
          <cell r="A296" t="str">
            <v>River Valley School Society</v>
          </cell>
        </row>
        <row r="297">
          <cell r="A297" t="str">
            <v>Rocky View Mennonite Church</v>
          </cell>
        </row>
        <row r="298">
          <cell r="A298" t="str">
            <v>Rocky View School Division No. 41</v>
          </cell>
        </row>
        <row r="299">
          <cell r="A299" t="str">
            <v>Rosalind Early Childhood Society</v>
          </cell>
        </row>
        <row r="300">
          <cell r="A300" t="str">
            <v>Rossburn Academy Society of Calgary</v>
          </cell>
        </row>
        <row r="301">
          <cell r="A301" t="str">
            <v>Rundle College Society</v>
          </cell>
        </row>
        <row r="302">
          <cell r="A302" t="str">
            <v>Russian Language and Culture Education Society of Alberta</v>
          </cell>
        </row>
        <row r="303">
          <cell r="A303" t="str">
            <v>Russian School Society</v>
          </cell>
        </row>
        <row r="304">
          <cell r="A304" t="str">
            <v>Saddle Lake Education Authority</v>
          </cell>
        </row>
        <row r="305">
          <cell r="A305" t="str">
            <v>Saddle Lake Indian Full Gospel School Mission</v>
          </cell>
        </row>
        <row r="306">
          <cell r="A306" t="str">
            <v>Sedgewick Early Childhood Centre</v>
          </cell>
        </row>
        <row r="307">
          <cell r="A307" t="str">
            <v>Sherwood Park Kindergarten</v>
          </cell>
        </row>
        <row r="308">
          <cell r="A308" t="str">
            <v>Siksika Board of Education</v>
          </cell>
        </row>
        <row r="309">
          <cell r="A309" t="str">
            <v>Sino-Canada Culture Association</v>
          </cell>
        </row>
        <row r="310">
          <cell r="A310" t="str">
            <v>Slave Lake Koinonia Christian School Society</v>
          </cell>
        </row>
        <row r="311">
          <cell r="A311" t="str">
            <v>Society For Treatment of Autism (Calgary Region)</v>
          </cell>
        </row>
        <row r="312">
          <cell r="A312" t="str">
            <v>Solomon College</v>
          </cell>
        </row>
        <row r="313">
          <cell r="A313" t="str">
            <v>Southview Kiddie Kampus Day Care Association</v>
          </cell>
        </row>
        <row r="314">
          <cell r="A314" t="str">
            <v>St. Albert Day Care Society</v>
          </cell>
        </row>
        <row r="315">
          <cell r="A315" t="str">
            <v>St. Albert Parents' Place Association</v>
          </cell>
        </row>
        <row r="316">
          <cell r="A316" t="str">
            <v>St. Albert Protestant Separate School District No. 6</v>
          </cell>
        </row>
        <row r="317">
          <cell r="A317" t="str">
            <v>St. John's Institute</v>
          </cell>
        </row>
        <row r="318">
          <cell r="A318" t="str">
            <v>St. Matthew Evangelical Lutheran Church of Stony Plain, Alberta</v>
          </cell>
        </row>
        <row r="319">
          <cell r="A319" t="str">
            <v>St. Paul Education Regional Division No. 1</v>
          </cell>
        </row>
        <row r="320">
          <cell r="A320" t="str">
            <v>St. Peter's Lutheran Kindergarten (Leduc)</v>
          </cell>
        </row>
        <row r="321">
          <cell r="A321" t="str">
            <v>St. Thomas Aquinas Roman Catholic Separate Regional Division No. 38</v>
          </cell>
        </row>
        <row r="322">
          <cell r="A322" t="str">
            <v>Stirling Mennonite Church Day School</v>
          </cell>
        </row>
        <row r="323">
          <cell r="A323" t="str">
            <v>Stoney Tribal Administration</v>
          </cell>
        </row>
        <row r="324">
          <cell r="A324" t="str">
            <v>Strathcona-Tweedsmuir School</v>
          </cell>
        </row>
        <row r="325">
          <cell r="A325" t="str">
            <v>Strome Early Childhood Services Society</v>
          </cell>
        </row>
        <row r="326">
          <cell r="A326" t="str">
            <v>Students' Union of the University of Alberta and Community Day Care Centre Society</v>
          </cell>
        </row>
        <row r="327">
          <cell r="A327" t="str">
            <v>Sturgeon Lake First Nation, Band #154</v>
          </cell>
        </row>
        <row r="328">
          <cell r="A328" t="str">
            <v>Sturgeon School Division No. 24</v>
          </cell>
        </row>
        <row r="329">
          <cell r="A329" t="str">
            <v>Sucker Creek First Nation</v>
          </cell>
        </row>
        <row r="330">
          <cell r="A330" t="str">
            <v>Sunchild E-Learning Community Inc.</v>
          </cell>
        </row>
        <row r="331">
          <cell r="A331" t="str">
            <v>Sunchild First Nation Band</v>
          </cell>
        </row>
        <row r="332">
          <cell r="A332" t="str">
            <v>Suzuki Charter School Society</v>
          </cell>
        </row>
        <row r="333">
          <cell r="A333" t="str">
            <v>Swan River First Nation</v>
          </cell>
        </row>
        <row r="334">
          <cell r="A334" t="str">
            <v>Swedish Society of Calgary</v>
          </cell>
        </row>
        <row r="335">
          <cell r="A335" t="str">
            <v>Sylvan Lake Kinder-Care Association</v>
          </cell>
        </row>
        <row r="336">
          <cell r="A336" t="str">
            <v>Tallcree Band</v>
          </cell>
        </row>
        <row r="337">
          <cell r="A337" t="str">
            <v>Tempo School</v>
          </cell>
        </row>
        <row r="338">
          <cell r="A338" t="str">
            <v>The Calgary Chinese Public School Society</v>
          </cell>
        </row>
        <row r="339">
          <cell r="A339" t="str">
            <v>The Calgary Jewish Academy</v>
          </cell>
        </row>
        <row r="340">
          <cell r="A340" t="str">
            <v>The Calgary Society for Effective Education of Learning Disabled</v>
          </cell>
        </row>
        <row r="341">
          <cell r="A341" t="str">
            <v>The Canadian Montessori School Ltd.</v>
          </cell>
        </row>
        <row r="342">
          <cell r="A342" t="str">
            <v>The Canadian Reformed School Society of Calgary</v>
          </cell>
        </row>
        <row r="343">
          <cell r="A343" t="str">
            <v>The Canmore Society for Community Education</v>
          </cell>
        </row>
        <row r="344">
          <cell r="A344" t="str">
            <v>The Children's House Child Care Society</v>
          </cell>
        </row>
        <row r="345">
          <cell r="A345" t="str">
            <v>The Chinese Academy Foundation</v>
          </cell>
        </row>
        <row r="346">
          <cell r="A346" t="str">
            <v>The Chinese Cultural Promotion Society</v>
          </cell>
        </row>
        <row r="347">
          <cell r="A347" t="str">
            <v>The Community Association for Lasting Success</v>
          </cell>
        </row>
        <row r="348">
          <cell r="A348" t="str">
            <v>The Company of the Cross (Alberta)</v>
          </cell>
        </row>
        <row r="349">
          <cell r="A349" t="str">
            <v>The Cornerstone Christian Academy of Camrose</v>
          </cell>
        </row>
        <row r="350">
          <cell r="A350" t="str">
            <v>The Dante Alighieri Society</v>
          </cell>
        </row>
        <row r="351">
          <cell r="A351" t="str">
            <v>The Edge School For Athletes Society</v>
          </cell>
        </row>
        <row r="352">
          <cell r="A352" t="str">
            <v>The Edmonton Korean Language School Society</v>
          </cell>
        </row>
        <row r="353">
          <cell r="A353" t="str">
            <v>The Edmonton Lutheran School Society</v>
          </cell>
        </row>
        <row r="354">
          <cell r="A354" t="str">
            <v>The First Mennonite Church</v>
          </cell>
        </row>
        <row r="355">
          <cell r="A355" t="str">
            <v>The First Step Adult Education Center</v>
          </cell>
        </row>
        <row r="356">
          <cell r="A356" t="str">
            <v>The Franciscan Sisters Benevolent Society</v>
          </cell>
        </row>
        <row r="357">
          <cell r="A357" t="str">
            <v>The Governing Council of the Salvation Army in Canada</v>
          </cell>
        </row>
        <row r="358">
          <cell r="A358" t="str">
            <v>The Heart Valley Church of God in Christ Mennonite</v>
          </cell>
        </row>
        <row r="359">
          <cell r="A359" t="str">
            <v>The Heartland Agency</v>
          </cell>
        </row>
        <row r="360">
          <cell r="A360" t="str">
            <v>The Lacombe Christian School Society</v>
          </cell>
        </row>
        <row r="361">
          <cell r="A361" t="str">
            <v>The Learning Experience Society</v>
          </cell>
        </row>
        <row r="362">
          <cell r="A362" t="str">
            <v>The Medicine Hat Christian School Society</v>
          </cell>
        </row>
        <row r="363">
          <cell r="A363" t="str">
            <v>The Old Sun Society</v>
          </cell>
        </row>
        <row r="364">
          <cell r="A364" t="str">
            <v>The PREP Program - A Calgary Society to Promote Education for Individuals with Down Syndrome</v>
          </cell>
        </row>
        <row r="365">
          <cell r="A365" t="str">
            <v>The Renert School</v>
          </cell>
        </row>
        <row r="366">
          <cell r="A366" t="str">
            <v>The Rimbey Christian School Society</v>
          </cell>
        </row>
        <row r="367">
          <cell r="A367" t="str">
            <v>The Rocky Christian School Society</v>
          </cell>
        </row>
        <row r="368">
          <cell r="A368" t="str">
            <v>The Schuler Early Childhood Service</v>
          </cell>
        </row>
        <row r="369">
          <cell r="A369" t="str">
            <v>The Society for Christian Education in Southern Alberta</v>
          </cell>
        </row>
        <row r="370">
          <cell r="A370" t="str">
            <v>The Society of Ukrainian Studies of Alberta</v>
          </cell>
        </row>
        <row r="371">
          <cell r="A371" t="str">
            <v>The Sunshiners Pre-School Association</v>
          </cell>
        </row>
        <row r="372">
          <cell r="A372" t="str">
            <v>The Timothy Centre for Scholarship Ltd.</v>
          </cell>
        </row>
        <row r="373">
          <cell r="A373" t="str">
            <v>Third Academy International Ltd.</v>
          </cell>
        </row>
        <row r="374">
          <cell r="A374" t="str">
            <v>Thornhill Child Care Society</v>
          </cell>
        </row>
        <row r="375">
          <cell r="A375" t="str">
            <v>Trinity Christian School Association</v>
          </cell>
        </row>
        <row r="376">
          <cell r="A376" t="str">
            <v>Truth Church of Calgary</v>
          </cell>
        </row>
        <row r="377">
          <cell r="A377" t="str">
            <v>Tsuu T'ina Nation</v>
          </cell>
        </row>
        <row r="378">
          <cell r="A378" t="str">
            <v>Tween Valley Fellowship/Tween Valley Christian School</v>
          </cell>
        </row>
        <row r="379">
          <cell r="A379" t="str">
            <v>Universal Educational Institute of Canada</v>
          </cell>
        </row>
        <row r="380">
          <cell r="A380" t="str">
            <v>University Child Care Centre Society</v>
          </cell>
        </row>
        <row r="381">
          <cell r="A381" t="str">
            <v>Vermilion and Area Brighter Beginnings Society</v>
          </cell>
        </row>
        <row r="382">
          <cell r="A382" t="str">
            <v>Victory Christian Fellowship of Lethbridge (1983) Inc.</v>
          </cell>
        </row>
        <row r="383">
          <cell r="A383" t="str">
            <v>Victory Christian School Society</v>
          </cell>
        </row>
        <row r="384">
          <cell r="A384" t="str">
            <v>Webber Academy Foundation</v>
          </cell>
        </row>
        <row r="385">
          <cell r="A385" t="str">
            <v>West Island College Society of Alberta</v>
          </cell>
        </row>
        <row r="386">
          <cell r="A386" t="str">
            <v>Westbrook (ECS) Association</v>
          </cell>
        </row>
        <row r="387">
          <cell r="A387" t="str">
            <v>Western Plains Mennonite Church</v>
          </cell>
        </row>
        <row r="388">
          <cell r="A388" t="str">
            <v>Westmount Charter School Society</v>
          </cell>
        </row>
        <row r="389">
          <cell r="A389" t="str">
            <v>Westview Education Society</v>
          </cell>
        </row>
        <row r="390">
          <cell r="A390" t="str">
            <v>Westwind School Division No. 74</v>
          </cell>
        </row>
        <row r="391">
          <cell r="A391" t="str">
            <v>Wetaskiwin Head Start Society</v>
          </cell>
        </row>
        <row r="392">
          <cell r="A392" t="str">
            <v>Wetaskiwin Regional Division No. 11</v>
          </cell>
        </row>
        <row r="393">
          <cell r="A393" t="str">
            <v>Whitefish Lake Education Authority</v>
          </cell>
        </row>
        <row r="394">
          <cell r="A394" t="str">
            <v>Whitefish Lake First Nation</v>
          </cell>
        </row>
        <row r="395">
          <cell r="A395" t="str">
            <v>Wild Rose School Division No. 66</v>
          </cell>
        </row>
        <row r="396">
          <cell r="A396" t="str">
            <v>Wilson Prairie Mennonite School Society</v>
          </cell>
        </row>
        <row r="397">
          <cell r="A397" t="str">
            <v>Winfield Child Development Association</v>
          </cell>
        </row>
        <row r="398">
          <cell r="A398" t="str">
            <v>Wolf Creek School Division No. 72</v>
          </cell>
        </row>
        <row r="399">
          <cell r="A399" t="str">
            <v>Woodbine DayCare ECS Association</v>
          </cell>
        </row>
        <row r="400">
          <cell r="A400" t="str">
            <v>Woodland Cree First Nation</v>
          </cell>
        </row>
        <row r="401">
          <cell r="A401" t="str">
            <v>Yellowhead Koinonia Christian School Society</v>
          </cell>
        </row>
        <row r="402">
          <cell r="A402" t="str">
            <v>Yellowhead Tribal Council</v>
          </cell>
        </row>
        <row r="403">
          <cell r="A403" t="str">
            <v>Young Men's Christian Association of Edmonton</v>
          </cell>
        </row>
        <row r="404">
          <cell r="A404" t="str">
            <v>Youngstown Kindergarten Association</v>
          </cell>
        </row>
        <row r="405">
          <cell r="A405" t="str">
            <v>Yufeng Chinese School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Schools List"/>
      <sheetName val="Input Tab"/>
    </sheetNames>
    <sheetDataSet>
      <sheetData sheetId="0" refreshError="1">
        <row r="1">
          <cell r="A1" t="str">
            <v>Authority Name</v>
          </cell>
        </row>
        <row r="2">
          <cell r="A2" t="str">
            <v>40-Mile Christian Education Society</v>
          </cell>
        </row>
        <row r="3">
          <cell r="A3" t="str">
            <v>ABC Head Start Society</v>
          </cell>
        </row>
        <row r="4">
          <cell r="A4" t="str">
            <v>Ability Society of Alberta Assistive Technology for Persons with Disabilities</v>
          </cell>
        </row>
        <row r="5">
          <cell r="A5" t="str">
            <v>Academic Express Inc.</v>
          </cell>
        </row>
        <row r="6">
          <cell r="A6" t="str">
            <v>Acadia Valley Early Childhood Services</v>
          </cell>
        </row>
        <row r="7">
          <cell r="A7" t="str">
            <v>Access International College (Calgary) Incorporated</v>
          </cell>
        </row>
        <row r="8">
          <cell r="A8" t="str">
            <v>Airdrie Koinonia Christian School Society</v>
          </cell>
        </row>
        <row r="9">
          <cell r="A9" t="str">
            <v>Alberta Centre for Chinese Studies</v>
          </cell>
        </row>
        <row r="10">
          <cell r="A10" t="str">
            <v>Alberta Charitable Society of St. Pius X</v>
          </cell>
        </row>
        <row r="11">
          <cell r="A11" t="str">
            <v>Alberta Chung Wah School Society</v>
          </cell>
        </row>
        <row r="12">
          <cell r="A12" t="str">
            <v>Alberta Conference of 7th Day Adventist Church</v>
          </cell>
        </row>
        <row r="13">
          <cell r="A13" t="str">
            <v>Alexander First Nation Education Authority</v>
          </cell>
        </row>
        <row r="14">
          <cell r="A14" t="str">
            <v>Alexis Band</v>
          </cell>
        </row>
        <row r="15">
          <cell r="A15" t="str">
            <v>Alliance &amp; District ECS Society</v>
          </cell>
        </row>
        <row r="16">
          <cell r="A16" t="str">
            <v>Almadina School Society</v>
          </cell>
        </row>
        <row r="17">
          <cell r="A17" t="str">
            <v>Arrowwood and District E.C.S. Society</v>
          </cell>
        </row>
        <row r="18">
          <cell r="A18" t="str">
            <v>Aspen View Regional Division No. 19</v>
          </cell>
        </row>
        <row r="19">
          <cell r="A19" t="str">
            <v>Association for Christian Schooling in Calgary South</v>
          </cell>
        </row>
        <row r="20">
          <cell r="A20" t="str">
            <v>Aurora School Ltd.</v>
          </cell>
        </row>
        <row r="21">
          <cell r="A21" t="str">
            <v>Banbury Crossroads School</v>
          </cell>
        </row>
        <row r="22">
          <cell r="A22" t="str">
            <v>Bashaw Early Learning Centre</v>
          </cell>
        </row>
        <row r="23">
          <cell r="A23" t="str">
            <v>Battle River Regional Division No. 31</v>
          </cell>
        </row>
        <row r="24">
          <cell r="A24" t="str">
            <v>Bearspaw Christian School Society</v>
          </cell>
        </row>
        <row r="25">
          <cell r="A25" t="str">
            <v>Beaver Lake Education Authority</v>
          </cell>
        </row>
        <row r="26">
          <cell r="A26" t="str">
            <v>Behaviour Therapy and Learning Centre Ltd.</v>
          </cell>
        </row>
        <row r="27">
          <cell r="A27" t="str">
            <v>Ben Calf Robe Society</v>
          </cell>
        </row>
        <row r="28">
          <cell r="A28" t="str">
            <v>Bent Arrow Traditional Healing Society</v>
          </cell>
        </row>
        <row r="29">
          <cell r="A29" t="str">
            <v>Bethel Christian Academy Society</v>
          </cell>
        </row>
        <row r="30">
          <cell r="A30" t="str">
            <v>Beverly Day Care Society &amp; Family Resource Centre</v>
          </cell>
        </row>
        <row r="31">
          <cell r="A31" t="str">
            <v>Bigstone Education Authority Society</v>
          </cell>
        </row>
        <row r="32">
          <cell r="A32" t="str">
            <v>Black Gold Regional Division No. 18</v>
          </cell>
        </row>
        <row r="33">
          <cell r="A33" t="str">
            <v>Blue Quills Native Education Council</v>
          </cell>
        </row>
        <row r="34">
          <cell r="A34" t="str">
            <v>Bosco Homes A Society For Children And Adolescents</v>
          </cell>
        </row>
        <row r="35">
          <cell r="A35" t="str">
            <v>Bow Island Congregation, Church of God in Christ, Mennonite</v>
          </cell>
        </row>
        <row r="36">
          <cell r="A36" t="str">
            <v>Boyle Street Education Centre</v>
          </cell>
        </row>
        <row r="37">
          <cell r="A37" t="str">
            <v>Bragg Creek Education Services Association</v>
          </cell>
        </row>
        <row r="38">
          <cell r="A38" t="str">
            <v>Buffalo Head Mennonite School Society</v>
          </cell>
        </row>
        <row r="39">
          <cell r="A39" t="str">
            <v>Buffalo Trail Public Schools Regional Division No. 28</v>
          </cell>
        </row>
        <row r="40">
          <cell r="A40" t="str">
            <v>Cactus Country E.C.S. Association</v>
          </cell>
        </row>
        <row r="41">
          <cell r="A41" t="str">
            <v>Calgary Arts Academy Society</v>
          </cell>
        </row>
        <row r="42">
          <cell r="A42" t="str">
            <v>Calgary Catholic Immigration Society</v>
          </cell>
        </row>
        <row r="43">
          <cell r="A43" t="str">
            <v>Calgary Chinese Alliance School Society</v>
          </cell>
        </row>
        <row r="44">
          <cell r="A44" t="str">
            <v>Calgary Chinese Cultural Centre</v>
          </cell>
        </row>
        <row r="45">
          <cell r="A45" t="str">
            <v>Calgary French &amp; International School Society</v>
          </cell>
        </row>
        <row r="46">
          <cell r="A46" t="str">
            <v>Calgary Girls' School Society</v>
          </cell>
        </row>
        <row r="47">
          <cell r="A47" t="str">
            <v>Calgary Preparatory School Association</v>
          </cell>
        </row>
        <row r="48">
          <cell r="A48" t="str">
            <v>Calgary Quest Children's Society</v>
          </cell>
        </row>
        <row r="49">
          <cell r="A49" t="str">
            <v>Calgary Roman Catholic Separate School District No. 1</v>
          </cell>
        </row>
        <row r="50">
          <cell r="A50" t="str">
            <v>Calgary School District No. 19</v>
          </cell>
        </row>
        <row r="51">
          <cell r="A51" t="str">
            <v>Calgary Science School Society</v>
          </cell>
        </row>
        <row r="52">
          <cell r="A52" t="str">
            <v>Calgary Society for Christian Education</v>
          </cell>
        </row>
        <row r="53">
          <cell r="A53" t="str">
            <v>Calgary Urban Project Society</v>
          </cell>
        </row>
        <row r="54">
          <cell r="A54" t="str">
            <v>Calgary Waldorf School Society</v>
          </cell>
        </row>
        <row r="55">
          <cell r="A55" t="str">
            <v>Calvin Christian School Society of the Netherlands Reformed Congregations</v>
          </cell>
        </row>
        <row r="56">
          <cell r="A56" t="str">
            <v>Camrose Children's Centre</v>
          </cell>
        </row>
        <row r="57">
          <cell r="A57" t="str">
            <v>Canadian College International Institute</v>
          </cell>
        </row>
        <row r="58">
          <cell r="A58" t="str">
            <v>Canadian Reformed School Society of Edmonton</v>
          </cell>
        </row>
        <row r="59">
          <cell r="A59" t="str">
            <v>Canadian Reformed School Society of Neerlandia</v>
          </cell>
        </row>
        <row r="60">
          <cell r="A60" t="str">
            <v>Canadian Rockies Regional Division No. 12</v>
          </cell>
        </row>
        <row r="61">
          <cell r="A61" t="str">
            <v>Canadian University College</v>
          </cell>
        </row>
        <row r="62">
          <cell r="A62" t="str">
            <v>CAPE - Centre for Academic and Personal Excellence Institute</v>
          </cell>
        </row>
        <row r="63">
          <cell r="A63" t="str">
            <v>Castor Early Childhood Society</v>
          </cell>
        </row>
        <row r="64">
          <cell r="A64" t="str">
            <v>Catholic Hungarian Association (Edmonton)</v>
          </cell>
        </row>
        <row r="65">
          <cell r="A65" t="str">
            <v>Cause and Effect Foundation</v>
          </cell>
        </row>
        <row r="66">
          <cell r="A66" t="str">
            <v>Central Alberta Christian High School Society</v>
          </cell>
        </row>
        <row r="67">
          <cell r="A67" t="str">
            <v>Centro Linguistico E Culturale Italiano Calgary</v>
          </cell>
        </row>
        <row r="68">
          <cell r="A68" t="str">
            <v>Cereal Early Childhood Service Association</v>
          </cell>
        </row>
        <row r="69">
          <cell r="A69" t="str">
            <v>Champion Kindergarten Association</v>
          </cell>
        </row>
        <row r="70">
          <cell r="A70" t="str">
            <v>Chief Shot Both Sides Traditional Science Institute</v>
          </cell>
        </row>
        <row r="71">
          <cell r="A71" t="str">
            <v>Children's Services Centre, An Alberta Society</v>
          </cell>
        </row>
        <row r="72">
          <cell r="A72" t="str">
            <v>Chinook's Edge School Division No. 73</v>
          </cell>
        </row>
        <row r="73">
          <cell r="A73" t="str">
            <v>Chipewyan Prairie First Nation</v>
          </cell>
        </row>
        <row r="74">
          <cell r="A74" t="str">
            <v>Christ the Redeemer Catholic Separate Regional Division No. 3</v>
          </cell>
        </row>
        <row r="75">
          <cell r="A75" t="str">
            <v>Christopher Robin School Ltd.</v>
          </cell>
        </row>
        <row r="76">
          <cell r="A76" t="str">
            <v>Church of God in Christ Mennonite</v>
          </cell>
        </row>
        <row r="77">
          <cell r="A77" t="str">
            <v>Church of God in Christ Mennonite Rosedale Congregation</v>
          </cell>
        </row>
        <row r="78">
          <cell r="A78" t="str">
            <v>City West Childcare &amp; Community Support Society</v>
          </cell>
        </row>
        <row r="79">
          <cell r="A79" t="str">
            <v>Clandonald Early Childhood Services Association</v>
          </cell>
        </row>
        <row r="80">
          <cell r="A80" t="str">
            <v>Clear Water Academy Foundation</v>
          </cell>
        </row>
        <row r="81">
          <cell r="A81" t="str">
            <v>Cleardale Mennonite School Society</v>
          </cell>
        </row>
        <row r="82">
          <cell r="A82" t="str">
            <v>Clearview School Division No. 71</v>
          </cell>
        </row>
        <row r="83">
          <cell r="A83" t="str">
            <v>Coaldale Canadian Reformed School Society</v>
          </cell>
        </row>
        <row r="84">
          <cell r="A84" t="str">
            <v>Columbia College Corp.</v>
          </cell>
        </row>
        <row r="85">
          <cell r="A85" t="str">
            <v>Community Connections School (CCS)</v>
          </cell>
        </row>
        <row r="86">
          <cell r="A86" t="str">
            <v>Community Options - A Society for Children and Families</v>
          </cell>
        </row>
        <row r="87">
          <cell r="A87" t="str">
            <v>Concordia University College of Alberta</v>
          </cell>
        </row>
        <row r="88">
          <cell r="A88" t="str">
            <v>Congregation House of Jacob - Mikveh Israel</v>
          </cell>
        </row>
        <row r="89">
          <cell r="A89" t="str">
            <v>Connect Society-Deafness, Education, Advocacy &amp; Family Services</v>
          </cell>
        </row>
        <row r="90">
          <cell r="A90" t="str">
            <v>Coral Springs Child Care Society</v>
          </cell>
        </row>
        <row r="91">
          <cell r="A91" t="str">
            <v>Cornerstone Christian School Society</v>
          </cell>
        </row>
        <row r="92">
          <cell r="A92" t="str">
            <v>Countryside Christian School</v>
          </cell>
        </row>
        <row r="93">
          <cell r="A93" t="str">
            <v>Crossroads Family Services</v>
          </cell>
        </row>
        <row r="94">
          <cell r="A94" t="str">
            <v>Dalhousie Community Association</v>
          </cell>
        </row>
        <row r="95">
          <cell r="A95" t="str">
            <v>Delta West Academy Society</v>
          </cell>
        </row>
        <row r="96">
          <cell r="A96" t="str">
            <v>Dene Tha' Band</v>
          </cell>
        </row>
        <row r="97">
          <cell r="A97" t="str">
            <v>Department of Elementary Education University of Alberta</v>
          </cell>
        </row>
        <row r="98">
          <cell r="A98" t="str">
            <v>Department of Speech Pathology and Audiology University of Alberta</v>
          </cell>
        </row>
        <row r="99">
          <cell r="A99" t="str">
            <v>Destiny Christian School Society</v>
          </cell>
        </row>
        <row r="100">
          <cell r="A100" t="str">
            <v>Devon Christian School Society</v>
          </cell>
        </row>
        <row r="101">
          <cell r="A101" t="str">
            <v>Dewberry Early Childhood Parents Society</v>
          </cell>
        </row>
        <row r="102">
          <cell r="A102" t="str">
            <v>Diaspora Communications &amp; Human Resources Institute Inc.</v>
          </cell>
        </row>
        <row r="103">
          <cell r="A103" t="str">
            <v>Driftpile Band</v>
          </cell>
        </row>
        <row r="104">
          <cell r="A104" t="str">
            <v>Duchess Bethel Mennonite S</v>
          </cell>
        </row>
        <row r="105">
          <cell r="A105" t="str">
            <v>Early Discoveries Childhood Services Ltd.</v>
          </cell>
        </row>
        <row r="106">
          <cell r="A106" t="str">
            <v>East Central Alberta Catholic Separate Schools Regional Division No. 16</v>
          </cell>
        </row>
        <row r="107">
          <cell r="A107" t="str">
            <v>East Central Francophone Education Region No. 3</v>
          </cell>
        </row>
        <row r="108">
          <cell r="A108" t="str">
            <v>Eastside City Church</v>
          </cell>
        </row>
        <row r="109">
          <cell r="A109" t="str">
            <v>Echo Valley Church of God in Christ Mennonite</v>
          </cell>
        </row>
        <row r="110">
          <cell r="A110" t="str">
            <v>Edberg/Meeting Creek ECS Society</v>
          </cell>
        </row>
        <row r="111">
          <cell r="A111" t="str">
            <v>Edelweiss Preparatory School Society</v>
          </cell>
        </row>
        <row r="112">
          <cell r="A112" t="str">
            <v>Edison School Society</v>
          </cell>
        </row>
        <row r="113">
          <cell r="A113" t="str">
            <v>Edmonton Academy Society for Learning Disabled</v>
          </cell>
        </row>
        <row r="114">
          <cell r="A114" t="str">
            <v>Edmonton Bible Heritage Christian School &amp; College Society</v>
          </cell>
        </row>
        <row r="115">
          <cell r="A115" t="str">
            <v>Edmonton Catholic Separate School District No. 7</v>
          </cell>
        </row>
        <row r="116">
          <cell r="A116" t="str">
            <v>Edmonton City Centre Church Corporation</v>
          </cell>
        </row>
        <row r="117">
          <cell r="A117" t="str">
            <v>Edmonton Hispanic Bilingual Association</v>
          </cell>
        </row>
        <row r="118">
          <cell r="A118" t="str">
            <v>Edmonton Islamic School Society</v>
          </cell>
        </row>
        <row r="119">
          <cell r="A119" t="str">
            <v>Edmonton John Howard Society</v>
          </cell>
        </row>
        <row r="120">
          <cell r="A120" t="str">
            <v>Edmonton Khalsa School Educational Association</v>
          </cell>
        </row>
        <row r="121">
          <cell r="A121" t="str">
            <v>Edmonton School District No. 7</v>
          </cell>
        </row>
        <row r="122">
          <cell r="A122" t="str">
            <v>Educere Learning Society</v>
          </cell>
        </row>
        <row r="123">
          <cell r="A123" t="str">
            <v>Elk Island Catholic Separate Regional Division No. 41</v>
          </cell>
        </row>
        <row r="124">
          <cell r="A124" t="str">
            <v>Elk Island Public Schools Regional Division No. 14</v>
          </cell>
        </row>
        <row r="125">
          <cell r="A125" t="str">
            <v>Elves Special Needs Society</v>
          </cell>
        </row>
        <row r="126">
          <cell r="A126" t="str">
            <v>Equilibrium International Education Foundation</v>
          </cell>
        </row>
        <row r="127">
          <cell r="A127" t="str">
            <v>Evangelical Free Church of Champion, Alberta</v>
          </cell>
        </row>
        <row r="128">
          <cell r="A128" t="str">
            <v>Evergreen Catholic Separate Regional Division No. 2</v>
          </cell>
        </row>
        <row r="129">
          <cell r="A129" t="str">
            <v>Excel Kindergarten Ltd.</v>
          </cell>
        </row>
        <row r="130">
          <cell r="A130" t="str">
            <v>Expression's ECS Society East</v>
          </cell>
        </row>
        <row r="131">
          <cell r="A131" t="str">
            <v>Family Linkages Foundation of Alberta</v>
          </cell>
        </row>
        <row r="132">
          <cell r="A132" t="str">
            <v>Federally Administered Schools</v>
          </cell>
        </row>
        <row r="133">
          <cell r="A133" t="str">
            <v>Foothills Academy Society</v>
          </cell>
        </row>
        <row r="134">
          <cell r="A134" t="str">
            <v>Foothills Alliance Kindergarten Society</v>
          </cell>
        </row>
        <row r="135">
          <cell r="A135" t="str">
            <v>Foothills Creative Beginnings Preschool and E.C.S. Association</v>
          </cell>
        </row>
        <row r="136">
          <cell r="A136" t="str">
            <v>Foothills School Division No. 38</v>
          </cell>
        </row>
        <row r="137">
          <cell r="A137" t="str">
            <v>Fort McMurray Christian School Society</v>
          </cell>
        </row>
        <row r="138">
          <cell r="A138" t="str">
            <v>Fort McMurray Roman Catholic Separate School District No. 32</v>
          </cell>
        </row>
        <row r="139">
          <cell r="A139" t="str">
            <v>Fort McMurray School District No. 2833</v>
          </cell>
        </row>
        <row r="140">
          <cell r="A140" t="str">
            <v>Fort Vermilion School Division No. 52</v>
          </cell>
        </row>
        <row r="141">
          <cell r="A141" t="str">
            <v>Foundations for the Future Charter Academy Charter School Society</v>
          </cell>
        </row>
        <row r="142">
          <cell r="A142" t="str">
            <v>Froebel Kindergarten Society of Alberta</v>
          </cell>
        </row>
        <row r="143">
          <cell r="A143" t="str">
            <v>Frog Lake Band</v>
          </cell>
        </row>
        <row r="144">
          <cell r="A144" t="str">
            <v>G.R.I.T. (Getting Ready for Inclusion Today) Calgary Society</v>
          </cell>
        </row>
        <row r="145">
          <cell r="A145" t="str">
            <v>Gabriela Mistral Latin American School Society</v>
          </cell>
        </row>
        <row r="146">
          <cell r="A146" t="str">
            <v>GCA Educational Society</v>
          </cell>
        </row>
        <row r="147">
          <cell r="A147" t="str">
            <v>German Language School of Calgary</v>
          </cell>
        </row>
        <row r="148">
          <cell r="A148" t="str">
            <v>German Language School Society of Edmonton</v>
          </cell>
        </row>
        <row r="149">
          <cell r="A149" t="str">
            <v>Getting Ready for Inclusion Today (The GRIT Program) Society of Edmonton</v>
          </cell>
        </row>
        <row r="150">
          <cell r="A150" t="str">
            <v>Gil Vicente Edmonton Portuguese School Society</v>
          </cell>
        </row>
        <row r="151">
          <cell r="A151" t="str">
            <v>Glamorgan Community Early Childhood Services (E.C.S.) Institute</v>
          </cell>
        </row>
        <row r="152">
          <cell r="A152" t="str">
            <v>Golden Hills School Division No. 75</v>
          </cell>
        </row>
        <row r="153">
          <cell r="A153" t="str">
            <v>Grande Prairie and District Society for Christian Education</v>
          </cell>
        </row>
        <row r="154">
          <cell r="A154" t="str">
            <v>Grande Prairie Roman Catholic Separate School District No. 28</v>
          </cell>
        </row>
        <row r="155">
          <cell r="A155" t="str">
            <v>Grande Prairie School District No. 2357</v>
          </cell>
        </row>
        <row r="156">
          <cell r="A156" t="str">
            <v>Grande Yellowhead Regional Division No. 35</v>
          </cell>
        </row>
        <row r="157">
          <cell r="A157" t="str">
            <v>Grasslands Regional Division No. 6</v>
          </cell>
        </row>
        <row r="158">
          <cell r="A158" t="str">
            <v>Greater North Central Francophone Education Region No. 2</v>
          </cell>
        </row>
        <row r="159">
          <cell r="A159" t="str">
            <v>Greater Southern Public Francophone Education Region No. 4</v>
          </cell>
        </row>
        <row r="160">
          <cell r="A160" t="str">
            <v>Greater Southern Separate Catholic Francophone Education Region No. 4</v>
          </cell>
        </row>
        <row r="161">
          <cell r="A161" t="str">
            <v>Greater St. Albert Catholic Regional Division No. 29</v>
          </cell>
        </row>
        <row r="162">
          <cell r="A162" t="str">
            <v>Greek Orthodox Community of Edmonton and District Society</v>
          </cell>
        </row>
        <row r="163">
          <cell r="A163" t="str">
            <v>Green Learning Academy</v>
          </cell>
        </row>
        <row r="164">
          <cell r="A164" t="str">
            <v>H. Sienkiewicz Polish School Parent Association</v>
          </cell>
        </row>
        <row r="165">
          <cell r="A165" t="str">
            <v>Hardisty Early Childhood Services Society</v>
          </cell>
        </row>
        <row r="166">
          <cell r="A166" t="str">
            <v>Hay Lakes ECS</v>
          </cell>
        </row>
        <row r="167">
          <cell r="A167" t="str">
            <v>Headway School Society of Alberta</v>
          </cell>
        </row>
        <row r="168">
          <cell r="A168" t="str">
            <v>Heart Lake Band #469</v>
          </cell>
        </row>
        <row r="169">
          <cell r="A169" t="str">
            <v>Hellenic Society of Calgary and District</v>
          </cell>
        </row>
        <row r="170">
          <cell r="A170" t="str">
            <v>Hellenic-Canadian Community of Edmonton and Region</v>
          </cell>
        </row>
        <row r="171">
          <cell r="A171" t="str">
            <v>Heritage Christian Academy Foundation</v>
          </cell>
        </row>
        <row r="172">
          <cell r="A172" t="str">
            <v>High Level Christian Education Society</v>
          </cell>
        </row>
        <row r="173">
          <cell r="A173" t="str">
            <v>High Prairie School Division No. 48</v>
          </cell>
        </row>
        <row r="174">
          <cell r="A174" t="str">
            <v>Highwood Community E.C.S. Association</v>
          </cell>
        </row>
        <row r="175">
          <cell r="A175" t="str">
            <v>Hillcrest Christian School Society</v>
          </cell>
        </row>
        <row r="176">
          <cell r="A176" t="str">
            <v>Holy Family Catholic Regional Division No. 37</v>
          </cell>
        </row>
        <row r="177">
          <cell r="A177" t="str">
            <v>Holy Spirit Roman Catholic Separate Regional Division No. 4</v>
          </cell>
        </row>
        <row r="178">
          <cell r="A178" t="str">
            <v>Horizon School Committee</v>
          </cell>
        </row>
        <row r="179">
          <cell r="A179" t="str">
            <v>Horizon School Division No. 67</v>
          </cell>
        </row>
        <row r="180">
          <cell r="A180" t="str">
            <v>Horse Lake First Nation</v>
          </cell>
        </row>
        <row r="181">
          <cell r="A181" t="str">
            <v>Hounsfield Heights-Briar Hill Community Association</v>
          </cell>
        </row>
        <row r="182">
          <cell r="A182" t="str">
            <v>Huntington Hills Community Association</v>
          </cell>
        </row>
        <row r="183">
          <cell r="A183" t="str">
            <v>I'm For Kids Team Ltd.</v>
          </cell>
        </row>
        <row r="184">
          <cell r="A184" t="str">
            <v>Independent Baptist Christian Education Society</v>
          </cell>
        </row>
        <row r="185">
          <cell r="A185" t="str">
            <v>Inner City Youth Development Association</v>
          </cell>
        </row>
        <row r="186">
          <cell r="A186" t="str">
            <v>Innisfree and District Early Childhood Services Association</v>
          </cell>
        </row>
        <row r="187">
          <cell r="A187" t="str">
            <v>Integro Youth Counselling Services</v>
          </cell>
        </row>
        <row r="188">
          <cell r="A188" t="str">
            <v>International School of Excellence (ISE)</v>
          </cell>
        </row>
        <row r="189">
          <cell r="A189" t="str">
            <v>Irricana E.C.S. Society</v>
          </cell>
        </row>
        <row r="190">
          <cell r="A190" t="str">
            <v>Janus Academy Society</v>
          </cell>
        </row>
        <row r="191">
          <cell r="A191" t="str">
            <v>Jasper Place Child and Family Resource Society</v>
          </cell>
        </row>
        <row r="192">
          <cell r="A192" t="str">
            <v>Kainaiwa Board of Education</v>
          </cell>
        </row>
        <row r="193">
          <cell r="A193" t="str">
            <v>Kathyrn E.C.S. Society</v>
          </cell>
        </row>
        <row r="194">
          <cell r="A194" t="str">
            <v>Kehewin Band</v>
          </cell>
        </row>
        <row r="195">
          <cell r="A195" t="str">
            <v>Kingman-Round Hill Child Development Centre</v>
          </cell>
        </row>
        <row r="196">
          <cell r="A196" t="str">
            <v>Kirriemuir Altario Compeer School Project Society</v>
          </cell>
        </row>
        <row r="197">
          <cell r="A197" t="str">
            <v>Kisipatnahk School Society</v>
          </cell>
        </row>
        <row r="198">
          <cell r="A198" t="str">
            <v>Kitaskinaw Education Authority</v>
          </cell>
        </row>
        <row r="199">
          <cell r="A199" t="str">
            <v>Kitscoty and District Early Childhood Education Kindergarten</v>
          </cell>
        </row>
        <row r="200">
          <cell r="A200" t="str">
            <v>Kneehill Christian School</v>
          </cell>
        </row>
        <row r="201">
          <cell r="A201" t="str">
            <v>Koinonia Christian Education Society</v>
          </cell>
        </row>
        <row r="202">
          <cell r="A202" t="str">
            <v>Koinonia Christian School - Red Deer Society</v>
          </cell>
        </row>
        <row r="203">
          <cell r="A203" t="str">
            <v>Lakeland Christian School Society</v>
          </cell>
        </row>
        <row r="204">
          <cell r="A204" t="str">
            <v>Lakeland Country School</v>
          </cell>
        </row>
        <row r="205">
          <cell r="A205" t="str">
            <v>Lakeland Roman Catholic Separate School District No. 150</v>
          </cell>
        </row>
        <row r="206">
          <cell r="A206" t="str">
            <v>Lakeview Christian School</v>
          </cell>
        </row>
        <row r="207">
          <cell r="A207" t="str">
            <v>Language School of the German Canadian Club, Calgary</v>
          </cell>
        </row>
        <row r="208">
          <cell r="A208" t="str">
            <v>Learning and Enrichment for Autism Disorders Foundation (L.E.A.D.)</v>
          </cell>
        </row>
        <row r="209">
          <cell r="A209" t="str">
            <v>Lesser Slave Lake North Country Community Association</v>
          </cell>
        </row>
        <row r="210">
          <cell r="A210" t="str">
            <v>Lethbridge Montessori Society</v>
          </cell>
        </row>
        <row r="211">
          <cell r="A211" t="str">
            <v>Lethbridge Preschool Services Project</v>
          </cell>
        </row>
        <row r="212">
          <cell r="A212" t="str">
            <v>Lethbridge School District No. 51</v>
          </cell>
        </row>
        <row r="213">
          <cell r="A213" t="str">
            <v>Lighthouse Christian School Society</v>
          </cell>
        </row>
        <row r="214">
          <cell r="A214" t="str">
            <v>Little Flower Day Care Society</v>
          </cell>
        </row>
        <row r="215">
          <cell r="A215" t="str">
            <v>Little Red River Board of Education</v>
          </cell>
        </row>
        <row r="216">
          <cell r="A216" t="str">
            <v>Living Faith Evangelistic Association</v>
          </cell>
        </row>
        <row r="217">
          <cell r="A217" t="str">
            <v>Living Springs Mennonite Church of Hythe</v>
          </cell>
        </row>
        <row r="218">
          <cell r="A218" t="str">
            <v>Living Waters Catholic Regional Division No. 42</v>
          </cell>
        </row>
        <row r="219">
          <cell r="A219" t="str">
            <v>Living Waters Christian  Academy</v>
          </cell>
        </row>
        <row r="220">
          <cell r="A220" t="str">
            <v>Livingstone Range School Division No. 68</v>
          </cell>
        </row>
        <row r="221">
          <cell r="A221" t="str">
            <v>Lloydminster Public School Division</v>
          </cell>
        </row>
        <row r="222">
          <cell r="A222" t="str">
            <v>Lloydminster Roman Catholic Separate School Division</v>
          </cell>
        </row>
        <row r="223">
          <cell r="A223" t="str">
            <v>Lomond Little Learners Society</v>
          </cell>
        </row>
        <row r="224">
          <cell r="A224" t="str">
            <v>Londonderry Child Development Society</v>
          </cell>
        </row>
        <row r="225">
          <cell r="A225" t="str">
            <v>Loon River First Nation</v>
          </cell>
        </row>
        <row r="226">
          <cell r="A226" t="str">
            <v>Lotsa Tots Early Childhood Society</v>
          </cell>
        </row>
        <row r="227">
          <cell r="A227" t="str">
            <v>Lougheed Childhood Services Society</v>
          </cell>
        </row>
        <row r="228">
          <cell r="A228" t="str">
            <v>Lycee Louis Pasteur Society</v>
          </cell>
        </row>
        <row r="229">
          <cell r="A229" t="str">
            <v>Mannawanis Native Friendship Centre</v>
          </cell>
        </row>
        <row r="230">
          <cell r="A230" t="str">
            <v>Manyberries Private Kindergarten Society</v>
          </cell>
        </row>
        <row r="231">
          <cell r="A231" t="str">
            <v>Marlborough Day Nursery ECS Limited</v>
          </cell>
        </row>
        <row r="232">
          <cell r="A232" t="str">
            <v>Maskwachees Cultural College</v>
          </cell>
        </row>
        <row r="233">
          <cell r="A233" t="str">
            <v>Master's Academy Educational Society</v>
          </cell>
        </row>
        <row r="234">
          <cell r="A234" t="str">
            <v>Medicine Hat Catholic Separate Regional Division No. 20</v>
          </cell>
        </row>
        <row r="235">
          <cell r="A235" t="str">
            <v>Medicine Hat School District No. 76</v>
          </cell>
        </row>
        <row r="236">
          <cell r="A236" t="str">
            <v>Mennonite Educational Society of Calgary</v>
          </cell>
        </row>
        <row r="237">
          <cell r="A237" t="str">
            <v>Meskanahk Ka-Nipa-Wit School</v>
          </cell>
        </row>
        <row r="238">
          <cell r="A238" t="str">
            <v>Midway E.C.S. Society</v>
          </cell>
        </row>
        <row r="239">
          <cell r="A239" t="str">
            <v>Milo Alphabets Kindergarten Society</v>
          </cell>
        </row>
        <row r="240">
          <cell r="A240" t="str">
            <v>Miyo Wahkohtowin Community Education Authority</v>
          </cell>
        </row>
        <row r="241">
          <cell r="A241" t="str">
            <v>Moberly Hall School Society</v>
          </cell>
        </row>
        <row r="242">
          <cell r="A242" t="str">
            <v>Montessori Education Preschool &amp; ECS Institute of Alberta</v>
          </cell>
        </row>
        <row r="243">
          <cell r="A243" t="str">
            <v>Montessori School of Calgary</v>
          </cell>
        </row>
        <row r="244">
          <cell r="A244" t="str">
            <v>Morinville Christian Fellowship</v>
          </cell>
        </row>
        <row r="245">
          <cell r="A245" t="str">
            <v>Mother Earth's Children's Charter School Society</v>
          </cell>
        </row>
        <row r="246">
          <cell r="A246" t="str">
            <v>Mount Royal College Day-Care Society</v>
          </cell>
        </row>
        <row r="247">
          <cell r="A247" t="str">
            <v>Mountain View Academy Society</v>
          </cell>
        </row>
        <row r="248">
          <cell r="A248" t="str">
            <v>Muslim Community Foundation of Calgary</v>
          </cell>
        </row>
        <row r="249">
          <cell r="A249" t="str">
            <v>Nampa and District Kindergarten Society</v>
          </cell>
        </row>
        <row r="250">
          <cell r="A250" t="str">
            <v>New Brigden Early Childhood Services Association</v>
          </cell>
        </row>
        <row r="251">
          <cell r="A251" t="str">
            <v>New Heights Early Learning Services Society</v>
          </cell>
        </row>
        <row r="252">
          <cell r="A252" t="str">
            <v>New Horizons Charter School Society</v>
          </cell>
        </row>
        <row r="253">
          <cell r="A253" t="str">
            <v>Newell Christian School Society</v>
          </cell>
        </row>
        <row r="254">
          <cell r="A254" t="str">
            <v>Nipisihkopahk Education Authority</v>
          </cell>
        </row>
        <row r="255">
          <cell r="A255" t="str">
            <v>Northern Gateway Regional Division No. 10</v>
          </cell>
        </row>
        <row r="256">
          <cell r="A256" t="str">
            <v>Northern Lights School</v>
          </cell>
        </row>
        <row r="257">
          <cell r="A257" t="str">
            <v>Northern Lights School Division No. 69</v>
          </cell>
        </row>
        <row r="258">
          <cell r="A258" t="str">
            <v>Northland School Division No. 61</v>
          </cell>
        </row>
        <row r="259">
          <cell r="A259" t="str">
            <v>Northwest Francophone Education Region No. 1</v>
          </cell>
        </row>
        <row r="260">
          <cell r="A260" t="str">
            <v>Norwood Child &amp; Family Resource Centre</v>
          </cell>
        </row>
        <row r="261">
          <cell r="A261" t="str">
            <v>Norwood Chinese Education Association</v>
          </cell>
        </row>
        <row r="262">
          <cell r="A262" t="str">
            <v>O'Chiese Education Authority</v>
          </cell>
        </row>
        <row r="263">
          <cell r="A263" t="str">
            <v>Okotoks Montessori Preschool Society</v>
          </cell>
        </row>
        <row r="264">
          <cell r="A264" t="str">
            <v>Olds Kindergarten Society</v>
          </cell>
        </row>
        <row r="265">
          <cell r="A265" t="str">
            <v>Olds Mountain View Christian School Association</v>
          </cell>
        </row>
        <row r="266">
          <cell r="A266" t="str">
            <v>Oliver Centre Early Learning Programs for Children &amp; Families Society</v>
          </cell>
        </row>
        <row r="267">
          <cell r="A267" t="str">
            <v>Oyen Early Childhood Services</v>
          </cell>
        </row>
        <row r="268">
          <cell r="A268" t="str">
            <v>Pacekids Programs for Children with Motor Disabilities Society</v>
          </cell>
        </row>
        <row r="269">
          <cell r="A269" t="str">
            <v>Palliser Regional Division No. 26</v>
          </cell>
        </row>
        <row r="270">
          <cell r="A270" t="str">
            <v>Parkland Community Living and Supports Society</v>
          </cell>
        </row>
        <row r="271">
          <cell r="A271" t="str">
            <v>Parkland School Division No. 70</v>
          </cell>
        </row>
        <row r="272">
          <cell r="A272" t="str">
            <v>Paul Band Education Authority</v>
          </cell>
        </row>
        <row r="273">
          <cell r="A273" t="str">
            <v>Peace Country Montessori Society</v>
          </cell>
        </row>
        <row r="274">
          <cell r="A274" t="str">
            <v>Peace Mennonite School</v>
          </cell>
        </row>
        <row r="275">
          <cell r="A275" t="str">
            <v>Peace River School Division No. 10</v>
          </cell>
        </row>
        <row r="276">
          <cell r="A276" t="str">
            <v>Peace Wapiti School Division No. 76</v>
          </cell>
        </row>
        <row r="277">
          <cell r="A277" t="str">
            <v>Peigan Band</v>
          </cell>
        </row>
        <row r="278">
          <cell r="A278" t="str">
            <v>Pembina Hills Regional Division No. 7</v>
          </cell>
        </row>
        <row r="279">
          <cell r="A279" t="str">
            <v>Phoenix Home Education Foundation</v>
          </cell>
        </row>
        <row r="280">
          <cell r="A280" t="str">
            <v>Pigeon Lake Regional Early Childhood Services Advisory</v>
          </cell>
        </row>
        <row r="281">
          <cell r="A281" t="str">
            <v>Playcare ECS Ltd.</v>
          </cell>
        </row>
        <row r="282">
          <cell r="A282" t="str">
            <v>Ponoka Christian School Society</v>
          </cell>
        </row>
        <row r="283">
          <cell r="A283" t="str">
            <v>Prairie Land Regional Division No. 25</v>
          </cell>
        </row>
        <row r="284">
          <cell r="A284" t="str">
            <v>Prairie Rose School Division No. 8</v>
          </cell>
        </row>
        <row r="285">
          <cell r="A285" t="str">
            <v>Prairie Winds International Academy</v>
          </cell>
        </row>
        <row r="286">
          <cell r="A286" t="str">
            <v>Primrose Place Family Centre Association</v>
          </cell>
        </row>
        <row r="287">
          <cell r="A287" t="str">
            <v>Prince of Peace Lutheran Church of Calgary</v>
          </cell>
        </row>
        <row r="288">
          <cell r="A288" t="str">
            <v>Progressive Academy Education Society</v>
          </cell>
        </row>
        <row r="289">
          <cell r="A289" t="str">
            <v>Providence Child Development Society</v>
          </cell>
        </row>
        <row r="290">
          <cell r="A290" t="str">
            <v>Providence Christian School Society</v>
          </cell>
        </row>
        <row r="291">
          <cell r="A291" t="str">
            <v>Red Crow Community College</v>
          </cell>
        </row>
        <row r="292">
          <cell r="A292" t="str">
            <v>Red Deer Catholic Regional Division No. 39</v>
          </cell>
        </row>
        <row r="293">
          <cell r="A293" t="str">
            <v>Red Deer College</v>
          </cell>
        </row>
        <row r="294">
          <cell r="A294" t="str">
            <v>Red Deer School District No. 104</v>
          </cell>
        </row>
        <row r="295">
          <cell r="A295" t="str">
            <v>Renfrew Educational Services Society</v>
          </cell>
        </row>
        <row r="296">
          <cell r="A296" t="str">
            <v>River Valley School Society</v>
          </cell>
        </row>
        <row r="297">
          <cell r="A297" t="str">
            <v>Rocky View Mennonite Church</v>
          </cell>
        </row>
        <row r="298">
          <cell r="A298" t="str">
            <v>Rocky View School Division No. 41</v>
          </cell>
        </row>
        <row r="299">
          <cell r="A299" t="str">
            <v>Rosalind Early Childhood Society</v>
          </cell>
        </row>
        <row r="300">
          <cell r="A300" t="str">
            <v>Rossburn Academy Society of Calgary</v>
          </cell>
        </row>
        <row r="301">
          <cell r="A301" t="str">
            <v>Rundle College Society</v>
          </cell>
        </row>
        <row r="302">
          <cell r="A302" t="str">
            <v>Russian Language and Culture Education Society of Alberta</v>
          </cell>
        </row>
        <row r="303">
          <cell r="A303" t="str">
            <v>Russian School Society</v>
          </cell>
        </row>
        <row r="304">
          <cell r="A304" t="str">
            <v>Saddle Lake Education Authority</v>
          </cell>
        </row>
        <row r="305">
          <cell r="A305" t="str">
            <v>Saddle Lake Indian Full Gospel School Mission</v>
          </cell>
        </row>
        <row r="306">
          <cell r="A306" t="str">
            <v>Sedgewick Early Childhood Centre</v>
          </cell>
        </row>
        <row r="307">
          <cell r="A307" t="str">
            <v>Sherwood Park Kindergarten</v>
          </cell>
        </row>
        <row r="308">
          <cell r="A308" t="str">
            <v>Siksika Board of Education</v>
          </cell>
        </row>
        <row r="309">
          <cell r="A309" t="str">
            <v>Sino-Canada Culture Association</v>
          </cell>
        </row>
        <row r="310">
          <cell r="A310" t="str">
            <v>Slave Lake Koinonia Christian School Society</v>
          </cell>
        </row>
        <row r="311">
          <cell r="A311" t="str">
            <v>Society For Treatment of Autism (Calgary Region)</v>
          </cell>
        </row>
        <row r="312">
          <cell r="A312" t="str">
            <v>Solomon College</v>
          </cell>
        </row>
        <row r="313">
          <cell r="A313" t="str">
            <v>Southview Kiddie Kampus Day Care Association</v>
          </cell>
        </row>
        <row r="314">
          <cell r="A314" t="str">
            <v>St. Albert Day Care Society</v>
          </cell>
        </row>
        <row r="315">
          <cell r="A315" t="str">
            <v>St. Albert Parents' Place Association</v>
          </cell>
        </row>
        <row r="316">
          <cell r="A316" t="str">
            <v>St. Albert Protestant Separate School District No. 6</v>
          </cell>
        </row>
        <row r="317">
          <cell r="A317" t="str">
            <v>St. John's Institute</v>
          </cell>
        </row>
        <row r="318">
          <cell r="A318" t="str">
            <v>St. Matthew Evangelical Lutheran Church of Stony Plain, Alberta</v>
          </cell>
        </row>
        <row r="319">
          <cell r="A319" t="str">
            <v>St. Paul Education Regional Division No. 1</v>
          </cell>
        </row>
        <row r="320">
          <cell r="A320" t="str">
            <v>St. Peter's Lutheran Kindergarten (Leduc)</v>
          </cell>
        </row>
        <row r="321">
          <cell r="A321" t="str">
            <v>St. Thomas Aquinas Roman Catholic Separate Regional Division No. 38</v>
          </cell>
        </row>
        <row r="322">
          <cell r="A322" t="str">
            <v>Stirling Mennonite Church Day School</v>
          </cell>
        </row>
        <row r="323">
          <cell r="A323" t="str">
            <v>Stoney Tribal Administration</v>
          </cell>
        </row>
        <row r="324">
          <cell r="A324" t="str">
            <v>Strathcona-Tweedsmuir School</v>
          </cell>
        </row>
        <row r="325">
          <cell r="A325" t="str">
            <v>Strome Early Childhood Services Society</v>
          </cell>
        </row>
        <row r="326">
          <cell r="A326" t="str">
            <v>Students' Union of the University of Alberta and Community Day Care Centre Society</v>
          </cell>
        </row>
        <row r="327">
          <cell r="A327" t="str">
            <v>Sturgeon Lake First Nation, Band #154</v>
          </cell>
        </row>
        <row r="328">
          <cell r="A328" t="str">
            <v>Sturgeon School Division No. 24</v>
          </cell>
        </row>
        <row r="329">
          <cell r="A329" t="str">
            <v>Sucker Creek First Nation</v>
          </cell>
        </row>
        <row r="330">
          <cell r="A330" t="str">
            <v>Sunchild E-Learning Community Inc.</v>
          </cell>
        </row>
        <row r="331">
          <cell r="A331" t="str">
            <v>Sunchild First Nation Band</v>
          </cell>
        </row>
        <row r="332">
          <cell r="A332" t="str">
            <v>Suzuki Charter School Society</v>
          </cell>
        </row>
        <row r="333">
          <cell r="A333" t="str">
            <v>Swan River First Nation</v>
          </cell>
        </row>
        <row r="334">
          <cell r="A334" t="str">
            <v>Swedish Society of Calgary</v>
          </cell>
        </row>
        <row r="335">
          <cell r="A335" t="str">
            <v>Sylvan Lake Kinder-Care Association</v>
          </cell>
        </row>
        <row r="336">
          <cell r="A336" t="str">
            <v>Tallcree Band</v>
          </cell>
        </row>
        <row r="337">
          <cell r="A337" t="str">
            <v>Tempo School</v>
          </cell>
        </row>
        <row r="338">
          <cell r="A338" t="str">
            <v>The Calgary Chinese Public School Society</v>
          </cell>
        </row>
        <row r="339">
          <cell r="A339" t="str">
            <v>The Calgary Jewish Academy</v>
          </cell>
        </row>
        <row r="340">
          <cell r="A340" t="str">
            <v>The Calgary Society for Effective Education of Learning Disabled</v>
          </cell>
        </row>
        <row r="341">
          <cell r="A341" t="str">
            <v>The Canadian Montessori School Ltd.</v>
          </cell>
        </row>
        <row r="342">
          <cell r="A342" t="str">
            <v>The Canadian Reformed School Society of Calgary</v>
          </cell>
        </row>
        <row r="343">
          <cell r="A343" t="str">
            <v>The Canmore Society for Community Education</v>
          </cell>
        </row>
        <row r="344">
          <cell r="A344" t="str">
            <v>The Children's House Child Care Society</v>
          </cell>
        </row>
        <row r="345">
          <cell r="A345" t="str">
            <v>The Chinese Academy Foundation</v>
          </cell>
        </row>
        <row r="346">
          <cell r="A346" t="str">
            <v>The Chinese Cultural Promotion Society</v>
          </cell>
        </row>
        <row r="347">
          <cell r="A347" t="str">
            <v>The Community Association for Lasting Success</v>
          </cell>
        </row>
        <row r="348">
          <cell r="A348" t="str">
            <v>The Company of the Cross (Alberta)</v>
          </cell>
        </row>
        <row r="349">
          <cell r="A349" t="str">
            <v>The Cornerstone Christian Academy of Camrose</v>
          </cell>
        </row>
        <row r="350">
          <cell r="A350" t="str">
            <v>The Dante Alighieri Society</v>
          </cell>
        </row>
        <row r="351">
          <cell r="A351" t="str">
            <v>The Edge School For Athletes Society</v>
          </cell>
        </row>
        <row r="352">
          <cell r="A352" t="str">
            <v>The Edmonton Korean Language School Society</v>
          </cell>
        </row>
        <row r="353">
          <cell r="A353" t="str">
            <v>The Edmonton Lutheran School Society</v>
          </cell>
        </row>
        <row r="354">
          <cell r="A354" t="str">
            <v>The First Mennonite Church</v>
          </cell>
        </row>
        <row r="355">
          <cell r="A355" t="str">
            <v>The First Step Adult Education Center</v>
          </cell>
        </row>
        <row r="356">
          <cell r="A356" t="str">
            <v>The Franciscan Sisters Benevolent Society</v>
          </cell>
        </row>
        <row r="357">
          <cell r="A357" t="str">
            <v>The Governing Council of the Salvation Army in Canada</v>
          </cell>
        </row>
        <row r="358">
          <cell r="A358" t="str">
            <v>The Heart Valley Church of God in Christ Mennonite</v>
          </cell>
        </row>
        <row r="359">
          <cell r="A359" t="str">
            <v>The Heartland Agency</v>
          </cell>
        </row>
        <row r="360">
          <cell r="A360" t="str">
            <v>The Lacombe Christian School Society</v>
          </cell>
        </row>
        <row r="361">
          <cell r="A361" t="str">
            <v>The Learning Experience Society</v>
          </cell>
        </row>
        <row r="362">
          <cell r="A362" t="str">
            <v>The Medicine Hat Christian School Society</v>
          </cell>
        </row>
        <row r="363">
          <cell r="A363" t="str">
            <v>The Old Sun Society</v>
          </cell>
        </row>
        <row r="364">
          <cell r="A364" t="str">
            <v>The PREP Program - A Calgary Society to Promote Education for Individuals with Down Syndrome</v>
          </cell>
        </row>
        <row r="365">
          <cell r="A365" t="str">
            <v>The Renert School</v>
          </cell>
        </row>
        <row r="366">
          <cell r="A366" t="str">
            <v>The Rimbey Christian School Society</v>
          </cell>
        </row>
        <row r="367">
          <cell r="A367" t="str">
            <v>The Rocky Christian School Society</v>
          </cell>
        </row>
        <row r="368">
          <cell r="A368" t="str">
            <v>The Schuler Early Childhood Service</v>
          </cell>
        </row>
        <row r="369">
          <cell r="A369" t="str">
            <v>The Society for Christian Education in Southern Alberta</v>
          </cell>
        </row>
        <row r="370">
          <cell r="A370" t="str">
            <v>The Society of Ukrainian Studies of Alberta</v>
          </cell>
        </row>
        <row r="371">
          <cell r="A371" t="str">
            <v>The Sunshiners Pre-School Association</v>
          </cell>
        </row>
        <row r="372">
          <cell r="A372" t="str">
            <v>The Timothy Centre for Scholarship Ltd.</v>
          </cell>
        </row>
        <row r="373">
          <cell r="A373" t="str">
            <v>Third Academy International Ltd.</v>
          </cell>
        </row>
        <row r="374">
          <cell r="A374" t="str">
            <v>Thornhill Child Care Society</v>
          </cell>
        </row>
        <row r="375">
          <cell r="A375" t="str">
            <v>Trinity Christian School Association</v>
          </cell>
        </row>
        <row r="376">
          <cell r="A376" t="str">
            <v>Truth Church of Calgary</v>
          </cell>
        </row>
        <row r="377">
          <cell r="A377" t="str">
            <v>Tsuu T'ina Nation</v>
          </cell>
        </row>
        <row r="378">
          <cell r="A378" t="str">
            <v>Tween Valley Fellowship/Tween Valley Christian School</v>
          </cell>
        </row>
        <row r="379">
          <cell r="A379" t="str">
            <v>Universal Educational Institute of Canada</v>
          </cell>
        </row>
        <row r="380">
          <cell r="A380" t="str">
            <v>University Child Care Centre Society</v>
          </cell>
        </row>
        <row r="381">
          <cell r="A381" t="str">
            <v>Vermilion and Area Brighter Beginnings Society</v>
          </cell>
        </row>
        <row r="382">
          <cell r="A382" t="str">
            <v>Victory Christian Fellowship of Lethbridge (1983) Inc.</v>
          </cell>
        </row>
        <row r="383">
          <cell r="A383" t="str">
            <v>Victory Christian School Society</v>
          </cell>
        </row>
        <row r="384">
          <cell r="A384" t="str">
            <v>Webber Academy Foundation</v>
          </cell>
        </row>
        <row r="385">
          <cell r="A385" t="str">
            <v>West Island College Society of Alberta</v>
          </cell>
        </row>
        <row r="386">
          <cell r="A386" t="str">
            <v>Westbrook (ECS) Association</v>
          </cell>
        </row>
        <row r="387">
          <cell r="A387" t="str">
            <v>Western Plains Mennonite Church</v>
          </cell>
        </row>
        <row r="388">
          <cell r="A388" t="str">
            <v>Westmount Charter School Society</v>
          </cell>
        </row>
        <row r="389">
          <cell r="A389" t="str">
            <v>Westview Education Society</v>
          </cell>
        </row>
        <row r="390">
          <cell r="A390" t="str">
            <v>Westwind School Division No. 74</v>
          </cell>
        </row>
        <row r="391">
          <cell r="A391" t="str">
            <v>Wetaskiwin Head Start Society</v>
          </cell>
        </row>
        <row r="392">
          <cell r="A392" t="str">
            <v>Wetaskiwin Regional Division No. 11</v>
          </cell>
        </row>
        <row r="393">
          <cell r="A393" t="str">
            <v>Whitefish Lake Education Authority</v>
          </cell>
        </row>
        <row r="394">
          <cell r="A394" t="str">
            <v>Whitefish Lake First Nation</v>
          </cell>
        </row>
        <row r="395">
          <cell r="A395" t="str">
            <v>Wild Rose School Division No. 66</v>
          </cell>
        </row>
        <row r="396">
          <cell r="A396" t="str">
            <v>Wilson Prairie Mennonite School Society</v>
          </cell>
        </row>
        <row r="397">
          <cell r="A397" t="str">
            <v>Winfield Child Development Association</v>
          </cell>
        </row>
        <row r="398">
          <cell r="A398" t="str">
            <v>Wolf Creek School Division No. 72</v>
          </cell>
        </row>
        <row r="399">
          <cell r="A399" t="str">
            <v>Woodbine DayCare ECS Association</v>
          </cell>
        </row>
        <row r="400">
          <cell r="A400" t="str">
            <v>Woodland Cree First Nation</v>
          </cell>
        </row>
        <row r="401">
          <cell r="A401" t="str">
            <v>Yellowhead Koinonia Christian School Society</v>
          </cell>
        </row>
        <row r="402">
          <cell r="A402" t="str">
            <v>Yellowhead Tribal Council</v>
          </cell>
        </row>
        <row r="403">
          <cell r="A403" t="str">
            <v>Young Men's Christian Association of Edmonton</v>
          </cell>
        </row>
        <row r="404">
          <cell r="A404" t="str">
            <v>Youngstown Kindergarten Association</v>
          </cell>
        </row>
        <row r="405">
          <cell r="A405" t="str">
            <v>Yufeng Chinese School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s"/>
      <sheetName val="Backend"/>
      <sheetName val="3.1 Expenses Funded By CR"/>
      <sheetName val="3.2 Capital Funded By CR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R1 Inters Rev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 R1 Inters Rev"/>
      <sheetName val="Table R1 Dept VTD Rev"/>
      <sheetName val="Table R2 Dept STAT Exp"/>
      <sheetName val="Table R2 Dept VTD Exp"/>
      <sheetName val="Table R3 Dept VTD CI"/>
      <sheetName val="Sheet2"/>
      <sheetName val="Sheet3"/>
      <sheetName val="Table R1 AFF Rev"/>
      <sheetName val="Table R1 Intras Rev"/>
      <sheetName val="Table R1 AEC Rev"/>
      <sheetName val="Table R1 ARCI Rev"/>
      <sheetName val="Table R1 iI(CRE Rev"/>
      <sheetName val="Table R2 AFF Exp"/>
      <sheetName val="Table R2 Inters Exp"/>
      <sheetName val="Table R2 Intras Exp"/>
      <sheetName val="Table R2 AEC Exp"/>
      <sheetName val="Table R2 ARCI Exp"/>
      <sheetName val="Table R2 iI(CRE2 Exp"/>
      <sheetName val="Table R3 ARCI CI"/>
      <sheetName val="Table R6 Dept VTD Non-Bud"/>
      <sheetName val="Table R4 ARCI2 Disp"/>
      <sheetName val="Table R5 Intras GL"/>
      <sheetName val="Table R5 ARCI2 GL"/>
    </sheetNames>
    <sheetDataSet>
      <sheetData sheetId="0" refreshError="1"/>
      <sheetData sheetId="1"/>
      <sheetData sheetId="2">
        <row r="224">
          <cell r="C224" t="str">
            <v>Revenue</v>
          </cell>
        </row>
      </sheetData>
      <sheetData sheetId="3">
        <row r="224">
          <cell r="C224" t="str">
            <v>Expense</v>
          </cell>
        </row>
      </sheetData>
      <sheetData sheetId="4">
        <row r="224">
          <cell r="C224" t="str">
            <v>Expense</v>
          </cell>
        </row>
      </sheetData>
      <sheetData sheetId="5">
        <row r="224">
          <cell r="C224" t="str">
            <v>Capital Investment</v>
          </cell>
        </row>
      </sheetData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YearFunding__ALL"/>
      <sheetName val="Table_Priority_Ministry"/>
      <sheetName val="Table_ApprIncrease_Ministry"/>
      <sheetName val="Table_ApprApproved_Ministry"/>
      <sheetName val="Table_ApprApproved_Envelope"/>
      <sheetName val="SelectedColumnsTitle"/>
      <sheetName val="SelectedColumns"/>
      <sheetName val="ExclZero"/>
      <sheetName val="RawData (2)"/>
      <sheetName val="RawData"/>
      <sheetName val="ShortCut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tatement of Operations"/>
      <sheetName val="Balance Sheet"/>
      <sheetName val="SCFP"/>
      <sheetName val="Sched 1"/>
      <sheetName val="Sched 2"/>
      <sheetName val="Sched 3 "/>
      <sheetName val="Sch4"/>
      <sheetName val="Sch5"/>
      <sheetName val="Sch6"/>
      <sheetName val="Sch7"/>
      <sheetName val="Sch8"/>
      <sheetName val="Sch1"/>
      <sheetName val="Sch2"/>
      <sheetName val="Sch3"/>
    </sheetNames>
    <sheetDataSet>
      <sheetData sheetId="0" refreshError="1">
        <row r="15">
          <cell r="A15" t="str">
            <v>FOR THE YEAR ENDED MARCH 31, 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SUM"/>
      <sheetName val="A-2 dept"/>
      <sheetName val="A-1 ministry"/>
      <sheetName val="A-2-intra"/>
      <sheetName val="A-3 inter"/>
      <sheetName val="B-1 INC_MIN_PROG(6col)"/>
      <sheetName val="EST-mh"/>
      <sheetName val="EST-msp"/>
      <sheetName val="EST-ds"/>
      <sheetName val="EST-exp-A"/>
      <sheetName val="EST-eip"/>
      <sheetName val="EST-stat"/>
      <sheetName val="TOC 27"/>
      <sheetName val="B-2 INC_MIN_PROG(4col)"/>
      <sheetName val="B-3 INC_MIN_C-1 DEPT"/>
      <sheetName val="EST-lottery"/>
      <sheetName val="C-2 INTER"/>
      <sheetName val="Blank-32"/>
      <sheetName val="NOPRINT C2-INTRA"/>
      <sheetName val="Net_Rev"/>
      <sheetName val="Ita_Rev"/>
      <sheetName val="Itr_Rev"/>
      <sheetName val="G_Rev"/>
      <sheetName val="rev_mindept"/>
      <sheetName val="TITLING"/>
    </sheetNames>
    <sheetDataSet>
      <sheetData sheetId="0" refreshError="1"/>
      <sheetData sheetId="1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12">
          <cell r="A12">
            <v>674000</v>
          </cell>
          <cell r="B12" t="str">
            <v>Refunds of expense</v>
          </cell>
          <cell r="C12">
            <v>295</v>
          </cell>
          <cell r="D12">
            <v>0</v>
          </cell>
          <cell r="E12">
            <v>134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673000</v>
          </cell>
          <cell r="B13" t="str">
            <v>Miscellaneous</v>
          </cell>
          <cell r="C13">
            <v>0</v>
          </cell>
          <cell r="D13">
            <v>0</v>
          </cell>
          <cell r="E13">
            <v>52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691000</v>
          </cell>
          <cell r="B14" t="str">
            <v>Internal Government Transfes Lottery Fund - FNDF</v>
          </cell>
          <cell r="C14">
            <v>101875</v>
          </cell>
          <cell r="D14">
            <v>110000</v>
          </cell>
          <cell r="E14">
            <v>110000</v>
          </cell>
          <cell r="F14">
            <v>118000</v>
          </cell>
          <cell r="G14">
            <v>126500</v>
          </cell>
          <cell r="H14">
            <v>134000</v>
          </cell>
        </row>
        <row r="15">
          <cell r="A15" t="str">
            <v>691000</v>
          </cell>
          <cell r="B15" t="str">
            <v>Internal Government Transfes from Lottery Fund programs</v>
          </cell>
          <cell r="C15">
            <v>200</v>
          </cell>
          <cell r="D15">
            <v>200</v>
          </cell>
          <cell r="E15">
            <v>200</v>
          </cell>
          <cell r="F15">
            <v>200</v>
          </cell>
          <cell r="G15">
            <v>200</v>
          </cell>
          <cell r="H15">
            <v>200</v>
          </cell>
        </row>
        <row r="16">
          <cell r="B16" t="str">
            <v>Total Revenue</v>
          </cell>
          <cell r="C16">
            <v>102370</v>
          </cell>
          <cell r="D16">
            <v>110200</v>
          </cell>
          <cell r="E16">
            <v>110386</v>
          </cell>
          <cell r="F16">
            <v>118200</v>
          </cell>
          <cell r="G16">
            <v>126700</v>
          </cell>
          <cell r="H16">
            <v>134200</v>
          </cell>
        </row>
      </sheetData>
      <sheetData sheetId="2"/>
      <sheetData sheetId="3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24">
          <cell r="A24" t="str">
            <v>TOTAL REV CONSOL ADJ.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</sheetData>
      <sheetData sheetId="4">
        <row r="17">
          <cell r="A17" t="str">
            <v>Code</v>
          </cell>
        </row>
      </sheetData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B1" t="str">
            <v>2010-11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P 2007-08"/>
      <sheetName val="AER 2007-08"/>
      <sheetName val="ACP 2008-09"/>
      <sheetName val="AER 2008-09"/>
      <sheetName val="Invest ca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Brownfield Redevelopment Infrastructure</v>
          </cell>
        </row>
        <row r="3">
          <cell r="B3" t="str">
            <v>Connectivity and Broadband Infrastructure</v>
          </cell>
        </row>
        <row r="4">
          <cell r="B4" t="str">
            <v>Cultural Infrastructure</v>
          </cell>
        </row>
        <row r="5">
          <cell r="B5" t="str">
            <v>Disaster Mitigation Infrastructure</v>
          </cell>
        </row>
        <row r="6">
          <cell r="B6" t="str">
            <v>Green Energy Infrastructure</v>
          </cell>
        </row>
        <row r="7">
          <cell r="B7" t="str">
            <v>Local Road Infrastructure</v>
          </cell>
        </row>
        <row r="8">
          <cell r="B8" t="str">
            <v>National Highway System Infrastructure</v>
          </cell>
        </row>
        <row r="9">
          <cell r="B9" t="str">
            <v>Non-National Highway System Roads</v>
          </cell>
        </row>
        <row r="10">
          <cell r="B10" t="str">
            <v>Public Transit Infrastructure</v>
          </cell>
        </row>
        <row r="11">
          <cell r="B11" t="str">
            <v>Regional and Local Airport Infrastructure</v>
          </cell>
        </row>
        <row r="12">
          <cell r="B12" t="str">
            <v>Short-line Rail Infrastructure</v>
          </cell>
        </row>
        <row r="13">
          <cell r="B13" t="str">
            <v>Short-sea Shipping Infrastructure</v>
          </cell>
        </row>
        <row r="14">
          <cell r="B14" t="str">
            <v>Solid Waste Management Infrastructure</v>
          </cell>
        </row>
        <row r="15">
          <cell r="B15" t="str">
            <v>Sport Infrastructure</v>
          </cell>
        </row>
        <row r="16">
          <cell r="B16" t="str">
            <v>Tourism</v>
          </cell>
        </row>
        <row r="17">
          <cell r="B17" t="str">
            <v>Wastewater Infrastructure</v>
          </cell>
        </row>
        <row r="18">
          <cell r="B18" t="str">
            <v>Water Infrastructure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dept"/>
      <sheetName val="A-arc"/>
      <sheetName val="A-access"/>
      <sheetName val="A-icore"/>
      <sheetName val="A-ministry"/>
      <sheetName val="A-vtdrec"/>
      <sheetName val="D-intra"/>
      <sheetName val="E-inter"/>
      <sheetName val="B-1 INC_MIN_PROG(6col)"/>
      <sheetName val="B-2 INC_MIN_PROG(4col)"/>
      <sheetName val="EST-mh"/>
      <sheetName val="EST-msp"/>
      <sheetName val="EST-ds"/>
      <sheetName val="EST-exp A"/>
      <sheetName val="EST-exp B"/>
      <sheetName val="EST-eip"/>
      <sheetName val="EST-cr-rec"/>
      <sheetName val="EST-vnb"/>
      <sheetName val="EST-stat"/>
      <sheetName val="TOC 310"/>
      <sheetName val="C1-INC_MIN_ENTITY"/>
      <sheetName val="C1-INC_DEPT"/>
      <sheetName val="C1-INC_ACCESS"/>
      <sheetName val="C1-INC_ARC"/>
      <sheetName val="C1-INC_ICORE"/>
      <sheetName val="EST-lottery"/>
      <sheetName val="C2-INTRA"/>
      <sheetName val="C2-INTER"/>
      <sheetName val="Net_Rev"/>
      <sheetName val="Ita_Rev"/>
      <sheetName val="Itr_Rev"/>
      <sheetName val="rev_gross"/>
      <sheetName val="rev_dept"/>
      <sheetName val="rev_access"/>
      <sheetName val="rev_arc"/>
      <sheetName val="rev_icore"/>
      <sheetName val="TIT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2007-08</v>
          </cell>
        </row>
        <row r="2">
          <cell r="B2" t="str">
            <v>2006-07</v>
          </cell>
        </row>
        <row r="3">
          <cell r="B3" t="str">
            <v>2005-06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9"/>
      <sheetName val="list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6D74-350C-4416-8F27-CCE23FDD7988}">
  <sheetPr>
    <tabColor rgb="FF92D050"/>
  </sheetPr>
  <dimension ref="E68:I69"/>
  <sheetViews>
    <sheetView tabSelected="1" workbookViewId="0">
      <selection activeCell="E68" sqref="E68:I69"/>
    </sheetView>
  </sheetViews>
  <sheetFormatPr defaultRowHeight="12"/>
  <sheetData>
    <row r="68" spans="5:9" ht="14.25">
      <c r="E68" s="585" t="s">
        <v>450</v>
      </c>
      <c r="F68" s="585"/>
      <c r="G68" s="586"/>
      <c r="H68" s="585"/>
      <c r="I68" s="585"/>
    </row>
    <row r="69" spans="5:9">
      <c r="E69" s="585"/>
      <c r="F69" s="585"/>
      <c r="G69" s="587" t="s">
        <v>451</v>
      </c>
      <c r="H69" s="585"/>
      <c r="I69" s="585"/>
    </row>
  </sheetData>
  <hyperlinks>
    <hyperlink ref="G69" r:id="rId1" xr:uid="{35418799-5830-4E83-86D6-0E4E10E6AB10}"/>
  </hyperlinks>
  <pageMargins left="0.7" right="0.7" top="0.75" bottom="0.75" header="0.3" footer="0.3"/>
  <headerFooter>
    <oddFooter>&amp;L_x000D_&amp;1#&amp;"Calibri"&amp;11&amp;K000000 Classification: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G36"/>
  <sheetViews>
    <sheetView showGridLines="0" zoomScaleNormal="100" workbookViewId="0"/>
  </sheetViews>
  <sheetFormatPr defaultColWidth="8.5703125" defaultRowHeight="12"/>
  <cols>
    <col min="1" max="1" width="51.7109375" customWidth="1"/>
    <col min="2" max="7" width="8" customWidth="1"/>
  </cols>
  <sheetData>
    <row r="1" spans="1:7" ht="15.75">
      <c r="A1" s="1" t="s">
        <v>0</v>
      </c>
      <c r="B1" s="2"/>
      <c r="G1" s="3"/>
    </row>
    <row r="2" spans="1:7">
      <c r="A2" s="4" t="s">
        <v>1</v>
      </c>
      <c r="B2" s="5"/>
    </row>
    <row r="3" spans="1:7" ht="4.5" customHeight="1">
      <c r="A3" s="4"/>
      <c r="B3" s="5"/>
    </row>
    <row r="4" spans="1:7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7">
      <c r="A5" s="9"/>
      <c r="B5" s="10" t="s">
        <v>7</v>
      </c>
      <c r="C5" s="10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13"/>
      <c r="B6" s="14"/>
      <c r="C6" s="15"/>
      <c r="E6" s="16"/>
    </row>
    <row r="7" spans="1:7" ht="12.75" customHeight="1">
      <c r="A7" s="17" t="s">
        <v>12</v>
      </c>
      <c r="B7" s="18"/>
      <c r="C7" s="18"/>
      <c r="D7" s="18"/>
      <c r="E7" s="19"/>
      <c r="F7" s="18"/>
      <c r="G7" s="18"/>
    </row>
    <row r="8" spans="1:7" ht="12.75" customHeight="1">
      <c r="A8" s="20" t="s">
        <v>13</v>
      </c>
      <c r="B8" s="18">
        <v>26524</v>
      </c>
      <c r="C8" s="18">
        <v>24992</v>
      </c>
      <c r="D8" s="18">
        <v>26913</v>
      </c>
      <c r="E8" s="19">
        <v>28645</v>
      </c>
      <c r="F8" s="18">
        <v>29895</v>
      </c>
      <c r="G8" s="18">
        <v>31367</v>
      </c>
    </row>
    <row r="9" spans="1:7" ht="12.75" customHeight="1">
      <c r="A9" s="20" t="s">
        <v>14</v>
      </c>
      <c r="B9" s="18">
        <v>25242</v>
      </c>
      <c r="C9" s="18">
        <v>18361</v>
      </c>
      <c r="D9" s="18">
        <v>19416</v>
      </c>
      <c r="E9" s="19">
        <v>17315</v>
      </c>
      <c r="F9" s="18">
        <v>17839</v>
      </c>
      <c r="G9" s="18">
        <v>17939</v>
      </c>
    </row>
    <row r="10" spans="1:7" ht="12.75" customHeight="1">
      <c r="A10" s="20" t="s">
        <v>15</v>
      </c>
      <c r="B10" s="18">
        <v>11363</v>
      </c>
      <c r="C10" s="18">
        <v>12552</v>
      </c>
      <c r="D10" s="18">
        <v>12655.999999999998</v>
      </c>
      <c r="E10" s="19">
        <v>12640.000000000004</v>
      </c>
      <c r="F10" s="18">
        <v>13161.199999999999</v>
      </c>
      <c r="G10" s="18">
        <v>13643.599999999999</v>
      </c>
    </row>
    <row r="11" spans="1:7" ht="12.75" customHeight="1">
      <c r="A11" s="20" t="s">
        <v>16</v>
      </c>
      <c r="B11" s="18">
        <v>1326</v>
      </c>
      <c r="C11" s="18">
        <v>3154</v>
      </c>
      <c r="D11" s="18">
        <v>4467</v>
      </c>
      <c r="E11" s="19">
        <v>3266.5000000000005</v>
      </c>
      <c r="F11" s="18">
        <v>3433</v>
      </c>
      <c r="G11" s="18">
        <v>3672.1</v>
      </c>
    </row>
    <row r="12" spans="1:7" ht="12.75" customHeight="1">
      <c r="A12" s="20" t="s">
        <v>17</v>
      </c>
      <c r="B12" s="21">
        <v>11665</v>
      </c>
      <c r="C12" s="21">
        <v>11594</v>
      </c>
      <c r="D12" s="21">
        <v>12175.779999999999</v>
      </c>
      <c r="E12" s="60">
        <v>11671.599999999999</v>
      </c>
      <c r="F12" s="21">
        <v>11723</v>
      </c>
      <c r="G12" s="21">
        <v>12194.390000000001</v>
      </c>
    </row>
    <row r="13" spans="1:7" ht="12.75" customHeight="1">
      <c r="A13" s="22" t="s">
        <v>18</v>
      </c>
      <c r="B13" s="23">
        <v>76120</v>
      </c>
      <c r="C13" s="23">
        <v>70653</v>
      </c>
      <c r="D13" s="23">
        <v>75627.78</v>
      </c>
      <c r="E13" s="24">
        <v>73537.100000000006</v>
      </c>
      <c r="F13" s="23">
        <v>76051.199999999997</v>
      </c>
      <c r="G13" s="23">
        <v>78816.09</v>
      </c>
    </row>
    <row r="14" spans="1:7" ht="3.75" customHeight="1">
      <c r="A14" s="20"/>
      <c r="B14" s="18"/>
      <c r="C14" s="18"/>
      <c r="D14" s="18"/>
      <c r="E14" s="19"/>
      <c r="F14" s="18"/>
      <c r="G14" s="18"/>
    </row>
    <row r="15" spans="1:7" ht="12.75" customHeight="1">
      <c r="A15" s="17" t="s">
        <v>43</v>
      </c>
      <c r="B15" s="18"/>
      <c r="C15" s="18"/>
      <c r="D15" s="18"/>
      <c r="E15" s="25"/>
      <c r="F15" s="18"/>
      <c r="G15" s="18"/>
    </row>
    <row r="16" spans="1:7" ht="12.75" customHeight="1">
      <c r="A16" s="20" t="s">
        <v>19</v>
      </c>
      <c r="B16" s="18">
        <v>54737</v>
      </c>
      <c r="C16" s="18">
        <v>57038</v>
      </c>
      <c r="D16" s="18">
        <v>57876.260000000009</v>
      </c>
      <c r="E16" s="19">
        <v>60123.788</v>
      </c>
      <c r="F16" s="18">
        <v>61595.191000000006</v>
      </c>
      <c r="G16" s="18">
        <v>62798.375999999989</v>
      </c>
    </row>
    <row r="17" spans="1:7" ht="12.75" customHeight="1">
      <c r="A17" s="20" t="s">
        <v>20</v>
      </c>
      <c r="B17" s="18">
        <v>1525</v>
      </c>
      <c r="C17" s="18">
        <v>2821</v>
      </c>
      <c r="D17" s="18">
        <v>2375.0589999999997</v>
      </c>
      <c r="E17" s="19">
        <v>3468.8009999999999</v>
      </c>
      <c r="F17" s="18">
        <v>3575.8999999999996</v>
      </c>
      <c r="G17" s="18">
        <v>3862.8240000000001</v>
      </c>
    </row>
    <row r="18" spans="1:7" ht="12.75" customHeight="1">
      <c r="A18" s="20" t="s">
        <v>21</v>
      </c>
      <c r="B18" s="18">
        <v>4090</v>
      </c>
      <c r="C18" s="18">
        <v>4418</v>
      </c>
      <c r="D18" s="18">
        <v>4419.2159999999994</v>
      </c>
      <c r="E18" s="19">
        <v>4576.1190000000006</v>
      </c>
      <c r="F18" s="18">
        <v>4695.42</v>
      </c>
      <c r="G18" s="18">
        <v>4719.735999999999</v>
      </c>
    </row>
    <row r="19" spans="1:7" ht="12.75" customHeight="1">
      <c r="A19" s="20" t="s">
        <v>22</v>
      </c>
      <c r="B19" s="18">
        <v>2829</v>
      </c>
      <c r="C19" s="18">
        <v>2848</v>
      </c>
      <c r="D19" s="18">
        <v>3136</v>
      </c>
      <c r="E19" s="19">
        <v>3365</v>
      </c>
      <c r="F19" s="18">
        <v>3121</v>
      </c>
      <c r="G19" s="18">
        <v>3174</v>
      </c>
    </row>
    <row r="20" spans="1:7" ht="12.75" customHeight="1">
      <c r="A20" s="20" t="s">
        <v>23</v>
      </c>
      <c r="B20" s="18">
        <v>-21</v>
      </c>
      <c r="C20" s="18">
        <v>-322</v>
      </c>
      <c r="D20" s="18">
        <v>-358</v>
      </c>
      <c r="E20" s="19">
        <v>-364</v>
      </c>
      <c r="F20" s="18">
        <v>-373</v>
      </c>
      <c r="G20" s="18">
        <v>-378</v>
      </c>
    </row>
    <row r="21" spans="1:7" ht="12.75" customHeight="1">
      <c r="A21" s="487" t="s">
        <v>406</v>
      </c>
      <c r="B21" s="503">
        <v>1319</v>
      </c>
      <c r="C21" s="503">
        <v>0</v>
      </c>
      <c r="D21" s="503">
        <v>2946</v>
      </c>
      <c r="E21" s="504">
        <v>0</v>
      </c>
      <c r="F21" s="506">
        <v>0</v>
      </c>
      <c r="G21" s="503">
        <v>0</v>
      </c>
    </row>
    <row r="22" spans="1:7" ht="12.75" customHeight="1">
      <c r="A22" s="76" t="s">
        <v>363</v>
      </c>
      <c r="B22" s="85">
        <v>64479</v>
      </c>
      <c r="C22" s="85">
        <v>66803</v>
      </c>
      <c r="D22" s="85">
        <v>70393.535000000003</v>
      </c>
      <c r="E22" s="82">
        <v>71169.707999999999</v>
      </c>
      <c r="F22" s="86">
        <v>72613.511000000013</v>
      </c>
      <c r="G22" s="85">
        <v>74175.935999999987</v>
      </c>
    </row>
    <row r="23" spans="1:7" ht="12.75" customHeight="1">
      <c r="A23" s="20" t="s">
        <v>407</v>
      </c>
      <c r="B23" s="18">
        <v>0</v>
      </c>
      <c r="C23" s="18">
        <v>1500</v>
      </c>
      <c r="D23" s="18">
        <v>0</v>
      </c>
      <c r="E23" s="19">
        <v>2000</v>
      </c>
      <c r="F23" s="18">
        <v>2000</v>
      </c>
      <c r="G23" s="18">
        <v>2000</v>
      </c>
    </row>
    <row r="24" spans="1:7" ht="15" customHeight="1">
      <c r="A24" s="22" t="s">
        <v>24</v>
      </c>
      <c r="B24" s="29">
        <v>64479</v>
      </c>
      <c r="C24" s="29">
        <v>68303</v>
      </c>
      <c r="D24" s="29">
        <v>70393.535000000003</v>
      </c>
      <c r="E24" s="28">
        <v>73169.707999999999</v>
      </c>
      <c r="F24" s="29">
        <v>74613.511000000013</v>
      </c>
      <c r="G24" s="29">
        <v>76175.935999999987</v>
      </c>
    </row>
    <row r="25" spans="1:7" ht="2.1" customHeight="1">
      <c r="A25" s="26"/>
      <c r="B25" s="18"/>
      <c r="C25" s="18"/>
      <c r="D25" s="18"/>
      <c r="E25" s="25"/>
      <c r="F25" s="18"/>
      <c r="G25" s="18"/>
    </row>
    <row r="26" spans="1:7" ht="12.75" customHeight="1" thickBot="1">
      <c r="A26" s="30" t="s">
        <v>25</v>
      </c>
      <c r="B26" s="31">
        <v>11641</v>
      </c>
      <c r="C26" s="31">
        <v>2350</v>
      </c>
      <c r="D26" s="31">
        <v>5234.2449999999953</v>
      </c>
      <c r="E26" s="32">
        <v>367.3920000000071</v>
      </c>
      <c r="F26" s="31">
        <v>1436.6889999999839</v>
      </c>
      <c r="G26" s="31">
        <v>2640.1540000000095</v>
      </c>
    </row>
    <row r="27" spans="1:7" ht="3.75" customHeight="1">
      <c r="A27" s="33"/>
      <c r="B27" s="23"/>
      <c r="C27" s="23"/>
      <c r="D27" s="23"/>
      <c r="E27" s="34"/>
      <c r="F27" s="23"/>
      <c r="G27" s="23"/>
    </row>
    <row r="28" spans="1:7" ht="12.75" customHeight="1"/>
    <row r="36" spans="4:6">
      <c r="D36" s="36"/>
      <c r="E36" s="36"/>
      <c r="F36" s="36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fitToHeight="0" orientation="portrait" r:id="rId1"/>
  <headerFooter alignWithMargins="0">
    <oddFooter>&amp;L&amp;10Classification: Protected A_x000D_&amp;1#&amp;"Calibri"&amp;11&amp;K000000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  <pageSetUpPr fitToPage="1"/>
  </sheetPr>
  <dimension ref="A1:F32"/>
  <sheetViews>
    <sheetView showGridLines="0" zoomScaleNormal="100" workbookViewId="0"/>
  </sheetViews>
  <sheetFormatPr defaultColWidth="8.5703125" defaultRowHeight="12"/>
  <cols>
    <col min="1" max="1" width="53.5703125" customWidth="1"/>
    <col min="2" max="6" width="9.42578125" customWidth="1"/>
  </cols>
  <sheetData>
    <row r="1" spans="1:6" ht="15.75" customHeight="1">
      <c r="A1" s="37" t="s">
        <v>26</v>
      </c>
      <c r="B1" s="38"/>
      <c r="C1" s="39"/>
      <c r="D1" s="40"/>
      <c r="E1" s="40"/>
    </row>
    <row r="2" spans="1:6" ht="12" customHeight="1">
      <c r="A2" s="4" t="s">
        <v>1</v>
      </c>
      <c r="B2" s="38"/>
      <c r="C2" s="39"/>
      <c r="D2" s="40"/>
      <c r="E2" s="40"/>
    </row>
    <row r="3" spans="1:6" ht="4.5" customHeight="1">
      <c r="A3" s="4"/>
      <c r="B3" s="38"/>
      <c r="C3" s="39"/>
      <c r="D3" s="40"/>
      <c r="E3" s="40"/>
    </row>
    <row r="4" spans="1:6" ht="12.75" customHeight="1">
      <c r="A4" s="41"/>
      <c r="B4" s="589" t="s">
        <v>27</v>
      </c>
      <c r="C4" s="589"/>
      <c r="D4" s="589"/>
      <c r="E4" s="589"/>
      <c r="F4" s="589"/>
    </row>
    <row r="5" spans="1:6">
      <c r="A5" s="42"/>
      <c r="B5" s="43" t="s">
        <v>28</v>
      </c>
      <c r="C5" s="44" t="s">
        <v>29</v>
      </c>
      <c r="D5" s="45" t="s">
        <v>322</v>
      </c>
      <c r="E5" s="44" t="s">
        <v>337</v>
      </c>
      <c r="F5" s="44" t="s">
        <v>393</v>
      </c>
    </row>
    <row r="6" spans="1:6">
      <c r="A6" s="9"/>
      <c r="B6" s="11" t="s">
        <v>7</v>
      </c>
      <c r="C6" s="11" t="s">
        <v>9</v>
      </c>
      <c r="D6" s="12" t="s">
        <v>10</v>
      </c>
      <c r="E6" s="11" t="s">
        <v>11</v>
      </c>
      <c r="F6" s="11" t="s">
        <v>11</v>
      </c>
    </row>
    <row r="7" spans="1:6" ht="2.25" customHeight="1">
      <c r="A7" s="13"/>
      <c r="B7" s="7"/>
      <c r="C7" s="7"/>
      <c r="D7" s="46"/>
      <c r="E7" s="47"/>
      <c r="F7" s="47"/>
    </row>
    <row r="8" spans="1:6">
      <c r="A8" s="41" t="s">
        <v>30</v>
      </c>
      <c r="B8" s="48">
        <v>79490</v>
      </c>
      <c r="C8" s="48">
        <v>90101.883808705854</v>
      </c>
      <c r="D8" s="49">
        <v>96651.344017787414</v>
      </c>
      <c r="E8" s="48">
        <v>89857.907585001114</v>
      </c>
      <c r="F8" s="48">
        <v>93105.616689760674</v>
      </c>
    </row>
    <row r="9" spans="1:6">
      <c r="A9" s="41" t="s">
        <v>31</v>
      </c>
      <c r="B9" s="18">
        <v>125104</v>
      </c>
      <c r="C9" s="18">
        <v>131001.27282892191</v>
      </c>
      <c r="D9" s="19">
        <v>138267.29403843181</v>
      </c>
      <c r="E9" s="18">
        <v>131056.34349215172</v>
      </c>
      <c r="F9" s="18">
        <v>132324.08314512164</v>
      </c>
    </row>
    <row r="10" spans="1:6">
      <c r="A10" s="50" t="s">
        <v>32</v>
      </c>
      <c r="B10" s="51">
        <v>-45614</v>
      </c>
      <c r="C10" s="51">
        <v>-40899.389020216055</v>
      </c>
      <c r="D10" s="52">
        <v>-41615.950020644392</v>
      </c>
      <c r="E10" s="51">
        <v>-41198.435907150604</v>
      </c>
      <c r="F10" s="51">
        <v>-39218.466455360962</v>
      </c>
    </row>
    <row r="11" spans="1:6">
      <c r="A11" s="35" t="s">
        <v>33</v>
      </c>
      <c r="B11" s="53">
        <v>60624</v>
      </c>
      <c r="C11" s="53">
        <v>61294.038999999997</v>
      </c>
      <c r="D11" s="54">
        <v>62396.387999999999</v>
      </c>
      <c r="E11" s="53">
        <v>63407.055000000008</v>
      </c>
      <c r="F11" s="53">
        <v>64055.040000000015</v>
      </c>
    </row>
    <row r="12" spans="1:6">
      <c r="A12" s="55" t="s">
        <v>34</v>
      </c>
      <c r="B12" s="53">
        <v>-3696</v>
      </c>
      <c r="C12" s="53">
        <v>-3847</v>
      </c>
      <c r="D12" s="54">
        <v>-3865</v>
      </c>
      <c r="E12" s="53">
        <v>-3857</v>
      </c>
      <c r="F12" s="53">
        <v>-3845</v>
      </c>
    </row>
    <row r="13" spans="1:6" ht="12.75" thickBot="1">
      <c r="A13" s="30" t="s">
        <v>35</v>
      </c>
      <c r="B13" s="31">
        <v>11314</v>
      </c>
      <c r="C13" s="56">
        <v>16547.649979783942</v>
      </c>
      <c r="D13" s="32">
        <v>16915.437979355607</v>
      </c>
      <c r="E13" s="31">
        <v>18351.619092849403</v>
      </c>
      <c r="F13" s="31">
        <v>20991.573544639054</v>
      </c>
    </row>
    <row r="14" spans="1:6" ht="3.75" customHeight="1">
      <c r="D14" s="57"/>
    </row>
    <row r="15" spans="1:6">
      <c r="A15" s="35" t="s">
        <v>36</v>
      </c>
      <c r="B15" s="18">
        <v>-3248</v>
      </c>
      <c r="C15" s="18">
        <v>8500</v>
      </c>
      <c r="D15" s="19">
        <v>13734.244999999995</v>
      </c>
      <c r="E15" s="18">
        <v>14101.137000000002</v>
      </c>
      <c r="F15" s="18">
        <v>15537.825999999986</v>
      </c>
    </row>
    <row r="16" spans="1:6">
      <c r="A16" s="35" t="s">
        <v>37</v>
      </c>
      <c r="B16" s="18">
        <v>11641</v>
      </c>
      <c r="C16" s="18">
        <v>5234.2449999999953</v>
      </c>
      <c r="D16" s="19">
        <v>367.3920000000071</v>
      </c>
      <c r="E16" s="18">
        <v>1436.6889999999839</v>
      </c>
      <c r="F16" s="18">
        <v>2640.1540000000095</v>
      </c>
    </row>
    <row r="17" spans="1:6">
      <c r="A17" s="200" t="s">
        <v>38</v>
      </c>
      <c r="B17" s="18">
        <v>107</v>
      </c>
      <c r="C17" s="18">
        <v>0</v>
      </c>
      <c r="D17" s="19">
        <v>0</v>
      </c>
      <c r="E17" s="18">
        <v>0</v>
      </c>
      <c r="F17" s="18">
        <v>0</v>
      </c>
    </row>
    <row r="18" spans="1:6" ht="12.75" thickBot="1">
      <c r="A18" s="30" t="s">
        <v>421</v>
      </c>
      <c r="B18" s="31">
        <v>8500</v>
      </c>
      <c r="C18" s="56">
        <v>13734.244999999995</v>
      </c>
      <c r="D18" s="32">
        <v>14101.137000000002</v>
      </c>
      <c r="E18" s="31">
        <v>15537.825999999986</v>
      </c>
      <c r="F18" s="31">
        <v>18177.979999999996</v>
      </c>
    </row>
    <row r="19" spans="1:6" ht="3.75" customHeight="1">
      <c r="A19" s="35"/>
      <c r="B19" s="27"/>
      <c r="C19" s="27"/>
      <c r="D19" s="28"/>
      <c r="E19" s="27"/>
      <c r="F19" s="27"/>
    </row>
    <row r="20" spans="1:6">
      <c r="A20" s="35" t="s">
        <v>419</v>
      </c>
      <c r="B20" s="18">
        <v>2814</v>
      </c>
      <c r="C20" s="18">
        <v>2814</v>
      </c>
      <c r="D20" s="19">
        <v>2814</v>
      </c>
      <c r="E20" s="18">
        <v>2814</v>
      </c>
      <c r="F20" s="18">
        <v>2813.55</v>
      </c>
    </row>
    <row r="21" spans="1:6">
      <c r="A21" s="35" t="s">
        <v>420</v>
      </c>
      <c r="B21" s="18">
        <v>0</v>
      </c>
      <c r="C21" s="18">
        <v>0</v>
      </c>
      <c r="D21" s="19">
        <v>0</v>
      </c>
      <c r="E21" s="18">
        <v>0</v>
      </c>
      <c r="F21" s="18">
        <v>0</v>
      </c>
    </row>
    <row r="22" spans="1:6" ht="3.75" customHeight="1">
      <c r="A22" s="35"/>
      <c r="B22" s="18"/>
      <c r="C22" s="18"/>
      <c r="D22" s="19"/>
      <c r="E22" s="18"/>
      <c r="F22" s="18"/>
    </row>
    <row r="23" spans="1:6">
      <c r="A23" s="58" t="s">
        <v>39</v>
      </c>
      <c r="B23" s="59">
        <v>11314</v>
      </c>
      <c r="C23" s="59">
        <v>16548.244999999995</v>
      </c>
      <c r="D23" s="60">
        <v>16915.137000000002</v>
      </c>
      <c r="E23" s="59">
        <v>18351.825999999986</v>
      </c>
      <c r="F23" s="59">
        <v>20991.529999999995</v>
      </c>
    </row>
    <row r="24" spans="1:6" ht="3.75" customHeight="1">
      <c r="C24" s="36"/>
      <c r="D24" s="61"/>
      <c r="E24" s="36"/>
    </row>
    <row r="25" spans="1:6" ht="12.75" thickBot="1">
      <c r="A25" s="62" t="s">
        <v>40</v>
      </c>
      <c r="B25" s="565">
        <v>-9.9311996516438059E-2</v>
      </c>
      <c r="C25" s="565">
        <v>-9.2826575170712786E-2</v>
      </c>
      <c r="D25" s="566">
        <v>-9.1243038852541966E-2</v>
      </c>
      <c r="E25" s="565">
        <v>-8.5138325908556731E-2</v>
      </c>
      <c r="F25" s="565">
        <v>-7.6793550921012255E-2</v>
      </c>
    </row>
    <row r="32" spans="1:6">
      <c r="A32" s="225"/>
      <c r="B32" s="523"/>
      <c r="C32" s="523"/>
      <c r="D32" s="523"/>
      <c r="E32" s="523"/>
      <c r="F32" s="523"/>
    </row>
  </sheetData>
  <mergeCells count="1">
    <mergeCell ref="B4:F4"/>
  </mergeCells>
  <pageMargins left="0.74803149606299213" right="0.74803149606299213" top="0.74803149606299213" bottom="0.74803149606299213" header="0.31496062992125984" footer="0.31496062992125984"/>
  <pageSetup scale="99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  <pageSetUpPr fitToPage="1"/>
  </sheetPr>
  <dimension ref="A1:M182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" defaultRowHeight="11.25"/>
  <cols>
    <col min="1" max="1" width="3" style="63" customWidth="1"/>
    <col min="2" max="2" width="49.42578125" style="164" customWidth="1"/>
    <col min="3" max="3" width="8" style="65" customWidth="1"/>
    <col min="4" max="5" width="8" style="106" customWidth="1"/>
    <col min="6" max="6" width="8" style="65" customWidth="1"/>
    <col min="7" max="7" width="8" style="95" customWidth="1"/>
    <col min="8" max="8" width="8" style="63" customWidth="1"/>
    <col min="9" max="16384" width="9" style="63"/>
  </cols>
  <sheetData>
    <row r="1" spans="1:10" ht="15.75">
      <c r="B1" s="64" t="s">
        <v>41</v>
      </c>
      <c r="D1" s="66"/>
      <c r="E1" s="66"/>
    </row>
    <row r="2" spans="1:10" s="67" customFormat="1" ht="12" customHeight="1">
      <c r="B2" s="68" t="s">
        <v>1</v>
      </c>
      <c r="C2" s="66"/>
      <c r="D2" s="69"/>
      <c r="E2" s="69"/>
      <c r="F2" s="69"/>
      <c r="G2" s="571"/>
    </row>
    <row r="3" spans="1:10" s="67" customFormat="1" ht="3.75" customHeight="1">
      <c r="B3" s="68"/>
      <c r="C3" s="66"/>
      <c r="D3" s="66"/>
      <c r="E3" s="66"/>
      <c r="F3" s="69"/>
      <c r="G3" s="571"/>
    </row>
    <row r="4" spans="1:10" s="70" customFormat="1" ht="12" customHeight="1">
      <c r="B4" s="590" t="s">
        <v>42</v>
      </c>
      <c r="C4" s="7" t="s">
        <v>5</v>
      </c>
      <c r="D4" s="588" t="s">
        <v>6</v>
      </c>
      <c r="E4" s="588"/>
      <c r="F4" s="8" t="s">
        <v>291</v>
      </c>
      <c r="G4" s="7" t="s">
        <v>336</v>
      </c>
      <c r="H4" s="70" t="s">
        <v>377</v>
      </c>
    </row>
    <row r="5" spans="1:10" s="72" customFormat="1" ht="12" customHeight="1">
      <c r="A5" s="71"/>
      <c r="B5" s="591"/>
      <c r="C5" s="11" t="s">
        <v>7</v>
      </c>
      <c r="D5" s="11" t="s">
        <v>8</v>
      </c>
      <c r="E5" s="11" t="s">
        <v>9</v>
      </c>
      <c r="F5" s="12" t="s">
        <v>10</v>
      </c>
      <c r="G5" s="11" t="s">
        <v>11</v>
      </c>
      <c r="H5" s="11" t="s">
        <v>11</v>
      </c>
    </row>
    <row r="6" spans="1:10" s="73" customFormat="1" ht="3.75" customHeight="1">
      <c r="C6" s="66"/>
      <c r="D6" s="74"/>
      <c r="E6" s="74"/>
      <c r="F6" s="75"/>
      <c r="G6" s="326"/>
    </row>
    <row r="7" spans="1:10" ht="13.5" customHeight="1">
      <c r="A7" s="63">
        <v>1</v>
      </c>
      <c r="B7" s="76" t="s">
        <v>18</v>
      </c>
      <c r="C7" s="77">
        <v>76120</v>
      </c>
      <c r="D7" s="77">
        <v>70653</v>
      </c>
      <c r="E7" s="77">
        <v>75627.780000000013</v>
      </c>
      <c r="F7" s="78">
        <v>73537.100000000006</v>
      </c>
      <c r="G7" s="572">
        <v>76051.199999999997</v>
      </c>
      <c r="H7" s="77">
        <v>78816.09</v>
      </c>
      <c r="I7"/>
      <c r="J7"/>
    </row>
    <row r="8" spans="1:10" ht="12.75" customHeight="1">
      <c r="B8" s="79" t="s">
        <v>43</v>
      </c>
      <c r="C8" s="80"/>
      <c r="D8" s="81"/>
      <c r="E8" s="81"/>
      <c r="F8" s="82"/>
      <c r="G8" s="323"/>
      <c r="H8" s="83"/>
      <c r="I8"/>
      <c r="J8"/>
    </row>
    <row r="9" spans="1:10" ht="12.75" customHeight="1">
      <c r="A9" s="63">
        <f>A7+1</f>
        <v>2</v>
      </c>
      <c r="B9" s="84" t="s">
        <v>19</v>
      </c>
      <c r="C9" s="85">
        <v>54737</v>
      </c>
      <c r="D9" s="85">
        <v>57038</v>
      </c>
      <c r="E9" s="85">
        <v>57876.260000000009</v>
      </c>
      <c r="F9" s="82">
        <v>60123.788</v>
      </c>
      <c r="G9" s="86">
        <v>61595.191000000006</v>
      </c>
      <c r="H9" s="85">
        <v>62798.375999999989</v>
      </c>
      <c r="I9"/>
      <c r="J9"/>
    </row>
    <row r="10" spans="1:10" ht="12.75" customHeight="1">
      <c r="A10" s="63">
        <f t="shared" ref="A10:A15" si="0">A9+1</f>
        <v>3</v>
      </c>
      <c r="B10" s="87" t="s">
        <v>44</v>
      </c>
      <c r="C10" s="88">
        <v>4.5736774735876784</v>
      </c>
      <c r="D10" s="89">
        <v>4.2037378738330577</v>
      </c>
      <c r="E10" s="89">
        <v>5.7351699947019608</v>
      </c>
      <c r="F10" s="90">
        <v>3.8833331663103099</v>
      </c>
      <c r="G10" s="89">
        <v>2.4472892493067944</v>
      </c>
      <c r="H10" s="91">
        <v>1.9533748990241406</v>
      </c>
      <c r="I10"/>
      <c r="J10"/>
    </row>
    <row r="11" spans="1:10" ht="12.75" customHeight="1">
      <c r="A11" s="63">
        <f>A10+1</f>
        <v>4</v>
      </c>
      <c r="B11" s="84" t="s">
        <v>20</v>
      </c>
      <c r="C11" s="85">
        <v>1525</v>
      </c>
      <c r="D11" s="85">
        <v>2821</v>
      </c>
      <c r="E11" s="85">
        <v>2375.0589999999997</v>
      </c>
      <c r="F11" s="82">
        <v>3468.8009999999999</v>
      </c>
      <c r="G11" s="86">
        <v>3575.8999999999996</v>
      </c>
      <c r="H11" s="85">
        <v>3862.8240000000001</v>
      </c>
      <c r="I11"/>
      <c r="J11"/>
    </row>
    <row r="12" spans="1:10" s="92" customFormat="1" ht="12.75" customHeight="1">
      <c r="A12" s="63">
        <f t="shared" si="0"/>
        <v>5</v>
      </c>
      <c r="B12" s="84" t="s">
        <v>21</v>
      </c>
      <c r="C12" s="85">
        <v>4090</v>
      </c>
      <c r="D12" s="85">
        <v>4418</v>
      </c>
      <c r="E12" s="85">
        <v>4419.2159999999994</v>
      </c>
      <c r="F12" s="82">
        <v>4576.1190000000006</v>
      </c>
      <c r="G12" s="86">
        <v>4695.42</v>
      </c>
      <c r="H12" s="85">
        <v>4719.735999999999</v>
      </c>
      <c r="I12"/>
      <c r="J12"/>
    </row>
    <row r="13" spans="1:10" s="92" customFormat="1" ht="12.75" customHeight="1">
      <c r="A13" s="63">
        <f>A12+1</f>
        <v>6</v>
      </c>
      <c r="B13" s="486" t="s">
        <v>361</v>
      </c>
      <c r="C13" s="85">
        <v>2325</v>
      </c>
      <c r="D13" s="85">
        <v>2097</v>
      </c>
      <c r="E13" s="85">
        <v>2317</v>
      </c>
      <c r="F13" s="82">
        <v>2584</v>
      </c>
      <c r="G13" s="86">
        <v>2453</v>
      </c>
      <c r="H13" s="85">
        <v>2537</v>
      </c>
      <c r="I13"/>
      <c r="J13"/>
    </row>
    <row r="14" spans="1:10" ht="12.75" customHeight="1">
      <c r="A14" s="63">
        <f t="shared" si="0"/>
        <v>7</v>
      </c>
      <c r="B14" s="486" t="s">
        <v>158</v>
      </c>
      <c r="C14" s="85">
        <v>504</v>
      </c>
      <c r="D14" s="85">
        <v>751</v>
      </c>
      <c r="E14" s="85">
        <v>819</v>
      </c>
      <c r="F14" s="82">
        <v>781</v>
      </c>
      <c r="G14" s="86">
        <v>668</v>
      </c>
      <c r="H14" s="85">
        <v>637</v>
      </c>
      <c r="I14"/>
      <c r="J14"/>
    </row>
    <row r="15" spans="1:10" ht="12.75" customHeight="1">
      <c r="A15" s="63">
        <f t="shared" si="0"/>
        <v>8</v>
      </c>
      <c r="B15" s="84" t="s">
        <v>23</v>
      </c>
      <c r="C15" s="85">
        <v>-21</v>
      </c>
      <c r="D15" s="85">
        <v>-322</v>
      </c>
      <c r="E15" s="85">
        <v>-358</v>
      </c>
      <c r="F15" s="82">
        <v>-364</v>
      </c>
      <c r="G15" s="86">
        <v>-373</v>
      </c>
      <c r="H15" s="85">
        <v>-378</v>
      </c>
      <c r="I15"/>
      <c r="J15"/>
    </row>
    <row r="16" spans="1:10" ht="12.75" customHeight="1">
      <c r="A16" s="63">
        <f>A15+1</f>
        <v>9</v>
      </c>
      <c r="B16" s="127" t="s">
        <v>406</v>
      </c>
      <c r="C16" s="506">
        <v>1319</v>
      </c>
      <c r="D16" s="506">
        <v>0</v>
      </c>
      <c r="E16" s="506">
        <v>2946</v>
      </c>
      <c r="F16" s="504">
        <v>0</v>
      </c>
      <c r="G16" s="506">
        <v>0</v>
      </c>
      <c r="H16" s="506">
        <v>0</v>
      </c>
      <c r="I16"/>
      <c r="J16"/>
    </row>
    <row r="17" spans="1:13" ht="12.75" customHeight="1">
      <c r="A17" s="63">
        <f>A16+1</f>
        <v>10</v>
      </c>
      <c r="B17" s="505" t="s">
        <v>363</v>
      </c>
      <c r="C17" s="95">
        <v>64479</v>
      </c>
      <c r="D17" s="95">
        <v>66803</v>
      </c>
      <c r="E17" s="95">
        <v>70393.535000000003</v>
      </c>
      <c r="F17" s="96">
        <v>71169.707999999999</v>
      </c>
      <c r="G17" s="95">
        <v>72613.510999999999</v>
      </c>
      <c r="H17" s="95">
        <v>74175.935999999987</v>
      </c>
      <c r="I17"/>
      <c r="J17"/>
    </row>
    <row r="18" spans="1:13" ht="12.75" customHeight="1">
      <c r="A18" s="63">
        <f>A17+1</f>
        <v>11</v>
      </c>
      <c r="B18" s="84" t="s">
        <v>407</v>
      </c>
      <c r="C18" s="95">
        <v>0</v>
      </c>
      <c r="D18" s="95">
        <v>1500</v>
      </c>
      <c r="E18" s="95">
        <v>0</v>
      </c>
      <c r="F18" s="96">
        <v>2000</v>
      </c>
      <c r="G18" s="95">
        <v>2000</v>
      </c>
      <c r="H18" s="95">
        <v>2000</v>
      </c>
      <c r="I18"/>
      <c r="J18"/>
    </row>
    <row r="19" spans="1:13" ht="12.75" customHeight="1">
      <c r="A19" s="63">
        <f>A18+1</f>
        <v>12</v>
      </c>
      <c r="B19" s="50" t="s">
        <v>24</v>
      </c>
      <c r="C19" s="99">
        <v>64479</v>
      </c>
      <c r="D19" s="99">
        <v>68303</v>
      </c>
      <c r="E19" s="99">
        <v>70393.535000000003</v>
      </c>
      <c r="F19" s="100">
        <v>73169.707999999999</v>
      </c>
      <c r="G19" s="99">
        <v>74613.510999999999</v>
      </c>
      <c r="H19" s="99">
        <v>76175.935999999987</v>
      </c>
      <c r="I19"/>
      <c r="J19" s="36"/>
      <c r="K19" s="65"/>
    </row>
    <row r="20" spans="1:13" ht="3.75" customHeight="1">
      <c r="B20" s="97"/>
      <c r="C20" s="98"/>
      <c r="D20" s="98"/>
      <c r="E20" s="98"/>
      <c r="F20" s="96"/>
      <c r="G20" s="98"/>
      <c r="H20" s="98"/>
      <c r="I20"/>
      <c r="J20"/>
    </row>
    <row r="21" spans="1:13" ht="14.25" customHeight="1" thickBot="1">
      <c r="A21" s="102">
        <f>A19+1</f>
        <v>13</v>
      </c>
      <c r="B21" s="103" t="s">
        <v>37</v>
      </c>
      <c r="C21" s="104">
        <v>11641</v>
      </c>
      <c r="D21" s="104">
        <v>2350</v>
      </c>
      <c r="E21" s="104">
        <v>5234.2450000000099</v>
      </c>
      <c r="F21" s="105">
        <v>367.3920000000071</v>
      </c>
      <c r="G21" s="116">
        <v>1436.6889999999985</v>
      </c>
      <c r="H21" s="104">
        <v>2640.1540000000095</v>
      </c>
      <c r="I21"/>
      <c r="J21" s="36"/>
    </row>
    <row r="22" spans="1:13" ht="3.75" customHeight="1">
      <c r="B22" s="97"/>
      <c r="C22" s="106"/>
      <c r="F22" s="95"/>
      <c r="G22" s="98"/>
      <c r="H22" s="106"/>
    </row>
    <row r="23" spans="1:13" ht="15.75" customHeight="1">
      <c r="A23" s="107"/>
      <c r="B23" s="108" t="s">
        <v>45</v>
      </c>
      <c r="C23" s="109"/>
      <c r="D23" s="109"/>
      <c r="E23" s="109"/>
      <c r="F23" s="110"/>
      <c r="G23" s="573"/>
      <c r="H23" s="109"/>
    </row>
    <row r="24" spans="1:13" ht="3.75" customHeight="1">
      <c r="B24" s="111"/>
      <c r="C24" s="106"/>
      <c r="D24" s="98"/>
      <c r="E24" s="98"/>
      <c r="F24" s="96"/>
      <c r="G24" s="98"/>
      <c r="H24" s="106"/>
    </row>
    <row r="25" spans="1:13" ht="12.75" customHeight="1">
      <c r="A25" s="63">
        <f>A21+1</f>
        <v>14</v>
      </c>
      <c r="B25" s="84" t="s">
        <v>20</v>
      </c>
      <c r="C25" s="65">
        <v>1525</v>
      </c>
      <c r="D25" s="65">
        <v>2821</v>
      </c>
      <c r="E25" s="65">
        <v>2375.0589999999997</v>
      </c>
      <c r="F25" s="96">
        <v>3468.8009999999999</v>
      </c>
      <c r="G25" s="95">
        <v>3575.8999999999996</v>
      </c>
      <c r="H25" s="65">
        <v>3862.8240000000001</v>
      </c>
    </row>
    <row r="26" spans="1:13" ht="12.75" customHeight="1">
      <c r="A26" s="63">
        <f>A25+1</f>
        <v>15</v>
      </c>
      <c r="B26" s="112" t="s">
        <v>46</v>
      </c>
      <c r="C26" s="65">
        <v>4108</v>
      </c>
      <c r="D26" s="65">
        <v>5184</v>
      </c>
      <c r="E26" s="65">
        <v>4701.8999999999996</v>
      </c>
      <c r="F26" s="96">
        <v>4829.7309999999998</v>
      </c>
      <c r="G26" s="95">
        <v>4800.299</v>
      </c>
      <c r="H26" s="65">
        <v>4500.2730000000001</v>
      </c>
    </row>
    <row r="27" spans="1:13" ht="3.75" customHeight="1">
      <c r="B27" s="84"/>
      <c r="C27" s="113"/>
      <c r="D27" s="114"/>
      <c r="E27" s="114"/>
      <c r="F27" s="115"/>
      <c r="G27" s="114"/>
      <c r="H27" s="114"/>
    </row>
    <row r="28" spans="1:13" ht="14.25" customHeight="1" thickBot="1">
      <c r="A28" s="102">
        <f>A26+1</f>
        <v>16</v>
      </c>
      <c r="B28" s="103" t="s">
        <v>47</v>
      </c>
      <c r="C28" s="104">
        <v>5633</v>
      </c>
      <c r="D28" s="116">
        <v>8005</v>
      </c>
      <c r="E28" s="116">
        <v>7076.9589999999989</v>
      </c>
      <c r="F28" s="105">
        <v>8298.5319999999992</v>
      </c>
      <c r="G28" s="116">
        <v>8376.1990000000005</v>
      </c>
      <c r="H28" s="104">
        <v>8363.0969999999998</v>
      </c>
    </row>
    <row r="29" spans="1:13" ht="3.75" customHeight="1">
      <c r="B29" s="117"/>
      <c r="C29" s="118"/>
      <c r="D29" s="81"/>
      <c r="E29" s="81"/>
      <c r="F29" s="85"/>
      <c r="G29" s="86"/>
      <c r="H29" s="119"/>
    </row>
    <row r="30" spans="1:13" ht="15.75" customHeight="1">
      <c r="A30" s="107"/>
      <c r="B30" s="120" t="s">
        <v>48</v>
      </c>
      <c r="C30" s="592" t="s">
        <v>49</v>
      </c>
      <c r="D30" s="592"/>
      <c r="E30" s="592"/>
      <c r="F30" s="592"/>
      <c r="G30" s="592"/>
      <c r="H30" s="592"/>
    </row>
    <row r="31" spans="1:13" ht="3.75" customHeight="1">
      <c r="B31" s="122"/>
      <c r="C31" s="121"/>
      <c r="D31" s="123"/>
      <c r="E31" s="123"/>
      <c r="F31" s="121"/>
      <c r="G31" s="123"/>
      <c r="H31" s="121"/>
    </row>
    <row r="32" spans="1:13" ht="13.5" customHeight="1">
      <c r="A32" s="63">
        <f>A28+1</f>
        <v>17</v>
      </c>
      <c r="B32" s="50" t="s">
        <v>429</v>
      </c>
      <c r="C32" s="124">
        <v>8858</v>
      </c>
      <c r="D32" s="125">
        <v>3644</v>
      </c>
      <c r="E32" s="125">
        <v>5136</v>
      </c>
      <c r="F32" s="126">
        <v>3217.7271710780851</v>
      </c>
      <c r="G32" s="125">
        <v>0</v>
      </c>
      <c r="H32" s="125">
        <v>0</v>
      </c>
      <c r="M32" s="63" t="s">
        <v>184</v>
      </c>
    </row>
    <row r="33" spans="1:8" ht="13.5" customHeight="1">
      <c r="A33" s="63">
        <f>A32+1</f>
        <v>18</v>
      </c>
      <c r="B33" s="84" t="s">
        <v>430</v>
      </c>
      <c r="C33" s="118">
        <v>0</v>
      </c>
      <c r="D33" s="93">
        <v>0</v>
      </c>
      <c r="E33" s="93">
        <v>0</v>
      </c>
      <c r="F33" s="94">
        <v>-2000</v>
      </c>
      <c r="G33" s="93">
        <v>0</v>
      </c>
      <c r="H33" s="93">
        <v>0</v>
      </c>
    </row>
    <row r="34" spans="1:8" ht="13.5" customHeight="1">
      <c r="A34" s="63">
        <f>A33+1</f>
        <v>19</v>
      </c>
      <c r="B34" s="50" t="s">
        <v>25</v>
      </c>
      <c r="C34" s="118">
        <v>11641</v>
      </c>
      <c r="D34" s="93">
        <v>2350</v>
      </c>
      <c r="E34" s="93">
        <v>5234.2450000000099</v>
      </c>
      <c r="F34" s="94">
        <v>367.3920000000071</v>
      </c>
      <c r="G34" s="93">
        <v>1436.6889999999985</v>
      </c>
      <c r="H34" s="118">
        <v>2640.1540000000095</v>
      </c>
    </row>
    <row r="35" spans="1:8" ht="13.5" customHeight="1">
      <c r="B35" s="50" t="s">
        <v>448</v>
      </c>
      <c r="C35" s="118"/>
      <c r="D35" s="93"/>
      <c r="E35" s="93"/>
      <c r="F35" s="94"/>
      <c r="G35" s="93"/>
      <c r="H35" s="118"/>
    </row>
    <row r="36" spans="1:8" ht="13.5" customHeight="1">
      <c r="A36" s="63">
        <f>A34+1</f>
        <v>20</v>
      </c>
      <c r="B36" s="84" t="s">
        <v>404</v>
      </c>
      <c r="C36" s="118">
        <v>-1838</v>
      </c>
      <c r="D36" s="118">
        <v>-2725</v>
      </c>
      <c r="E36" s="118">
        <v>-2486.8936376277611</v>
      </c>
      <c r="F36" s="94">
        <v>-2099.9353801596603</v>
      </c>
      <c r="G36" s="93">
        <v>-2586.6815672137013</v>
      </c>
      <c r="H36" s="118">
        <v>-3280.7061047595466</v>
      </c>
    </row>
    <row r="37" spans="1:8" ht="13.5" customHeight="1">
      <c r="A37" s="63">
        <f>A34+1</f>
        <v>20</v>
      </c>
      <c r="B37" s="84" t="s">
        <v>50</v>
      </c>
      <c r="C37" s="118">
        <v>1975</v>
      </c>
      <c r="D37" s="118">
        <v>2080</v>
      </c>
      <c r="E37" s="118">
        <v>647.31197978392186</v>
      </c>
      <c r="F37" s="94">
        <v>278.97299957167138</v>
      </c>
      <c r="G37" s="93">
        <v>566.93111349380126</v>
      </c>
      <c r="H37" s="118">
        <v>301.35245178963419</v>
      </c>
    </row>
    <row r="38" spans="1:8" ht="13.5" customHeight="1">
      <c r="A38" s="63">
        <f>A37+1</f>
        <v>21</v>
      </c>
      <c r="B38" s="127" t="s">
        <v>51</v>
      </c>
      <c r="C38" s="118">
        <v>-2269</v>
      </c>
      <c r="D38" s="118">
        <v>-2464</v>
      </c>
      <c r="E38" s="118">
        <v>-2093.2090000000003</v>
      </c>
      <c r="F38" s="94">
        <v>-2257.1779999999999</v>
      </c>
      <c r="G38" s="93">
        <v>-2202.9880000000003</v>
      </c>
      <c r="H38" s="118">
        <v>-1877.04</v>
      </c>
    </row>
    <row r="39" spans="1:8" ht="13.5" customHeight="1">
      <c r="A39" s="63">
        <f>A38+1</f>
        <v>22</v>
      </c>
      <c r="B39" s="127" t="s">
        <v>412</v>
      </c>
      <c r="C39" s="503">
        <v>0</v>
      </c>
      <c r="D39" s="503">
        <v>0</v>
      </c>
      <c r="E39" s="503">
        <v>0</v>
      </c>
      <c r="F39" s="504">
        <v>100</v>
      </c>
      <c r="G39" s="506">
        <v>100</v>
      </c>
      <c r="H39" s="503">
        <v>100</v>
      </c>
    </row>
    <row r="40" spans="1:8" ht="23.1" customHeight="1">
      <c r="A40" s="63">
        <f>A39+1</f>
        <v>23</v>
      </c>
      <c r="B40" s="239" t="s">
        <v>411</v>
      </c>
      <c r="C40" s="118">
        <v>18367</v>
      </c>
      <c r="D40" s="118">
        <v>2885</v>
      </c>
      <c r="E40" s="118">
        <v>6437.4543421561702</v>
      </c>
      <c r="F40" s="94">
        <v>-2393.0212095098968</v>
      </c>
      <c r="G40" s="93">
        <v>-2686.049453719902</v>
      </c>
      <c r="H40" s="118">
        <v>-2117.2396529699026</v>
      </c>
    </row>
    <row r="41" spans="1:8" ht="13.5" customHeight="1">
      <c r="A41" s="63">
        <f t="shared" ref="A41:A43" si="1">A40+1</f>
        <v>24</v>
      </c>
      <c r="B41" s="127" t="s">
        <v>422</v>
      </c>
      <c r="C41" s="118">
        <v>-13231</v>
      </c>
      <c r="D41" s="118">
        <v>-1442</v>
      </c>
      <c r="E41" s="142">
        <v>-3218.7271710780851</v>
      </c>
      <c r="F41" s="158">
        <v>0</v>
      </c>
      <c r="G41" s="142">
        <v>0</v>
      </c>
      <c r="H41" s="377">
        <v>0</v>
      </c>
    </row>
    <row r="42" spans="1:8" ht="13.5" customHeight="1">
      <c r="A42" s="63">
        <f t="shared" si="1"/>
        <v>25</v>
      </c>
      <c r="B42" s="127" t="s">
        <v>423</v>
      </c>
      <c r="C42" s="142">
        <v>0</v>
      </c>
      <c r="D42" s="142">
        <v>-1443</v>
      </c>
      <c r="E42" s="142">
        <v>-3217.7271710780851</v>
      </c>
      <c r="F42" s="158">
        <v>0</v>
      </c>
      <c r="G42" s="142">
        <v>0</v>
      </c>
      <c r="H42" s="377">
        <v>0</v>
      </c>
    </row>
    <row r="43" spans="1:8" ht="13.5" customHeight="1">
      <c r="A43" s="63">
        <f t="shared" si="1"/>
        <v>26</v>
      </c>
      <c r="B43" s="127" t="s">
        <v>358</v>
      </c>
      <c r="C43" s="507">
        <v>0</v>
      </c>
      <c r="D43" s="507">
        <v>0</v>
      </c>
      <c r="E43" s="507">
        <v>0</v>
      </c>
      <c r="F43" s="508">
        <v>2393.0212095098968</v>
      </c>
      <c r="G43" s="507">
        <v>2686.049453719902</v>
      </c>
      <c r="H43" s="509">
        <v>2117.2396529699026</v>
      </c>
    </row>
    <row r="44" spans="1:8" ht="13.5" customHeight="1" thickBot="1">
      <c r="A44" s="63">
        <f t="shared" ref="A44" si="2">A42+1</f>
        <v>26</v>
      </c>
      <c r="B44" s="129" t="s">
        <v>52</v>
      </c>
      <c r="C44" s="104">
        <v>5136</v>
      </c>
      <c r="D44" s="104">
        <v>0</v>
      </c>
      <c r="E44" s="104">
        <v>0</v>
      </c>
      <c r="F44" s="105">
        <v>0</v>
      </c>
      <c r="G44" s="116">
        <v>0</v>
      </c>
      <c r="H44" s="104">
        <v>0</v>
      </c>
    </row>
    <row r="45" spans="1:8" ht="3.75" customHeight="1">
      <c r="B45"/>
      <c r="C45"/>
      <c r="D45"/>
      <c r="E45"/>
      <c r="F45"/>
      <c r="G45"/>
      <c r="H45"/>
    </row>
    <row r="46" spans="1:8" ht="15.75" customHeight="1">
      <c r="B46" s="130" t="s">
        <v>53</v>
      </c>
      <c r="C46" s="593" t="s">
        <v>49</v>
      </c>
      <c r="D46" s="593"/>
      <c r="E46" s="593"/>
      <c r="F46" s="593"/>
      <c r="G46" s="593"/>
      <c r="H46" s="593"/>
    </row>
    <row r="47" spans="1:8" ht="3.75" customHeight="1">
      <c r="A47" s="131"/>
      <c r="B47" s="132"/>
      <c r="C47" s="133"/>
      <c r="D47" s="133"/>
      <c r="E47" s="133"/>
      <c r="F47" s="134"/>
      <c r="G47" s="133"/>
      <c r="H47" s="133"/>
    </row>
    <row r="48" spans="1:8" ht="12.75" customHeight="1">
      <c r="B48" s="135" t="s">
        <v>54</v>
      </c>
      <c r="C48" s="136"/>
      <c r="D48" s="137"/>
      <c r="E48" s="137"/>
      <c r="F48" s="138"/>
      <c r="G48" s="139"/>
      <c r="H48" s="139"/>
    </row>
    <row r="49" spans="1:8" ht="12.75" customHeight="1">
      <c r="A49" s="63">
        <f>A44+1</f>
        <v>27</v>
      </c>
      <c r="B49" s="140" t="s">
        <v>55</v>
      </c>
      <c r="C49" s="141">
        <v>47529</v>
      </c>
      <c r="D49" s="142">
        <v>45525</v>
      </c>
      <c r="E49" s="142">
        <v>45525</v>
      </c>
      <c r="F49" s="143">
        <v>45512</v>
      </c>
      <c r="G49" s="141">
        <v>47818.021209509898</v>
      </c>
      <c r="H49" s="144">
        <v>50411.070663229802</v>
      </c>
    </row>
    <row r="50" spans="1:8" ht="12.75" customHeight="1">
      <c r="A50" s="63">
        <f>A49+1</f>
        <v>28</v>
      </c>
      <c r="B50" s="140" t="s">
        <v>56</v>
      </c>
      <c r="C50" s="145">
        <v>52</v>
      </c>
      <c r="D50" s="145">
        <v>64</v>
      </c>
      <c r="E50" s="145">
        <v>64</v>
      </c>
      <c r="F50" s="19">
        <v>1</v>
      </c>
      <c r="G50" s="18">
        <v>0</v>
      </c>
      <c r="H50" s="145">
        <v>0</v>
      </c>
    </row>
    <row r="51" spans="1:8" ht="12.75" customHeight="1">
      <c r="A51" s="63">
        <f>A50+1</f>
        <v>29</v>
      </c>
      <c r="B51" s="63" t="s">
        <v>354</v>
      </c>
      <c r="C51" s="145">
        <v>-89</v>
      </c>
      <c r="D51" s="145">
        <v>-92</v>
      </c>
      <c r="E51" s="145">
        <v>-92</v>
      </c>
      <c r="F51" s="19">
        <v>-98</v>
      </c>
      <c r="G51" s="18">
        <v>-103</v>
      </c>
      <c r="H51" s="145">
        <v>-108</v>
      </c>
    </row>
    <row r="52" spans="1:8" ht="12.75" customHeight="1">
      <c r="A52" s="63">
        <f>A51+1</f>
        <v>30</v>
      </c>
      <c r="B52" s="63" t="s">
        <v>355</v>
      </c>
      <c r="C52" s="141">
        <v>-1967</v>
      </c>
      <c r="D52" s="142">
        <v>15</v>
      </c>
      <c r="E52" s="142">
        <v>15</v>
      </c>
      <c r="F52" s="143">
        <v>2403.0212095098968</v>
      </c>
      <c r="G52" s="141">
        <v>2696.049453719902</v>
      </c>
      <c r="H52" s="144">
        <v>2127.2396529699026</v>
      </c>
    </row>
    <row r="53" spans="1:8" ht="12.75" customHeight="1">
      <c r="A53" s="63">
        <f>A52+1</f>
        <v>31</v>
      </c>
      <c r="B53" s="146" t="s">
        <v>57</v>
      </c>
      <c r="C53" s="147">
        <v>45525</v>
      </c>
      <c r="D53" s="147">
        <v>45512</v>
      </c>
      <c r="E53" s="147">
        <v>45512</v>
      </c>
      <c r="F53" s="148">
        <v>47818.021209509898</v>
      </c>
      <c r="G53" s="147">
        <v>50411.070663229802</v>
      </c>
      <c r="H53" s="149">
        <v>52429.810316199706</v>
      </c>
    </row>
    <row r="54" spans="1:8" ht="12.75" customHeight="1">
      <c r="B54" s="135" t="s">
        <v>356</v>
      </c>
      <c r="C54" s="150"/>
      <c r="D54" s="151"/>
      <c r="E54" s="151"/>
      <c r="F54" s="152"/>
      <c r="G54" s="150"/>
      <c r="H54" s="150"/>
    </row>
    <row r="55" spans="1:8" ht="12.75" customHeight="1">
      <c r="A55" s="63">
        <f>A53+1</f>
        <v>32</v>
      </c>
      <c r="B55" s="140" t="s">
        <v>55</v>
      </c>
      <c r="C55" s="144">
        <v>45595</v>
      </c>
      <c r="D55" s="142">
        <v>33763</v>
      </c>
      <c r="E55" s="142">
        <v>33763</v>
      </c>
      <c r="F55" s="153">
        <v>30554.272828921916</v>
      </c>
      <c r="G55" s="154">
        <v>30560.272828921916</v>
      </c>
      <c r="H55" s="154">
        <v>30566.272828921916</v>
      </c>
    </row>
    <row r="56" spans="1:8" ht="12.75" customHeight="1">
      <c r="A56" s="63">
        <f>A55+1</f>
        <v>33</v>
      </c>
      <c r="B56" s="63" t="s">
        <v>355</v>
      </c>
      <c r="C56" s="155">
        <v>-11832</v>
      </c>
      <c r="D56" s="155">
        <v>-1432</v>
      </c>
      <c r="E56" s="155">
        <v>-3208.7271710780851</v>
      </c>
      <c r="F56" s="156">
        <v>6</v>
      </c>
      <c r="G56" s="216">
        <v>6</v>
      </c>
      <c r="H56" s="155">
        <v>6</v>
      </c>
    </row>
    <row r="57" spans="1:8" ht="12.75" customHeight="1">
      <c r="A57" s="63">
        <f>A56+1</f>
        <v>34</v>
      </c>
      <c r="B57" s="146" t="s">
        <v>58</v>
      </c>
      <c r="C57" s="147">
        <v>33763</v>
      </c>
      <c r="D57" s="147">
        <v>32331</v>
      </c>
      <c r="E57" s="147">
        <v>30554.272828921916</v>
      </c>
      <c r="F57" s="148">
        <v>30560.272828921916</v>
      </c>
      <c r="G57" s="147">
        <v>30566.272828921916</v>
      </c>
      <c r="H57" s="147">
        <v>30572.272828921916</v>
      </c>
    </row>
    <row r="58" spans="1:8" ht="3.75" customHeight="1">
      <c r="A58" s="157"/>
      <c r="B58" s="135"/>
      <c r="C58" s="137"/>
      <c r="D58" s="36"/>
      <c r="E58" s="36"/>
      <c r="F58" s="158"/>
      <c r="G58" s="137"/>
      <c r="H58" s="159"/>
    </row>
    <row r="59" spans="1:8" ht="12.75" customHeight="1" thickBot="1">
      <c r="A59" s="102">
        <f>A57+1</f>
        <v>35</v>
      </c>
      <c r="B59" s="160" t="s">
        <v>357</v>
      </c>
      <c r="C59" s="161">
        <v>79288</v>
      </c>
      <c r="D59" s="162">
        <v>77843</v>
      </c>
      <c r="E59" s="162">
        <v>76066.272828921909</v>
      </c>
      <c r="F59" s="163">
        <v>78378.294038431806</v>
      </c>
      <c r="G59" s="162">
        <v>80977.343492151718</v>
      </c>
      <c r="H59" s="161">
        <v>83002.083145121622</v>
      </c>
    </row>
    <row r="60" spans="1:8" ht="12.75" customHeight="1"/>
    <row r="61" spans="1:8" ht="12.75" customHeight="1">
      <c r="A61"/>
      <c r="B61"/>
      <c r="C61"/>
      <c r="D61"/>
      <c r="E61"/>
      <c r="F61"/>
      <c r="G61"/>
      <c r="H61"/>
    </row>
    <row r="62" spans="1:8" ht="3.75" customHeight="1">
      <c r="A62"/>
      <c r="B62"/>
      <c r="C62"/>
      <c r="D62"/>
      <c r="E62"/>
      <c r="F62"/>
      <c r="G62"/>
      <c r="H62"/>
    </row>
    <row r="63" spans="1:8" ht="12.75" customHeight="1">
      <c r="A63"/>
      <c r="B63"/>
      <c r="C63"/>
      <c r="D63"/>
      <c r="E63"/>
      <c r="F63"/>
      <c r="G63"/>
      <c r="H63"/>
    </row>
    <row r="64" spans="1:8" ht="12.75" customHeight="1" thickBot="1">
      <c r="A64" s="165">
        <f>A59+1</f>
        <v>36</v>
      </c>
      <c r="B64" s="166" t="s">
        <v>59</v>
      </c>
      <c r="C64" s="167">
        <v>0.17262791204006095</v>
      </c>
      <c r="D64" s="524">
        <v>0.21593065187239943</v>
      </c>
      <c r="E64" s="524">
        <v>0.17264247124131163</v>
      </c>
      <c r="F64" s="525">
        <v>0.17184453856266566</v>
      </c>
      <c r="G64" s="524">
        <v>0.16734313596228914</v>
      </c>
      <c r="H64" s="524">
        <v>0.16252610758786298</v>
      </c>
    </row>
    <row r="65" spans="1:11" ht="12.75" customHeight="1">
      <c r="A65"/>
      <c r="B65"/>
      <c r="C65"/>
      <c r="D65"/>
      <c r="E65"/>
      <c r="F65"/>
      <c r="G65"/>
      <c r="H65"/>
    </row>
    <row r="66" spans="1:11" ht="12.75" customHeight="1">
      <c r="A66"/>
      <c r="B66"/>
      <c r="C66"/>
      <c r="D66"/>
      <c r="E66"/>
      <c r="F66"/>
      <c r="G66"/>
      <c r="H66"/>
    </row>
    <row r="67" spans="1:11" ht="12.75" customHeight="1">
      <c r="A67"/>
      <c r="B67"/>
      <c r="C67"/>
      <c r="D67"/>
      <c r="E67"/>
      <c r="F67"/>
      <c r="G67"/>
      <c r="H67"/>
      <c r="I67" s="266"/>
      <c r="J67" s="266"/>
      <c r="K67" s="266"/>
    </row>
    <row r="68" spans="1:11" ht="12.75" customHeight="1">
      <c r="A68"/>
      <c r="B68"/>
      <c r="C68"/>
      <c r="D68" s="98"/>
      <c r="E68" s="36"/>
      <c r="F68" s="36"/>
      <c r="G68" s="36"/>
      <c r="H68" s="36"/>
      <c r="I68" s="266"/>
      <c r="J68" s="266"/>
      <c r="K68" s="266"/>
    </row>
    <row r="69" spans="1:11" ht="12.75" customHeight="1">
      <c r="A69"/>
      <c r="B69"/>
      <c r="C69"/>
      <c r="D69"/>
      <c r="E69"/>
      <c r="F69"/>
      <c r="G69"/>
      <c r="H69"/>
      <c r="I69" s="266"/>
      <c r="J69" s="266"/>
      <c r="K69" s="266"/>
    </row>
    <row r="70" spans="1:11" ht="12.75" customHeight="1">
      <c r="A70"/>
      <c r="B70"/>
      <c r="C70"/>
      <c r="D70"/>
      <c r="E70"/>
      <c r="F70"/>
      <c r="G70"/>
      <c r="H70"/>
      <c r="I70" s="266"/>
      <c r="J70" s="266"/>
      <c r="K70" s="266"/>
    </row>
    <row r="71" spans="1:11" ht="12.75" customHeight="1">
      <c r="A71"/>
      <c r="B71"/>
      <c r="C71"/>
      <c r="D71"/>
      <c r="E71"/>
      <c r="F71"/>
      <c r="G71"/>
      <c r="H71"/>
      <c r="I71" s="266"/>
      <c r="J71" s="266"/>
      <c r="K71" s="266"/>
    </row>
    <row r="72" spans="1:11" ht="3.75" customHeight="1">
      <c r="A72"/>
      <c r="B72"/>
      <c r="C72"/>
      <c r="D72"/>
      <c r="E72"/>
      <c r="F72"/>
      <c r="G72"/>
      <c r="H72"/>
      <c r="I72" s="266"/>
      <c r="J72" s="266"/>
      <c r="K72" s="266"/>
    </row>
    <row r="73" spans="1:11" ht="12.75" customHeight="1">
      <c r="A73"/>
      <c r="B73"/>
      <c r="C73"/>
      <c r="D73"/>
      <c r="E73"/>
      <c r="F73"/>
      <c r="G73"/>
      <c r="H73"/>
      <c r="I73" s="266"/>
      <c r="J73" s="266"/>
      <c r="K73" s="266"/>
    </row>
    <row r="74" spans="1:11" ht="12.75" customHeight="1">
      <c r="A74"/>
      <c r="B74"/>
      <c r="C74"/>
      <c r="D74"/>
      <c r="E74"/>
      <c r="F74"/>
      <c r="G74"/>
      <c r="H74"/>
      <c r="I74" s="266"/>
      <c r="J74" s="266"/>
      <c r="K74" s="266"/>
    </row>
    <row r="75" spans="1:11" ht="12.75" customHeight="1">
      <c r="A75"/>
      <c r="B75"/>
      <c r="C75"/>
      <c r="D75"/>
      <c r="E75"/>
      <c r="F75"/>
      <c r="G75"/>
      <c r="H75"/>
    </row>
    <row r="76" spans="1:11" ht="12.75" customHeight="1">
      <c r="A76"/>
      <c r="B76"/>
      <c r="C76"/>
      <c r="D76"/>
      <c r="E76"/>
      <c r="F76"/>
      <c r="G76"/>
      <c r="H76"/>
    </row>
    <row r="77" spans="1:11" ht="12.75" customHeight="1">
      <c r="A77"/>
      <c r="B77"/>
      <c r="C77"/>
      <c r="D77"/>
      <c r="E77"/>
      <c r="F77"/>
      <c r="G77"/>
      <c r="H77"/>
    </row>
    <row r="78" spans="1:11" ht="12.75" customHeight="1">
      <c r="A78"/>
      <c r="B78"/>
      <c r="C78"/>
      <c r="D78"/>
      <c r="E78"/>
      <c r="F78"/>
      <c r="G78"/>
      <c r="H78"/>
    </row>
    <row r="79" spans="1:11" ht="12.75" customHeight="1">
      <c r="A79"/>
      <c r="B79"/>
      <c r="C79"/>
      <c r="D79"/>
      <c r="E79"/>
      <c r="F79"/>
      <c r="G79"/>
      <c r="H79"/>
    </row>
    <row r="80" spans="1:11" ht="3.75" customHeight="1">
      <c r="A80"/>
      <c r="B80"/>
      <c r="C80"/>
      <c r="D80"/>
      <c r="E80"/>
      <c r="F80"/>
      <c r="G80"/>
      <c r="H80"/>
    </row>
    <row r="81" spans="1:8" ht="12.75" customHeight="1">
      <c r="A81"/>
      <c r="B81"/>
      <c r="C81"/>
      <c r="D81"/>
      <c r="E81"/>
      <c r="F81"/>
      <c r="G81"/>
      <c r="H81"/>
    </row>
    <row r="82" spans="1:8" ht="3.75" customHeight="1">
      <c r="A82"/>
      <c r="B82"/>
      <c r="C82"/>
      <c r="D82"/>
      <c r="E82"/>
      <c r="F82"/>
      <c r="G82"/>
      <c r="H82"/>
    </row>
    <row r="83" spans="1:8" ht="12.75" customHeight="1">
      <c r="A83"/>
      <c r="B83"/>
      <c r="C83"/>
      <c r="D83"/>
      <c r="E83"/>
      <c r="F83"/>
      <c r="G83"/>
      <c r="H83"/>
    </row>
    <row r="84" spans="1:8" ht="12.75" customHeight="1">
      <c r="A84"/>
      <c r="B84"/>
      <c r="C84"/>
      <c r="D84"/>
      <c r="E84"/>
      <c r="F84"/>
      <c r="G84"/>
      <c r="H84"/>
    </row>
    <row r="85" spans="1:8" ht="12.75" customHeight="1">
      <c r="A85"/>
      <c r="B85"/>
      <c r="C85"/>
      <c r="D85"/>
      <c r="E85"/>
      <c r="F85"/>
      <c r="G85"/>
      <c r="H85"/>
    </row>
    <row r="86" spans="1:8" ht="3.75" customHeight="1">
      <c r="A86"/>
      <c r="B86"/>
      <c r="C86"/>
      <c r="D86"/>
      <c r="E86"/>
      <c r="F86"/>
      <c r="G86"/>
      <c r="H86"/>
    </row>
    <row r="87" spans="1:8" ht="12.75" customHeight="1">
      <c r="A87"/>
      <c r="B87"/>
      <c r="C87"/>
      <c r="D87"/>
      <c r="E87"/>
      <c r="F87"/>
      <c r="G87"/>
      <c r="H87"/>
    </row>
    <row r="88" spans="1:8" ht="12.75" customHeight="1">
      <c r="A88"/>
      <c r="B88"/>
      <c r="C88"/>
      <c r="D88"/>
      <c r="E88"/>
      <c r="F88"/>
      <c r="G88"/>
      <c r="H88"/>
    </row>
    <row r="89" spans="1:8" ht="12.75" customHeight="1">
      <c r="A89"/>
      <c r="B89"/>
      <c r="C89"/>
      <c r="D89"/>
      <c r="E89"/>
      <c r="F89"/>
      <c r="G89"/>
      <c r="H89"/>
    </row>
    <row r="90" spans="1:8" ht="12.75" customHeight="1">
      <c r="A90"/>
      <c r="B90"/>
      <c r="C90"/>
      <c r="D90"/>
      <c r="E90"/>
      <c r="F90"/>
      <c r="G90"/>
      <c r="H90"/>
    </row>
    <row r="91" spans="1:8" ht="3.75" customHeight="1">
      <c r="A91"/>
      <c r="B91"/>
      <c r="C91"/>
      <c r="D91"/>
      <c r="E91"/>
      <c r="F91"/>
      <c r="G91"/>
      <c r="H91"/>
    </row>
    <row r="92" spans="1:8" ht="12.75" customHeight="1">
      <c r="A92"/>
      <c r="B92"/>
      <c r="C92"/>
      <c r="D92"/>
      <c r="E92"/>
      <c r="F92"/>
      <c r="G92"/>
      <c r="H92"/>
    </row>
    <row r="93" spans="1:8" ht="12.75" customHeight="1">
      <c r="A93"/>
      <c r="B93"/>
      <c r="C93"/>
      <c r="D93"/>
      <c r="E93"/>
      <c r="F93"/>
      <c r="G93"/>
      <c r="H93"/>
    </row>
    <row r="94" spans="1:8" ht="12.75" customHeight="1">
      <c r="A94"/>
      <c r="B94"/>
      <c r="C94"/>
      <c r="D94"/>
      <c r="E94"/>
      <c r="F94"/>
      <c r="G94"/>
      <c r="H94"/>
    </row>
    <row r="95" spans="1:8" ht="12.75" customHeight="1">
      <c r="A95"/>
      <c r="B95"/>
      <c r="C95"/>
      <c r="D95"/>
      <c r="E95"/>
      <c r="F95"/>
      <c r="G95"/>
      <c r="H95"/>
    </row>
    <row r="96" spans="1:8" ht="12">
      <c r="A96"/>
      <c r="B96"/>
      <c r="C96"/>
      <c r="D96"/>
      <c r="E96"/>
      <c r="F96"/>
      <c r="G96"/>
      <c r="H96"/>
    </row>
    <row r="97" spans="1:8" ht="12.75" customHeight="1">
      <c r="A97"/>
      <c r="B97"/>
      <c r="C97"/>
      <c r="D97"/>
      <c r="E97"/>
      <c r="F97"/>
      <c r="G97"/>
      <c r="H97"/>
    </row>
    <row r="98" spans="1:8" ht="12.75" customHeight="1">
      <c r="A98"/>
      <c r="B98"/>
      <c r="C98"/>
      <c r="D98"/>
      <c r="E98"/>
      <c r="F98"/>
      <c r="G98"/>
      <c r="H98"/>
    </row>
    <row r="99" spans="1:8" ht="12.75" customHeight="1">
      <c r="A99"/>
      <c r="B99"/>
      <c r="C99"/>
      <c r="D99"/>
      <c r="E99"/>
      <c r="F99"/>
      <c r="G99"/>
      <c r="H99"/>
    </row>
    <row r="100" spans="1:8" ht="3.75" customHeight="1">
      <c r="A100"/>
      <c r="B100"/>
      <c r="C100"/>
      <c r="D100"/>
      <c r="E100"/>
      <c r="F100"/>
      <c r="G100"/>
      <c r="H100"/>
    </row>
    <row r="101" spans="1:8" ht="12.75" customHeight="1">
      <c r="A101"/>
      <c r="B101"/>
      <c r="C101"/>
      <c r="D101"/>
      <c r="E101"/>
      <c r="F101"/>
      <c r="G101"/>
      <c r="H101"/>
    </row>
    <row r="102" spans="1:8" ht="3.75" customHeight="1">
      <c r="A102"/>
      <c r="B102"/>
      <c r="C102"/>
      <c r="D102"/>
      <c r="E102"/>
      <c r="F102"/>
      <c r="G102"/>
      <c r="H102"/>
    </row>
    <row r="103" spans="1:8" ht="12.75" customHeight="1">
      <c r="A103"/>
      <c r="B103"/>
      <c r="C103"/>
      <c r="D103"/>
      <c r="E103"/>
      <c r="F103"/>
      <c r="G103"/>
      <c r="H103"/>
    </row>
    <row r="104" spans="1:8" ht="3.75" customHeight="1">
      <c r="A104"/>
      <c r="B104"/>
      <c r="C104"/>
      <c r="D104"/>
      <c r="E104"/>
      <c r="F104"/>
      <c r="G104"/>
      <c r="H104"/>
    </row>
    <row r="105" spans="1:8" ht="12.75" customHeight="1">
      <c r="A105"/>
      <c r="B105"/>
      <c r="C105"/>
      <c r="D105"/>
      <c r="E105"/>
      <c r="F105"/>
      <c r="G105"/>
      <c r="H105"/>
    </row>
    <row r="106" spans="1:8" ht="12.75" customHeight="1">
      <c r="A106"/>
      <c r="B106"/>
      <c r="C106"/>
      <c r="D106"/>
      <c r="E106"/>
      <c r="F106"/>
      <c r="G106"/>
      <c r="H106"/>
    </row>
    <row r="107" spans="1:8" ht="12.75" customHeight="1">
      <c r="A107"/>
      <c r="B107"/>
      <c r="C107"/>
      <c r="D107"/>
      <c r="E107"/>
      <c r="F107"/>
      <c r="G107"/>
      <c r="H107"/>
    </row>
    <row r="108" spans="1:8" ht="12.75" customHeight="1">
      <c r="A108"/>
      <c r="B108"/>
      <c r="C108"/>
      <c r="D108"/>
      <c r="E108"/>
      <c r="F108"/>
      <c r="G108"/>
      <c r="H108"/>
    </row>
    <row r="109" spans="1:8" ht="12.75" customHeight="1">
      <c r="A109"/>
      <c r="B109"/>
      <c r="C109"/>
      <c r="D109"/>
      <c r="E109"/>
      <c r="F109"/>
      <c r="G109"/>
      <c r="H109"/>
    </row>
    <row r="110" spans="1:8" ht="12.75" customHeight="1">
      <c r="A110"/>
      <c r="B110"/>
      <c r="C110"/>
      <c r="D110"/>
      <c r="E110"/>
      <c r="F110"/>
      <c r="G110"/>
      <c r="H110"/>
    </row>
    <row r="111" spans="1:8" ht="15.75" customHeight="1">
      <c r="A111"/>
      <c r="B111"/>
      <c r="C111"/>
      <c r="D111"/>
      <c r="E111"/>
      <c r="F111"/>
      <c r="G111"/>
      <c r="H111"/>
    </row>
    <row r="112" spans="1:8" ht="3.75" customHeight="1">
      <c r="A112"/>
      <c r="B112"/>
      <c r="C112"/>
      <c r="D112"/>
      <c r="E112"/>
      <c r="F112"/>
      <c r="G112"/>
      <c r="H112"/>
    </row>
    <row r="113" spans="1:8" ht="15" customHeight="1">
      <c r="A113"/>
      <c r="B113"/>
      <c r="C113"/>
      <c r="D113"/>
      <c r="E113"/>
      <c r="F113"/>
      <c r="G113"/>
      <c r="H113"/>
    </row>
    <row r="114" spans="1:8" ht="12.75" customHeight="1">
      <c r="A114"/>
      <c r="B114"/>
      <c r="C114"/>
      <c r="D114"/>
      <c r="E114"/>
      <c r="F114"/>
      <c r="G114"/>
      <c r="H114"/>
    </row>
    <row r="115" spans="1:8" ht="12.75" customHeight="1">
      <c r="A115"/>
      <c r="B115"/>
      <c r="C115"/>
      <c r="D115"/>
      <c r="E115"/>
      <c r="F115"/>
      <c r="G115"/>
      <c r="H115"/>
    </row>
    <row r="116" spans="1:8" ht="3.75" customHeight="1">
      <c r="B116" s="168"/>
      <c r="C116" s="118"/>
      <c r="D116" s="81"/>
      <c r="E116" s="81"/>
      <c r="F116" s="85"/>
      <c r="G116" s="86"/>
    </row>
    <row r="117" spans="1:8" ht="3.75" customHeight="1">
      <c r="B117" s="168"/>
      <c r="C117" s="118"/>
      <c r="D117" s="81"/>
      <c r="E117" s="81"/>
      <c r="F117" s="85"/>
      <c r="G117" s="86"/>
    </row>
    <row r="118" spans="1:8" ht="12.75" customHeight="1">
      <c r="B118" s="168"/>
      <c r="C118" s="118"/>
      <c r="D118" s="81"/>
      <c r="E118" s="81"/>
      <c r="F118" s="85"/>
      <c r="G118" s="86"/>
    </row>
    <row r="119" spans="1:8" ht="12.75" customHeight="1">
      <c r="B119" s="168"/>
      <c r="C119" s="118"/>
      <c r="D119" s="81"/>
      <c r="E119" s="81"/>
      <c r="F119" s="85"/>
      <c r="G119" s="86"/>
    </row>
    <row r="120" spans="1:8" ht="12.75" customHeight="1">
      <c r="B120" s="168"/>
      <c r="C120" s="118"/>
      <c r="D120" s="81"/>
      <c r="E120" s="81"/>
      <c r="F120" s="85"/>
      <c r="G120" s="86"/>
    </row>
    <row r="121" spans="1:8" ht="12.75" customHeight="1">
      <c r="B121" s="168"/>
      <c r="C121" s="118"/>
      <c r="D121" s="81"/>
      <c r="E121" s="81"/>
      <c r="F121" s="85"/>
      <c r="G121" s="86"/>
    </row>
    <row r="122" spans="1:8" ht="12.75" customHeight="1">
      <c r="B122" s="168"/>
      <c r="C122" s="118"/>
      <c r="D122" s="81"/>
      <c r="E122" s="81"/>
      <c r="F122" s="85"/>
      <c r="G122" s="86"/>
    </row>
    <row r="123" spans="1:8" ht="3.75" customHeight="1">
      <c r="B123" s="168"/>
      <c r="C123" s="118"/>
      <c r="D123" s="81"/>
      <c r="E123" s="81"/>
      <c r="F123" s="85"/>
      <c r="G123" s="86"/>
    </row>
    <row r="124" spans="1:8" customFormat="1" ht="12.75" customHeight="1"/>
    <row r="125" spans="1:8" customFormat="1" ht="3.75" customHeight="1"/>
    <row r="126" spans="1:8" customFormat="1" ht="12.75" customHeight="1"/>
    <row r="127" spans="1:8" customFormat="1" ht="3.75" customHeight="1"/>
    <row r="128" spans="1: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7.5" customHeight="1"/>
    <row r="135" customFormat="1" ht="12.75" customHeight="1"/>
    <row r="136" customFormat="1" ht="3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3.75" customHeight="1"/>
    <row r="145" customFormat="1" ht="12.75" customHeight="1"/>
    <row r="146" customFormat="1" ht="12"/>
    <row r="147" customFormat="1" ht="12" customHeight="1"/>
    <row r="148" customFormat="1" ht="7.5" customHeight="1"/>
    <row r="149" customFormat="1" ht="12.75" customHeight="1"/>
    <row r="150" customFormat="1" ht="12.75" customHeight="1"/>
    <row r="151" customFormat="1" ht="13.5" customHeight="1"/>
    <row r="152" customFormat="1" ht="3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"/>
    <row r="176" customFormat="1" ht="3.75" customHeight="1"/>
    <row r="177" spans="1:8" customFormat="1" ht="12"/>
    <row r="178" spans="1:8" customFormat="1" ht="12"/>
    <row r="179" spans="1:8" ht="3.75" customHeight="1"/>
    <row r="181" spans="1:8" s="164" customFormat="1" ht="12.75" customHeight="1">
      <c r="A181" s="169"/>
      <c r="C181" s="65"/>
      <c r="D181" s="106"/>
      <c r="E181" s="106"/>
      <c r="F181" s="65"/>
      <c r="G181" s="95"/>
      <c r="H181" s="63"/>
    </row>
    <row r="182" spans="1:8" s="164" customFormat="1">
      <c r="A182" s="169"/>
      <c r="C182" s="65"/>
      <c r="D182" s="106"/>
      <c r="E182" s="106"/>
      <c r="F182" s="65"/>
      <c r="G182" s="95"/>
      <c r="H182" s="63"/>
    </row>
  </sheetData>
  <mergeCells count="4">
    <mergeCell ref="B4:B5"/>
    <mergeCell ref="D4:E4"/>
    <mergeCell ref="C30:H30"/>
    <mergeCell ref="C46:H46"/>
  </mergeCells>
  <pageMargins left="0.74803149606299213" right="0.74803149606299213" top="0.74803149606299213" bottom="0.74803149606299213" header="0.31496062992125984" footer="0.31496062992125984"/>
  <pageSetup scale="99" orientation="portrait" r:id="rId1"/>
  <headerFooter alignWithMargins="0">
    <oddFooter>&amp;L&amp;"Calibri,Regular"&amp;1&amp;K000000#&amp;11Classification: Protected A_x000D_&amp;1#&amp;"Calibri"&amp;11&amp;K000000 Classification: Public</oddFooter>
  </headerFooter>
  <rowBreaks count="1" manualBreakCount="1">
    <brk id="14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  <pageSetUpPr fitToPage="1"/>
  </sheetPr>
  <dimension ref="A1:F5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9" defaultRowHeight="11.25"/>
  <cols>
    <col min="1" max="1" width="58.5703125" style="41" customWidth="1"/>
    <col min="2" max="2" width="8" style="38" customWidth="1"/>
    <col min="3" max="4" width="8.42578125" style="39" customWidth="1"/>
    <col min="5" max="6" width="8.42578125" style="40" customWidth="1"/>
    <col min="7" max="16384" width="9" style="40"/>
  </cols>
  <sheetData>
    <row r="1" spans="1:6" ht="15.75">
      <c r="A1" s="37" t="s">
        <v>441</v>
      </c>
    </row>
    <row r="2" spans="1:6">
      <c r="A2" s="4" t="s">
        <v>1</v>
      </c>
    </row>
    <row r="3" spans="1:6" ht="4.5" customHeight="1">
      <c r="A3" s="4"/>
    </row>
    <row r="4" spans="1:6" s="170" customFormat="1" ht="12.75" customHeight="1">
      <c r="A4" s="41"/>
      <c r="B4" s="589" t="s">
        <v>27</v>
      </c>
      <c r="C4" s="589"/>
      <c r="D4" s="589"/>
      <c r="E4" s="589"/>
      <c r="F4" s="589"/>
    </row>
    <row r="5" spans="1:6" s="170" customFormat="1" ht="12.75" customHeight="1">
      <c r="A5" s="42"/>
      <c r="B5" s="43" t="s">
        <v>28</v>
      </c>
      <c r="C5" s="44" t="s">
        <v>29</v>
      </c>
      <c r="D5" s="45" t="s">
        <v>322</v>
      </c>
      <c r="E5" s="44" t="s">
        <v>337</v>
      </c>
      <c r="F5" s="44" t="s">
        <v>393</v>
      </c>
    </row>
    <row r="6" spans="1:6" s="170" customFormat="1" ht="12.75" customHeight="1">
      <c r="A6" s="9"/>
      <c r="B6" s="11" t="s">
        <v>7</v>
      </c>
      <c r="C6" s="11" t="s">
        <v>9</v>
      </c>
      <c r="D6" s="12" t="s">
        <v>10</v>
      </c>
      <c r="E6" s="11" t="s">
        <v>11</v>
      </c>
      <c r="F6" s="11" t="s">
        <v>11</v>
      </c>
    </row>
    <row r="7" spans="1:6" s="172" customFormat="1" ht="18" customHeight="1">
      <c r="A7" s="50" t="s">
        <v>30</v>
      </c>
      <c r="B7" s="48"/>
      <c r="C7" s="171"/>
      <c r="D7" s="49"/>
      <c r="E7"/>
      <c r="F7"/>
    </row>
    <row r="8" spans="1:6" s="172" customFormat="1" ht="13.5" customHeight="1">
      <c r="A8" s="127" t="s">
        <v>60</v>
      </c>
      <c r="B8" s="48">
        <v>18980</v>
      </c>
      <c r="C8" s="171">
        <v>20901.404021225509</v>
      </c>
      <c r="D8" s="49">
        <v>23808.174925572643</v>
      </c>
      <c r="E8" s="171">
        <v>25028.453761744338</v>
      </c>
      <c r="F8" s="171">
        <v>26502.733210024606</v>
      </c>
    </row>
    <row r="9" spans="1:6" s="172" customFormat="1" ht="13.5" customHeight="1">
      <c r="A9" s="127" t="s">
        <v>61</v>
      </c>
      <c r="B9" s="48"/>
      <c r="C9" s="171"/>
      <c r="D9" s="49"/>
      <c r="E9" s="171"/>
      <c r="F9" s="171"/>
    </row>
    <row r="10" spans="1:6" s="172" customFormat="1" ht="13.5" customHeight="1">
      <c r="A10" s="174" t="s">
        <v>62</v>
      </c>
      <c r="B10" s="48">
        <v>2027</v>
      </c>
      <c r="C10" s="171">
        <v>2254.3054581884712</v>
      </c>
      <c r="D10" s="49">
        <v>2372.99794530385</v>
      </c>
      <c r="E10" s="171">
        <v>2516.2168101815832</v>
      </c>
      <c r="F10" s="171">
        <v>2684.7204453884583</v>
      </c>
    </row>
    <row r="11" spans="1:6" s="172" customFormat="1" ht="13.5" customHeight="1">
      <c r="A11" s="174" t="s">
        <v>63</v>
      </c>
      <c r="B11" s="48">
        <v>1201</v>
      </c>
      <c r="C11" s="171">
        <v>1327.7647045016702</v>
      </c>
      <c r="D11" s="49">
        <v>1390.081219106555</v>
      </c>
      <c r="E11" s="171">
        <v>1470.2709004248795</v>
      </c>
      <c r="F11" s="171">
        <v>1565.158826583249</v>
      </c>
    </row>
    <row r="12" spans="1:6" s="172" customFormat="1" ht="13.5" customHeight="1">
      <c r="A12" s="174" t="s">
        <v>64</v>
      </c>
      <c r="B12" s="48">
        <v>1376</v>
      </c>
      <c r="C12" s="171">
        <v>1514.8824537121104</v>
      </c>
      <c r="D12" s="49">
        <v>1587.1899278043736</v>
      </c>
      <c r="E12" s="171">
        <v>1677.3661126503189</v>
      </c>
      <c r="F12" s="171">
        <v>1783.8042077643543</v>
      </c>
    </row>
    <row r="13" spans="1:6" s="172" customFormat="1" ht="13.5" customHeight="1">
      <c r="A13" s="127" t="s">
        <v>65</v>
      </c>
      <c r="B13" s="48">
        <v>336</v>
      </c>
      <c r="C13" s="171">
        <v>332</v>
      </c>
      <c r="D13" s="49">
        <v>328</v>
      </c>
      <c r="E13" s="171">
        <v>324</v>
      </c>
      <c r="F13" s="171">
        <v>320</v>
      </c>
    </row>
    <row r="14" spans="1:6" s="172" customFormat="1" ht="13.5" customHeight="1">
      <c r="A14" s="127" t="s">
        <v>413</v>
      </c>
      <c r="B14" s="171">
        <v>5136</v>
      </c>
      <c r="C14" s="171">
        <v>0</v>
      </c>
      <c r="D14" s="49">
        <v>0</v>
      </c>
      <c r="E14" s="48">
        <v>0</v>
      </c>
      <c r="F14" s="48">
        <v>0</v>
      </c>
    </row>
    <row r="15" spans="1:6" s="172" customFormat="1" ht="13.5" customHeight="1">
      <c r="A15" s="127" t="s">
        <v>447</v>
      </c>
      <c r="B15" s="171">
        <v>0</v>
      </c>
      <c r="C15" s="171">
        <v>5200</v>
      </c>
      <c r="D15" s="49">
        <v>10867</v>
      </c>
      <c r="E15" s="48">
        <v>0</v>
      </c>
      <c r="F15" s="48">
        <v>0</v>
      </c>
    </row>
    <row r="16" spans="1:6" s="172" customFormat="1" ht="13.5" customHeight="1">
      <c r="A16" s="127" t="s">
        <v>414</v>
      </c>
      <c r="B16" s="171">
        <v>0</v>
      </c>
      <c r="C16" s="171">
        <v>3217.7271710780851</v>
      </c>
      <c r="D16" s="49">
        <v>0</v>
      </c>
      <c r="E16" s="48">
        <v>0</v>
      </c>
      <c r="F16" s="48">
        <v>0</v>
      </c>
    </row>
    <row r="17" spans="1:6" s="172" customFormat="1" ht="13.5" customHeight="1">
      <c r="A17" s="127" t="s">
        <v>66</v>
      </c>
      <c r="B17" s="18"/>
      <c r="C17" s="18"/>
      <c r="D17" s="19"/>
      <c r="E17" s="18"/>
      <c r="F17" s="18"/>
    </row>
    <row r="18" spans="1:6" s="172" customFormat="1" ht="13.5" customHeight="1">
      <c r="A18" s="174" t="s">
        <v>333</v>
      </c>
      <c r="B18" s="48">
        <v>14836</v>
      </c>
      <c r="C18" s="171">
        <v>14768</v>
      </c>
      <c r="D18" s="49">
        <v>14757</v>
      </c>
      <c r="E18" s="48">
        <v>14713</v>
      </c>
      <c r="F18" s="48">
        <v>14506</v>
      </c>
    </row>
    <row r="19" spans="1:6" s="172" customFormat="1" ht="13.5" customHeight="1">
      <c r="A19" s="174" t="s">
        <v>67</v>
      </c>
      <c r="B19" s="48">
        <v>3662</v>
      </c>
      <c r="C19" s="171">
        <v>3221</v>
      </c>
      <c r="D19" s="49">
        <v>4272</v>
      </c>
      <c r="E19" s="48">
        <v>5497</v>
      </c>
      <c r="F19" s="48">
        <v>6855</v>
      </c>
    </row>
    <row r="20" spans="1:6" s="172" customFormat="1" ht="13.5" customHeight="1">
      <c r="A20" s="127" t="s">
        <v>68</v>
      </c>
      <c r="B20" s="53">
        <v>2481</v>
      </c>
      <c r="C20" s="176">
        <v>2659</v>
      </c>
      <c r="D20" s="54">
        <v>2381</v>
      </c>
      <c r="E20" s="176">
        <v>2091</v>
      </c>
      <c r="F20" s="176">
        <v>2025</v>
      </c>
    </row>
    <row r="21" spans="1:6" s="172" customFormat="1" ht="13.5" customHeight="1">
      <c r="A21" s="127" t="s">
        <v>69</v>
      </c>
      <c r="B21" s="53">
        <v>4100</v>
      </c>
      <c r="C21" s="176">
        <v>4782.8</v>
      </c>
      <c r="D21" s="54">
        <v>5388.9000000000005</v>
      </c>
      <c r="E21" s="176">
        <v>5959.6</v>
      </c>
      <c r="F21" s="176">
        <v>6499.2000000000007</v>
      </c>
    </row>
    <row r="22" spans="1:6" s="172" customFormat="1" ht="13.5" customHeight="1">
      <c r="A22" s="127" t="s">
        <v>213</v>
      </c>
      <c r="B22" s="53">
        <v>592</v>
      </c>
      <c r="C22" s="176">
        <v>953</v>
      </c>
      <c r="D22" s="54">
        <v>969</v>
      </c>
      <c r="E22" s="176">
        <v>982</v>
      </c>
      <c r="F22" s="176">
        <v>995</v>
      </c>
    </row>
    <row r="23" spans="1:6" s="172" customFormat="1" ht="13.5" customHeight="1">
      <c r="A23" s="127" t="s">
        <v>70</v>
      </c>
      <c r="B23" s="176">
        <v>24763</v>
      </c>
      <c r="C23" s="176">
        <v>28970</v>
      </c>
      <c r="D23" s="54">
        <v>28530</v>
      </c>
      <c r="E23" s="176">
        <v>29600</v>
      </c>
      <c r="F23" s="176">
        <v>29370</v>
      </c>
    </row>
    <row r="24" spans="1:6" s="172" customFormat="1" ht="15" customHeight="1" thickBot="1">
      <c r="A24" s="30" t="s">
        <v>71</v>
      </c>
      <c r="B24" s="177">
        <v>79490</v>
      </c>
      <c r="C24" s="56">
        <v>90101.883808705854</v>
      </c>
      <c r="D24" s="178">
        <v>96651.344017787414</v>
      </c>
      <c r="E24" s="56">
        <v>89857.907585001114</v>
      </c>
      <c r="F24" s="56">
        <v>93105.616689760674</v>
      </c>
    </row>
    <row r="25" spans="1:6" s="172" customFormat="1" ht="4.5" customHeight="1">
      <c r="A25" s="33"/>
      <c r="B25" s="53"/>
      <c r="C25" s="176"/>
      <c r="D25" s="54"/>
      <c r="E25" s="53"/>
      <c r="F25" s="53"/>
    </row>
    <row r="26" spans="1:6" s="172" customFormat="1" ht="18" customHeight="1">
      <c r="A26" s="50" t="s">
        <v>31</v>
      </c>
      <c r="B26" s="18"/>
      <c r="C26" s="18"/>
      <c r="D26" s="19"/>
      <c r="E26" s="18"/>
      <c r="F26" s="18"/>
    </row>
    <row r="27" spans="1:6" s="172" customFormat="1" ht="12.75" customHeight="1">
      <c r="A27" s="179" t="s">
        <v>72</v>
      </c>
      <c r="B27" s="48"/>
      <c r="C27" s="171"/>
      <c r="D27" s="49"/>
      <c r="E27" s="48"/>
      <c r="F27" s="48"/>
    </row>
    <row r="28" spans="1:6" s="172" customFormat="1" ht="12.75" customHeight="1">
      <c r="A28" s="180" t="s">
        <v>73</v>
      </c>
      <c r="B28" s="48">
        <v>42515</v>
      </c>
      <c r="C28" s="171">
        <v>42530</v>
      </c>
      <c r="D28" s="49">
        <v>44933.021209509898</v>
      </c>
      <c r="E28" s="171">
        <v>47629.070663229802</v>
      </c>
      <c r="F28" s="171">
        <v>49755.810316199706</v>
      </c>
    </row>
    <row r="29" spans="1:6" s="172" customFormat="1" ht="12.75" customHeight="1">
      <c r="A29" s="180" t="s">
        <v>74</v>
      </c>
      <c r="B29" s="48">
        <v>3010</v>
      </c>
      <c r="C29" s="171">
        <v>2982</v>
      </c>
      <c r="D29" s="49">
        <v>2885</v>
      </c>
      <c r="E29" s="171">
        <v>2782</v>
      </c>
      <c r="F29" s="171">
        <v>2674</v>
      </c>
    </row>
    <row r="30" spans="1:6" s="172" customFormat="1" ht="12.75" customHeight="1">
      <c r="A30" s="181" t="s">
        <v>75</v>
      </c>
      <c r="B30" s="48">
        <v>594</v>
      </c>
      <c r="C30" s="171">
        <v>594</v>
      </c>
      <c r="D30" s="49">
        <v>594</v>
      </c>
      <c r="E30" s="48">
        <v>594</v>
      </c>
      <c r="F30" s="48">
        <v>595</v>
      </c>
    </row>
    <row r="31" spans="1:6" s="172" customFormat="1" ht="12.75" customHeight="1">
      <c r="A31" s="181" t="s">
        <v>76</v>
      </c>
      <c r="B31" s="48">
        <v>33169</v>
      </c>
      <c r="C31" s="171">
        <v>29960.272828921916</v>
      </c>
      <c r="D31" s="49">
        <v>29966.272828921916</v>
      </c>
      <c r="E31" s="171">
        <v>29972.272828921916</v>
      </c>
      <c r="F31" s="171">
        <v>29978.272828921916</v>
      </c>
    </row>
    <row r="32" spans="1:6" s="172" customFormat="1" ht="12.75" customHeight="1">
      <c r="A32" s="182" t="s">
        <v>77</v>
      </c>
      <c r="B32" s="183">
        <v>79288</v>
      </c>
      <c r="C32" s="184">
        <v>76066.272828921909</v>
      </c>
      <c r="D32" s="185">
        <v>78378.294038431806</v>
      </c>
      <c r="E32" s="183">
        <v>80977.343492151718</v>
      </c>
      <c r="F32" s="183">
        <v>83002.083145121622</v>
      </c>
    </row>
    <row r="33" spans="1:6" s="55" customFormat="1" ht="13.5" customHeight="1">
      <c r="A33" s="186" t="s">
        <v>78</v>
      </c>
      <c r="B33" s="48"/>
      <c r="C33" s="171"/>
      <c r="D33" s="49"/>
      <c r="E33" s="48"/>
      <c r="F33" s="48"/>
    </row>
    <row r="34" spans="1:6" s="172" customFormat="1" ht="13.5" customHeight="1">
      <c r="A34" s="174" t="s">
        <v>334</v>
      </c>
      <c r="B34" s="48">
        <v>14836</v>
      </c>
      <c r="C34" s="171">
        <v>14768</v>
      </c>
      <c r="D34" s="49">
        <v>14757</v>
      </c>
      <c r="E34" s="48">
        <v>14713</v>
      </c>
      <c r="F34" s="48">
        <v>14506</v>
      </c>
    </row>
    <row r="35" spans="1:6" s="172" customFormat="1" ht="13.5" customHeight="1">
      <c r="A35" s="174" t="s">
        <v>67</v>
      </c>
      <c r="B35" s="48">
        <v>2760</v>
      </c>
      <c r="C35" s="171">
        <v>3147</v>
      </c>
      <c r="D35" s="49">
        <v>3209</v>
      </c>
      <c r="E35" s="48">
        <v>3389</v>
      </c>
      <c r="F35" s="48">
        <v>3549</v>
      </c>
    </row>
    <row r="36" spans="1:6" s="172" customFormat="1" ht="13.5" customHeight="1">
      <c r="A36" s="188" t="s">
        <v>79</v>
      </c>
      <c r="B36" s="183">
        <v>96884</v>
      </c>
      <c r="C36" s="184">
        <v>93981.272828921909</v>
      </c>
      <c r="D36" s="185">
        <v>96344.294038431806</v>
      </c>
      <c r="E36" s="183">
        <v>99079.343492151718</v>
      </c>
      <c r="F36" s="183">
        <v>101057.08314512162</v>
      </c>
    </row>
    <row r="37" spans="1:6" s="172" customFormat="1" ht="3.75" customHeight="1">
      <c r="A37" s="188"/>
      <c r="B37" s="48"/>
      <c r="C37" s="171"/>
      <c r="D37" s="49"/>
      <c r="E37" s="48"/>
      <c r="F37" s="48"/>
    </row>
    <row r="38" spans="1:6" s="172" customFormat="1" ht="13.5" customHeight="1">
      <c r="A38" s="127" t="s">
        <v>80</v>
      </c>
      <c r="B38" s="176">
        <v>686</v>
      </c>
      <c r="C38" s="176">
        <v>609</v>
      </c>
      <c r="D38" s="54">
        <v>530</v>
      </c>
      <c r="E38" s="176">
        <v>448</v>
      </c>
      <c r="F38" s="176">
        <v>364</v>
      </c>
    </row>
    <row r="39" spans="1:6" s="172" customFormat="1" ht="13.5" customHeight="1">
      <c r="A39" s="127" t="s">
        <v>81</v>
      </c>
      <c r="B39" s="189">
        <v>8272</v>
      </c>
      <c r="C39" s="189">
        <v>7914</v>
      </c>
      <c r="D39" s="190">
        <v>7550</v>
      </c>
      <c r="E39" s="189">
        <v>7177</v>
      </c>
      <c r="F39" s="189">
        <v>6799</v>
      </c>
    </row>
    <row r="40" spans="1:6" s="172" customFormat="1" ht="13.5" customHeight="1">
      <c r="A40" s="127" t="s">
        <v>415</v>
      </c>
      <c r="B40" s="189">
        <v>2287</v>
      </c>
      <c r="C40" s="189">
        <v>2298</v>
      </c>
      <c r="D40" s="190">
        <v>2309</v>
      </c>
      <c r="E40" s="189">
        <v>2321</v>
      </c>
      <c r="F40" s="189">
        <v>2333</v>
      </c>
    </row>
    <row r="41" spans="1:6" s="194" customFormat="1" ht="13.5" customHeight="1">
      <c r="A41" s="127" t="s">
        <v>82</v>
      </c>
      <c r="B41" s="191">
        <v>16975</v>
      </c>
      <c r="C41" s="192">
        <v>26199</v>
      </c>
      <c r="D41" s="193">
        <v>31534</v>
      </c>
      <c r="E41" s="191">
        <v>22031</v>
      </c>
      <c r="F41" s="191">
        <v>21771</v>
      </c>
    </row>
    <row r="42" spans="1:6" s="172" customFormat="1" ht="15" customHeight="1" thickBot="1">
      <c r="A42" s="30" t="s">
        <v>83</v>
      </c>
      <c r="B42" s="177">
        <v>125104</v>
      </c>
      <c r="C42" s="56">
        <v>131001.27282892191</v>
      </c>
      <c r="D42" s="178">
        <v>138267.29403843181</v>
      </c>
      <c r="E42" s="177">
        <v>131056.34349215172</v>
      </c>
      <c r="F42" s="177">
        <v>132324.08314512164</v>
      </c>
    </row>
    <row r="43" spans="1:6" s="172" customFormat="1" ht="15" customHeight="1">
      <c r="A43" s="50" t="s">
        <v>32</v>
      </c>
      <c r="B43" s="23">
        <v>-45614</v>
      </c>
      <c r="C43" s="23">
        <v>-40899.389020216055</v>
      </c>
      <c r="D43" s="49">
        <v>-41615.950020644392</v>
      </c>
      <c r="E43" s="23">
        <v>-41198.435907150604</v>
      </c>
      <c r="F43" s="23">
        <v>-39218.466455360962</v>
      </c>
    </row>
    <row r="44" spans="1:6" s="172" customFormat="1" ht="15" customHeight="1">
      <c r="A44" s="33" t="s">
        <v>33</v>
      </c>
      <c r="B44" s="53">
        <v>60624</v>
      </c>
      <c r="C44" s="176">
        <v>61294.038999999997</v>
      </c>
      <c r="D44" s="54">
        <v>62396.387999999999</v>
      </c>
      <c r="E44" s="53">
        <v>63407.055000000008</v>
      </c>
      <c r="F44" s="53">
        <v>64055.040000000015</v>
      </c>
    </row>
    <row r="45" spans="1:6" s="172" customFormat="1" ht="13.5" customHeight="1">
      <c r="A45" s="35" t="s">
        <v>34</v>
      </c>
      <c r="B45" s="53">
        <v>-3696</v>
      </c>
      <c r="C45" s="176">
        <v>-3847</v>
      </c>
      <c r="D45" s="54">
        <v>-3865</v>
      </c>
      <c r="E45" s="176">
        <v>-3857</v>
      </c>
      <c r="F45" s="176">
        <v>-3845</v>
      </c>
    </row>
    <row r="46" spans="1:6" s="172" customFormat="1" ht="15" customHeight="1" thickBot="1">
      <c r="A46" s="30" t="s">
        <v>35</v>
      </c>
      <c r="B46" s="31">
        <v>11314</v>
      </c>
      <c r="C46" s="31">
        <v>16547.649979783942</v>
      </c>
      <c r="D46" s="32">
        <v>16915.437979355607</v>
      </c>
      <c r="E46" s="31">
        <v>18351.619092849403</v>
      </c>
      <c r="F46" s="31">
        <v>20991.573544639054</v>
      </c>
    </row>
    <row r="47" spans="1:6" s="172" customFormat="1" ht="15" customHeight="1">
      <c r="A47" s="127" t="s">
        <v>416</v>
      </c>
      <c r="B47" s="189">
        <v>8500</v>
      </c>
      <c r="C47" s="189">
        <v>13734.24500000001</v>
      </c>
      <c r="D47" s="190">
        <v>14101.137000000017</v>
      </c>
      <c r="E47" s="189">
        <v>15537.826000000015</v>
      </c>
      <c r="F47" s="189">
        <v>18177.380000000026</v>
      </c>
    </row>
    <row r="48" spans="1:6" s="172" customFormat="1" ht="15" customHeight="1">
      <c r="A48" s="127" t="s">
        <v>417</v>
      </c>
      <c r="B48" s="513">
        <v>2814</v>
      </c>
      <c r="C48" s="513">
        <v>2814</v>
      </c>
      <c r="D48" s="514">
        <v>2814</v>
      </c>
      <c r="E48" s="513">
        <v>2814</v>
      </c>
      <c r="F48" s="513">
        <v>2814</v>
      </c>
    </row>
    <row r="49" spans="1:6" s="172" customFormat="1" ht="15" customHeight="1" thickBot="1">
      <c r="A49" s="512" t="s">
        <v>418</v>
      </c>
      <c r="B49" s="476">
        <v>11641</v>
      </c>
      <c r="C49" s="31">
        <v>5234.2450000000099</v>
      </c>
      <c r="D49" s="32">
        <v>366.8920000000071</v>
      </c>
      <c r="E49" s="31">
        <v>1436.6889999999985</v>
      </c>
      <c r="F49" s="31">
        <v>2639.554000000011</v>
      </c>
    </row>
    <row r="50" spans="1:6" s="172" customFormat="1" ht="18" customHeight="1" thickBot="1">
      <c r="A50" s="474" t="s">
        <v>331</v>
      </c>
      <c r="B50" s="567">
        <v>-9.9311996516438059E-2</v>
      </c>
      <c r="C50" s="567">
        <v>-9.2826575170712786E-2</v>
      </c>
      <c r="D50" s="567">
        <v>-9.1243038852541966E-2</v>
      </c>
      <c r="E50" s="567">
        <v>-8.5138325908556731E-2</v>
      </c>
      <c r="F50" s="567">
        <v>-7.6793550921012255E-2</v>
      </c>
    </row>
    <row r="51" spans="1:6" s="172" customFormat="1" ht="18" customHeight="1">
      <c r="A51" s="491"/>
      <c r="B51" s="492"/>
      <c r="C51" s="492"/>
      <c r="D51" s="492"/>
      <c r="E51" s="492"/>
      <c r="F51" s="492"/>
    </row>
  </sheetData>
  <mergeCells count="1">
    <mergeCell ref="B4:F4"/>
  </mergeCells>
  <pageMargins left="0.74803149606299213" right="0.74803149606299213" top="0.74803149606299213" bottom="0.74803149606299213" header="0.31496062992125984" footer="0.31496062992125984"/>
  <pageSetup scale="99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  <pageSetUpPr fitToPage="1"/>
  </sheetPr>
  <dimension ref="A1:H61"/>
  <sheetViews>
    <sheetView showGridLines="0" zoomScaleNormal="100" workbookViewId="0"/>
  </sheetViews>
  <sheetFormatPr defaultColWidth="8.5703125" defaultRowHeight="12"/>
  <cols>
    <col min="1" max="1" width="51.7109375" customWidth="1"/>
    <col min="2" max="7" width="8" customWidth="1"/>
  </cols>
  <sheetData>
    <row r="1" spans="1:7" ht="15.75">
      <c r="A1" s="1" t="s">
        <v>42</v>
      </c>
      <c r="B1" s="2"/>
    </row>
    <row r="2" spans="1:7">
      <c r="A2" s="4" t="s">
        <v>1</v>
      </c>
      <c r="B2" s="5"/>
    </row>
    <row r="3" spans="1:7" ht="4.5" customHeight="1">
      <c r="A3" s="4"/>
      <c r="B3" s="5"/>
    </row>
    <row r="4" spans="1:7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7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13"/>
      <c r="B6" s="14"/>
      <c r="C6" s="14"/>
      <c r="E6" s="57"/>
    </row>
    <row r="7" spans="1:7" ht="12.75" customHeight="1">
      <c r="A7" s="50" t="s">
        <v>12</v>
      </c>
      <c r="B7" s="23"/>
      <c r="C7" s="18"/>
      <c r="E7" s="57"/>
    </row>
    <row r="8" spans="1:7" ht="12.75" customHeight="1">
      <c r="A8" s="127" t="s">
        <v>90</v>
      </c>
      <c r="B8" s="18">
        <v>13925</v>
      </c>
      <c r="C8" s="18">
        <v>14069</v>
      </c>
      <c r="D8" s="18">
        <v>15239</v>
      </c>
      <c r="E8" s="19">
        <v>15604</v>
      </c>
      <c r="F8" s="18">
        <v>16514</v>
      </c>
      <c r="G8" s="18">
        <v>17512</v>
      </c>
    </row>
    <row r="9" spans="1:7" ht="12.75" customHeight="1">
      <c r="A9" s="127" t="s">
        <v>91</v>
      </c>
      <c r="B9" s="18">
        <v>8167</v>
      </c>
      <c r="C9" s="18">
        <v>5911</v>
      </c>
      <c r="D9" s="18">
        <v>7204</v>
      </c>
      <c r="E9" s="19">
        <v>7028</v>
      </c>
      <c r="F9" s="18">
        <v>7052</v>
      </c>
      <c r="G9" s="18">
        <v>7320</v>
      </c>
    </row>
    <row r="10" spans="1:7" ht="12.75" customHeight="1">
      <c r="A10" s="127" t="s">
        <v>92</v>
      </c>
      <c r="B10" s="18">
        <v>4432</v>
      </c>
      <c r="C10" s="18">
        <v>5012</v>
      </c>
      <c r="D10" s="18">
        <v>4470</v>
      </c>
      <c r="E10" s="19">
        <v>6013</v>
      </c>
      <c r="F10" s="18">
        <v>6329</v>
      </c>
      <c r="G10" s="18">
        <v>6535</v>
      </c>
    </row>
    <row r="11" spans="1:7" ht="12.75" customHeight="1">
      <c r="A11" s="211" t="s">
        <v>14</v>
      </c>
      <c r="B11" s="18">
        <v>25242</v>
      </c>
      <c r="C11" s="18">
        <v>18361</v>
      </c>
      <c r="D11" s="18">
        <v>19416</v>
      </c>
      <c r="E11" s="19">
        <v>17315</v>
      </c>
      <c r="F11" s="18">
        <v>17839</v>
      </c>
      <c r="G11" s="18">
        <v>17939</v>
      </c>
    </row>
    <row r="12" spans="1:7" ht="12.75" customHeight="1">
      <c r="A12" s="211" t="s">
        <v>93</v>
      </c>
      <c r="B12" s="18">
        <v>11363</v>
      </c>
      <c r="C12" s="18">
        <v>12552</v>
      </c>
      <c r="D12" s="18">
        <v>12655.999999999998</v>
      </c>
      <c r="E12" s="19">
        <v>12640.000000000004</v>
      </c>
      <c r="F12" s="18">
        <v>13161.199999999999</v>
      </c>
      <c r="G12" s="18">
        <v>13643.599999999999</v>
      </c>
    </row>
    <row r="13" spans="1:7" ht="12.75" customHeight="1">
      <c r="A13" s="211" t="s">
        <v>16</v>
      </c>
      <c r="B13" s="18">
        <v>1326</v>
      </c>
      <c r="C13" s="18">
        <v>3154</v>
      </c>
      <c r="D13" s="18">
        <v>4467</v>
      </c>
      <c r="E13" s="19">
        <v>3266.5000000000005</v>
      </c>
      <c r="F13" s="18">
        <v>3433</v>
      </c>
      <c r="G13" s="18">
        <v>3672.1</v>
      </c>
    </row>
    <row r="14" spans="1:7" ht="12.75" customHeight="1">
      <c r="A14" s="211" t="s">
        <v>94</v>
      </c>
      <c r="B14" s="18">
        <v>2481</v>
      </c>
      <c r="C14" s="18">
        <v>2727</v>
      </c>
      <c r="D14" s="18">
        <v>2526.38</v>
      </c>
      <c r="E14" s="19">
        <v>2122.9</v>
      </c>
      <c r="F14" s="18">
        <v>2199.5000000000005</v>
      </c>
      <c r="G14" s="18">
        <v>2481.4900000000002</v>
      </c>
    </row>
    <row r="15" spans="1:7" ht="12.75" customHeight="1">
      <c r="A15" s="211" t="s">
        <v>95</v>
      </c>
      <c r="B15" s="18">
        <v>4657</v>
      </c>
      <c r="C15" s="18">
        <v>5040</v>
      </c>
      <c r="D15" s="18">
        <v>5300.0999999999995</v>
      </c>
      <c r="E15" s="19">
        <v>5384.4</v>
      </c>
      <c r="F15" s="18">
        <v>5550.7000000000007</v>
      </c>
      <c r="G15" s="18">
        <v>5752.4000000000005</v>
      </c>
    </row>
    <row r="16" spans="1:7" ht="12.75" customHeight="1">
      <c r="A16" s="127" t="s">
        <v>96</v>
      </c>
      <c r="B16" s="18">
        <v>4527</v>
      </c>
      <c r="C16" s="18">
        <v>3827</v>
      </c>
      <c r="D16" s="18">
        <v>4349.3</v>
      </c>
      <c r="E16" s="19">
        <v>4164.3</v>
      </c>
      <c r="F16" s="18">
        <v>3972.7999999999997</v>
      </c>
      <c r="G16" s="18">
        <v>3959.4999999999995</v>
      </c>
    </row>
    <row r="17" spans="1:7" ht="15" customHeight="1">
      <c r="A17" s="212" t="s">
        <v>18</v>
      </c>
      <c r="B17" s="51">
        <v>76120</v>
      </c>
      <c r="C17" s="51">
        <v>70653</v>
      </c>
      <c r="D17" s="51">
        <v>75627.780000000013</v>
      </c>
      <c r="E17" s="52">
        <v>73537.100000000006</v>
      </c>
      <c r="F17" s="51">
        <v>76051.199999999997</v>
      </c>
      <c r="G17" s="51">
        <v>78816.09</v>
      </c>
    </row>
    <row r="18" spans="1:7" ht="7.5" customHeight="1">
      <c r="A18" s="213"/>
      <c r="B18" s="214"/>
      <c r="C18" s="214"/>
      <c r="D18" s="36"/>
      <c r="E18" s="16"/>
      <c r="F18" s="36"/>
      <c r="G18" s="36"/>
    </row>
    <row r="19" spans="1:7" ht="12.75" customHeight="1">
      <c r="A19" s="50" t="s">
        <v>43</v>
      </c>
      <c r="B19" s="215"/>
      <c r="C19" s="215"/>
      <c r="D19" s="36"/>
      <c r="E19" s="16"/>
      <c r="F19" s="36"/>
      <c r="G19" s="36"/>
    </row>
    <row r="20" spans="1:7" ht="12.75" customHeight="1">
      <c r="A20" s="127" t="s">
        <v>97</v>
      </c>
      <c r="B20" s="216">
        <v>6287</v>
      </c>
      <c r="C20" s="216">
        <v>6521</v>
      </c>
      <c r="D20" s="216">
        <v>6835.54</v>
      </c>
      <c r="E20" s="156">
        <v>7048.7359999999999</v>
      </c>
      <c r="F20" s="216">
        <v>7247.2219999999998</v>
      </c>
      <c r="G20" s="216">
        <v>7381.326</v>
      </c>
    </row>
    <row r="21" spans="1:7" ht="12.75" customHeight="1">
      <c r="A21" s="127" t="s">
        <v>339</v>
      </c>
      <c r="B21" s="216">
        <v>720</v>
      </c>
      <c r="C21" s="216">
        <v>140</v>
      </c>
      <c r="D21" s="216">
        <v>128.86500000000001</v>
      </c>
      <c r="E21" s="156">
        <v>92.140000000000015</v>
      </c>
      <c r="F21" s="216">
        <v>91.491000000000014</v>
      </c>
      <c r="G21" s="216">
        <v>92.167000000000016</v>
      </c>
    </row>
    <row r="22" spans="1:7" ht="12.75" customHeight="1">
      <c r="A22" s="127" t="s">
        <v>340</v>
      </c>
      <c r="B22" s="216">
        <v>1899</v>
      </c>
      <c r="C22" s="216">
        <v>892</v>
      </c>
      <c r="D22" s="216">
        <v>2645.1979999999999</v>
      </c>
      <c r="E22" s="156">
        <v>993.32400000000007</v>
      </c>
      <c r="F22" s="216">
        <v>994.94200000000001</v>
      </c>
      <c r="G22" s="216">
        <v>1010.075</v>
      </c>
    </row>
    <row r="23" spans="1:7" ht="12.75" customHeight="1">
      <c r="A23" s="127" t="s">
        <v>394</v>
      </c>
      <c r="B23" s="216">
        <v>243</v>
      </c>
      <c r="C23" s="216">
        <v>277</v>
      </c>
      <c r="D23" s="216">
        <v>271.40999999999997</v>
      </c>
      <c r="E23" s="156">
        <v>260.15600000000001</v>
      </c>
      <c r="F23" s="216">
        <v>226.87299999999999</v>
      </c>
      <c r="G23" s="216">
        <v>206.17099999999999</v>
      </c>
    </row>
    <row r="24" spans="1:7" ht="12.75" customHeight="1">
      <c r="A24" s="217" t="s">
        <v>385</v>
      </c>
      <c r="B24" s="216">
        <v>1553</v>
      </c>
      <c r="C24" s="216">
        <v>1726</v>
      </c>
      <c r="D24" s="216">
        <v>1638.1869999999999</v>
      </c>
      <c r="E24" s="156">
        <v>1497.5719999999999</v>
      </c>
      <c r="F24" s="216">
        <v>1542.7639999999999</v>
      </c>
      <c r="G24" s="216">
        <v>1565.3879999999999</v>
      </c>
    </row>
    <row r="25" spans="1:7" ht="12.75" customHeight="1">
      <c r="A25" s="127" t="s">
        <v>98</v>
      </c>
      <c r="B25" s="216">
        <v>8843</v>
      </c>
      <c r="C25" s="216">
        <v>9317</v>
      </c>
      <c r="D25" s="216">
        <v>9350.27</v>
      </c>
      <c r="E25" s="156">
        <v>9762.4249999999993</v>
      </c>
      <c r="F25" s="216">
        <v>9955.5210000000006</v>
      </c>
      <c r="G25" s="216">
        <v>10045.827000000001</v>
      </c>
    </row>
    <row r="26" spans="1:7" ht="12.75" customHeight="1">
      <c r="A26" s="127" t="s">
        <v>386</v>
      </c>
      <c r="B26" s="216">
        <v>1300</v>
      </c>
      <c r="C26" s="216">
        <v>984</v>
      </c>
      <c r="D26" s="216">
        <v>977.06399999999996</v>
      </c>
      <c r="E26" s="156">
        <v>1048.0609999999999</v>
      </c>
      <c r="F26" s="216">
        <v>1132.2460000000001</v>
      </c>
      <c r="G26" s="216">
        <v>899.50099999999998</v>
      </c>
    </row>
    <row r="27" spans="1:7" ht="12.75" customHeight="1">
      <c r="A27" s="127" t="s">
        <v>342</v>
      </c>
      <c r="B27" s="216">
        <v>468.3</v>
      </c>
      <c r="C27" s="216">
        <v>548</v>
      </c>
      <c r="D27" s="216">
        <v>491.97999999999996</v>
      </c>
      <c r="E27" s="156">
        <v>557.18799999999999</v>
      </c>
      <c r="F27" s="216">
        <v>438.40300000000002</v>
      </c>
      <c r="G27" s="216">
        <v>447.63800000000003</v>
      </c>
    </row>
    <row r="28" spans="1:7" ht="12.75" customHeight="1">
      <c r="A28" s="127" t="s">
        <v>99</v>
      </c>
      <c r="B28" s="216">
        <v>46</v>
      </c>
      <c r="C28" s="216">
        <v>54</v>
      </c>
      <c r="D28" s="216">
        <v>52.826000000000001</v>
      </c>
      <c r="E28" s="156">
        <v>56.255000000000003</v>
      </c>
      <c r="F28" s="216">
        <v>58.21</v>
      </c>
      <c r="G28" s="216">
        <v>59.542999999999999</v>
      </c>
    </row>
    <row r="29" spans="1:7" ht="12.75" customHeight="1">
      <c r="A29" s="127" t="s">
        <v>387</v>
      </c>
      <c r="B29" s="216">
        <v>470.7</v>
      </c>
      <c r="C29" s="216">
        <v>366</v>
      </c>
      <c r="D29" s="216">
        <v>1182.4479999999999</v>
      </c>
      <c r="E29" s="156">
        <v>409.60599999999999</v>
      </c>
      <c r="F29" s="216">
        <v>406.60299999999995</v>
      </c>
      <c r="G29" s="216">
        <v>410.88199999999995</v>
      </c>
    </row>
    <row r="30" spans="1:7" ht="12.75" customHeight="1">
      <c r="A30" s="127" t="s">
        <v>100</v>
      </c>
      <c r="B30" s="216">
        <v>25225</v>
      </c>
      <c r="C30" s="216">
        <v>26456</v>
      </c>
      <c r="D30" s="216">
        <v>26986.654000000002</v>
      </c>
      <c r="E30" s="156">
        <v>28373.032999999999</v>
      </c>
      <c r="F30" s="216">
        <v>28993.445</v>
      </c>
      <c r="G30" s="216">
        <v>29936.096000000001</v>
      </c>
    </row>
    <row r="31" spans="1:7" ht="12.75" customHeight="1">
      <c r="A31" s="127" t="s">
        <v>388</v>
      </c>
      <c r="B31" s="216">
        <v>38</v>
      </c>
      <c r="C31" s="216">
        <v>40</v>
      </c>
      <c r="D31" s="216">
        <v>39.143999999999998</v>
      </c>
      <c r="E31" s="156">
        <v>41.823</v>
      </c>
      <c r="F31" s="216">
        <v>42.402000000000001</v>
      </c>
      <c r="G31" s="216">
        <v>42.683999999999997</v>
      </c>
    </row>
    <row r="32" spans="1:7" ht="12.75" customHeight="1">
      <c r="A32" s="127" t="s">
        <v>101</v>
      </c>
      <c r="B32" s="216">
        <v>213</v>
      </c>
      <c r="C32" s="216">
        <v>230</v>
      </c>
      <c r="D32" s="216">
        <v>229.27500000000001</v>
      </c>
      <c r="E32" s="156">
        <v>220.25700000000001</v>
      </c>
      <c r="F32" s="216">
        <v>218.28100000000001</v>
      </c>
      <c r="G32" s="216">
        <v>219.15199999999999</v>
      </c>
    </row>
    <row r="33" spans="1:8" ht="12.75" customHeight="1">
      <c r="A33" s="127" t="s">
        <v>102</v>
      </c>
      <c r="B33" s="216">
        <v>598</v>
      </c>
      <c r="C33" s="216">
        <v>613</v>
      </c>
      <c r="D33" s="216">
        <v>634.154</v>
      </c>
      <c r="E33" s="156">
        <v>650.11500000000001</v>
      </c>
      <c r="F33" s="216">
        <v>674.43599999999992</v>
      </c>
      <c r="G33" s="216">
        <v>674.06</v>
      </c>
    </row>
    <row r="34" spans="1:8" ht="12.75" customHeight="1">
      <c r="A34" s="217" t="s">
        <v>389</v>
      </c>
      <c r="B34" s="216">
        <v>1321</v>
      </c>
      <c r="C34" s="216">
        <v>1674</v>
      </c>
      <c r="D34" s="216">
        <v>1655.258</v>
      </c>
      <c r="E34" s="156">
        <v>1861.598</v>
      </c>
      <c r="F34" s="216">
        <v>1944.2459999999999</v>
      </c>
      <c r="G34" s="216">
        <v>1893.761</v>
      </c>
    </row>
    <row r="35" spans="1:8" ht="12.75" customHeight="1">
      <c r="A35" s="127" t="s">
        <v>343</v>
      </c>
      <c r="B35" s="216">
        <v>589</v>
      </c>
      <c r="C35" s="216">
        <v>658</v>
      </c>
      <c r="D35" s="216">
        <v>669.36700000000008</v>
      </c>
      <c r="E35" s="156">
        <v>684.65600000000006</v>
      </c>
      <c r="F35" s="216">
        <v>699.779</v>
      </c>
      <c r="G35" s="216">
        <v>706.19100000000003</v>
      </c>
    </row>
    <row r="36" spans="1:8" ht="12.75" customHeight="1">
      <c r="A36" s="127" t="s">
        <v>344</v>
      </c>
      <c r="B36" s="216">
        <v>98</v>
      </c>
      <c r="C36" s="216">
        <v>166</v>
      </c>
      <c r="D36" s="216">
        <v>229.86900000000003</v>
      </c>
      <c r="E36" s="156">
        <v>306.11</v>
      </c>
      <c r="F36" s="216">
        <v>318.73699999999997</v>
      </c>
      <c r="G36" s="216">
        <v>262.08199999999999</v>
      </c>
    </row>
    <row r="37" spans="1:8" ht="12.75" customHeight="1">
      <c r="A37" s="127" t="s">
        <v>103</v>
      </c>
      <c r="B37" s="216">
        <v>931</v>
      </c>
      <c r="C37" s="216">
        <v>1014</v>
      </c>
      <c r="D37" s="216">
        <v>1014.015</v>
      </c>
      <c r="E37" s="156">
        <v>1287.258</v>
      </c>
      <c r="F37" s="216">
        <v>1376.24</v>
      </c>
      <c r="G37" s="216">
        <v>1338.5439999999999</v>
      </c>
    </row>
    <row r="38" spans="1:8" ht="12.75" customHeight="1">
      <c r="A38" s="127" t="s">
        <v>345</v>
      </c>
      <c r="B38" s="216">
        <v>1079</v>
      </c>
      <c r="C38" s="216">
        <v>1217</v>
      </c>
      <c r="D38" s="216">
        <v>1510.4849999999999</v>
      </c>
      <c r="E38" s="156">
        <v>1279.164</v>
      </c>
      <c r="F38" s="216">
        <v>1350.9369999999999</v>
      </c>
      <c r="G38" s="216">
        <v>1423.4059999999999</v>
      </c>
    </row>
    <row r="39" spans="1:8" ht="12.75" customHeight="1">
      <c r="A39" s="127" t="s">
        <v>341</v>
      </c>
      <c r="B39" s="216">
        <v>4888</v>
      </c>
      <c r="C39" s="216">
        <v>5390</v>
      </c>
      <c r="D39" s="216">
        <v>5463.5739999999996</v>
      </c>
      <c r="E39" s="156">
        <v>5447.4489999999996</v>
      </c>
      <c r="F39" s="216">
        <v>5715.5199999999995</v>
      </c>
      <c r="G39" s="216">
        <v>5925.2379999999994</v>
      </c>
    </row>
    <row r="40" spans="1:8" ht="12.75" customHeight="1">
      <c r="A40" s="127" t="s">
        <v>346</v>
      </c>
      <c r="B40" s="216">
        <v>152</v>
      </c>
      <c r="C40" s="216">
        <v>182</v>
      </c>
      <c r="D40" s="216">
        <v>184.50399999999999</v>
      </c>
      <c r="E40" s="156">
        <v>202.75</v>
      </c>
      <c r="F40" s="216">
        <v>201.85899999999998</v>
      </c>
      <c r="G40" s="216">
        <v>200.90600000000001</v>
      </c>
    </row>
    <row r="41" spans="1:8" ht="12.75" customHeight="1">
      <c r="A41" s="127" t="s">
        <v>347</v>
      </c>
      <c r="B41" s="216">
        <v>712</v>
      </c>
      <c r="C41" s="216">
        <v>1012</v>
      </c>
      <c r="D41" s="216">
        <v>848.16100000000006</v>
      </c>
      <c r="E41" s="156">
        <v>937.78499999999997</v>
      </c>
      <c r="F41" s="216">
        <v>949.16899999999998</v>
      </c>
      <c r="G41" s="216">
        <v>1079.877</v>
      </c>
    </row>
    <row r="42" spans="1:8" ht="12.75" customHeight="1">
      <c r="A42" s="217" t="s">
        <v>390</v>
      </c>
      <c r="B42" s="216">
        <v>92</v>
      </c>
      <c r="C42" s="216">
        <v>103</v>
      </c>
      <c r="D42" s="216">
        <v>111.36</v>
      </c>
      <c r="E42" s="156">
        <v>135.566</v>
      </c>
      <c r="F42" s="216">
        <v>125.633</v>
      </c>
      <c r="G42" s="216">
        <v>122.82299999999999</v>
      </c>
    </row>
    <row r="43" spans="1:8" ht="12.75" customHeight="1">
      <c r="A43" s="127" t="s">
        <v>348</v>
      </c>
      <c r="B43" s="216">
        <v>1829</v>
      </c>
      <c r="C43" s="216">
        <v>2519</v>
      </c>
      <c r="D43" s="216">
        <v>2322.9290000000001</v>
      </c>
      <c r="E43" s="156">
        <v>2747.817</v>
      </c>
      <c r="F43" s="216">
        <v>2855.3620000000001</v>
      </c>
      <c r="G43" s="216">
        <v>3121.3980000000001</v>
      </c>
    </row>
    <row r="44" spans="1:8" ht="12.75" customHeight="1">
      <c r="A44" s="127" t="s">
        <v>105</v>
      </c>
      <c r="B44" s="216">
        <v>1938</v>
      </c>
      <c r="C44" s="216">
        <v>1996</v>
      </c>
      <c r="D44" s="216">
        <v>1974.998</v>
      </c>
      <c r="E44" s="156">
        <v>2107.864</v>
      </c>
      <c r="F44" s="216">
        <v>2146.19</v>
      </c>
      <c r="G44" s="216">
        <v>2133.1999999999998</v>
      </c>
    </row>
    <row r="45" spans="1:8" ht="12.75" customHeight="1">
      <c r="A45" s="127" t="s">
        <v>106</v>
      </c>
      <c r="B45" s="216">
        <v>130</v>
      </c>
      <c r="C45" s="216">
        <v>180</v>
      </c>
      <c r="D45" s="216">
        <v>169</v>
      </c>
      <c r="E45" s="156">
        <v>158</v>
      </c>
      <c r="F45" s="216">
        <v>160</v>
      </c>
      <c r="G45" s="216">
        <v>183</v>
      </c>
    </row>
    <row r="46" spans="1:8" ht="12.75" customHeight="1">
      <c r="A46" s="218" t="s">
        <v>362</v>
      </c>
      <c r="B46" s="219">
        <v>61671</v>
      </c>
      <c r="C46" s="219">
        <v>64277</v>
      </c>
      <c r="D46" s="219">
        <v>67616.535000000018</v>
      </c>
      <c r="E46" s="220">
        <v>68168.707999999999</v>
      </c>
      <c r="F46" s="219">
        <v>69866.010999999999</v>
      </c>
      <c r="G46" s="219">
        <v>71380.936000000002</v>
      </c>
    </row>
    <row r="47" spans="1:8" ht="12.75" customHeight="1">
      <c r="A47" s="127" t="s">
        <v>22</v>
      </c>
      <c r="B47" s="216">
        <v>2829</v>
      </c>
      <c r="C47" s="216">
        <v>2848</v>
      </c>
      <c r="D47" s="216">
        <v>3136</v>
      </c>
      <c r="E47" s="156">
        <v>3365</v>
      </c>
      <c r="F47" s="216">
        <v>3121</v>
      </c>
      <c r="G47" s="216">
        <v>3174</v>
      </c>
      <c r="H47" s="36"/>
    </row>
    <row r="48" spans="1:8" ht="12.75" customHeight="1">
      <c r="A48" s="221" t="s">
        <v>23</v>
      </c>
      <c r="B48" s="39">
        <v>-21</v>
      </c>
      <c r="C48" s="39">
        <v>-322</v>
      </c>
      <c r="D48" s="39">
        <v>-358</v>
      </c>
      <c r="E48" s="24">
        <v>-364</v>
      </c>
      <c r="F48" s="39">
        <v>-373</v>
      </c>
      <c r="G48" s="39">
        <v>-378</v>
      </c>
    </row>
    <row r="49" spans="1:7" ht="15" customHeight="1">
      <c r="A49" s="212" t="s">
        <v>363</v>
      </c>
      <c r="B49" s="51">
        <v>64479</v>
      </c>
      <c r="C49" s="51">
        <v>66803</v>
      </c>
      <c r="D49" s="51">
        <v>70394.035000000018</v>
      </c>
      <c r="E49" s="52">
        <v>71169.707999999999</v>
      </c>
      <c r="F49" s="51">
        <v>72614.010999999999</v>
      </c>
      <c r="G49" s="51">
        <v>74176.436000000002</v>
      </c>
    </row>
    <row r="50" spans="1:7" ht="15" customHeight="1">
      <c r="A50" s="128" t="s">
        <v>364</v>
      </c>
      <c r="B50" s="29">
        <v>11641</v>
      </c>
      <c r="C50" s="29">
        <v>3850</v>
      </c>
      <c r="D50" s="29">
        <v>5233.7449999999953</v>
      </c>
      <c r="E50" s="28">
        <v>2367.3920000000071</v>
      </c>
      <c r="F50" s="29">
        <v>3436.1889999999985</v>
      </c>
      <c r="G50" s="29">
        <v>4639.653999999995</v>
      </c>
    </row>
    <row r="51" spans="1:7" ht="12.75" customHeight="1">
      <c r="A51" s="50" t="s">
        <v>365</v>
      </c>
      <c r="B51" s="155">
        <v>0</v>
      </c>
      <c r="C51" s="155">
        <v>1500</v>
      </c>
      <c r="D51" s="155">
        <v>0</v>
      </c>
      <c r="E51" s="156">
        <v>2000</v>
      </c>
      <c r="F51" s="216">
        <v>2000</v>
      </c>
      <c r="G51" s="216">
        <v>2000</v>
      </c>
    </row>
    <row r="52" spans="1:7" ht="12.75" customHeight="1">
      <c r="A52" s="222" t="s">
        <v>24</v>
      </c>
      <c r="B52" s="223">
        <v>64479</v>
      </c>
      <c r="C52" s="223">
        <v>68303</v>
      </c>
      <c r="D52" s="223">
        <v>70394.035000000018</v>
      </c>
      <c r="E52" s="224">
        <v>73169.707999999999</v>
      </c>
      <c r="F52" s="223">
        <v>74614.010999999999</v>
      </c>
      <c r="G52" s="223">
        <v>76176.436000000002</v>
      </c>
    </row>
    <row r="53" spans="1:7" ht="12.75" customHeight="1">
      <c r="A53" s="222" t="s">
        <v>25</v>
      </c>
      <c r="B53" s="51">
        <v>11641</v>
      </c>
      <c r="C53" s="51">
        <v>2350</v>
      </c>
      <c r="D53" s="51">
        <v>5233.7449999999953</v>
      </c>
      <c r="E53" s="52">
        <v>367.3920000000071</v>
      </c>
      <c r="F53" s="51">
        <v>1437.1889999999985</v>
      </c>
      <c r="G53" s="51">
        <v>2639.653999999995</v>
      </c>
    </row>
    <row r="54" spans="1:7" ht="12.75" customHeight="1">
      <c r="B54" s="36"/>
      <c r="C54" s="2"/>
      <c r="D54" s="36"/>
      <c r="E54" s="16"/>
      <c r="F54" s="36"/>
      <c r="G54" s="36"/>
    </row>
    <row r="55" spans="1:7" ht="12" customHeight="1">
      <c r="A55" s="33" t="s">
        <v>107</v>
      </c>
      <c r="B55" s="23">
        <v>-327</v>
      </c>
      <c r="C55" s="23">
        <v>11314</v>
      </c>
      <c r="D55" s="23">
        <v>11314</v>
      </c>
      <c r="E55" s="19">
        <v>16547.744999999995</v>
      </c>
      <c r="F55" s="23">
        <v>16915.137000000002</v>
      </c>
      <c r="G55" s="23">
        <v>18352.326000000001</v>
      </c>
    </row>
    <row r="56" spans="1:7" ht="12.75" customHeight="1" thickBot="1">
      <c r="A56" s="30" t="s">
        <v>39</v>
      </c>
      <c r="B56" s="31">
        <v>11314</v>
      </c>
      <c r="C56" s="31">
        <v>13664</v>
      </c>
      <c r="D56" s="31">
        <v>16547.744999999995</v>
      </c>
      <c r="E56" s="32">
        <v>16915.137000000002</v>
      </c>
      <c r="F56" s="31">
        <v>18352.326000000001</v>
      </c>
      <c r="G56" s="31">
        <v>20991.979999999996</v>
      </c>
    </row>
    <row r="57" spans="1:7" ht="12.75" customHeight="1">
      <c r="B57" s="36"/>
      <c r="C57" s="36"/>
      <c r="D57" s="36"/>
      <c r="E57" s="36"/>
      <c r="F57" s="36"/>
      <c r="G57" s="36"/>
    </row>
    <row r="61" spans="1:7">
      <c r="C61" t="s">
        <v>184</v>
      </c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92D050"/>
    <pageSetUpPr fitToPage="1"/>
  </sheetPr>
  <dimension ref="A1:H6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1048576"/>
    </sheetView>
  </sheetViews>
  <sheetFormatPr defaultColWidth="9" defaultRowHeight="12"/>
  <cols>
    <col min="1" max="1" width="51.7109375" customWidth="1"/>
    <col min="2" max="5" width="8" customWidth="1"/>
    <col min="6" max="7" width="8" style="40" customWidth="1"/>
    <col min="8" max="8" width="9" style="40"/>
  </cols>
  <sheetData>
    <row r="1" spans="1:8" ht="15.75">
      <c r="A1" s="1" t="s">
        <v>108</v>
      </c>
      <c r="B1" s="5"/>
      <c r="C1" s="40"/>
      <c r="D1" s="40"/>
    </row>
    <row r="2" spans="1:8" ht="4.5" customHeight="1">
      <c r="A2" s="4"/>
      <c r="B2" s="5"/>
      <c r="F2"/>
      <c r="G2"/>
      <c r="H2"/>
    </row>
    <row r="3" spans="1:8">
      <c r="A3" s="6"/>
      <c r="B3" s="7" t="s">
        <v>5</v>
      </c>
      <c r="C3" s="588" t="s">
        <v>6</v>
      </c>
      <c r="D3" s="588"/>
      <c r="E3" s="8" t="s">
        <v>291</v>
      </c>
      <c r="F3" s="7" t="s">
        <v>336</v>
      </c>
      <c r="G3" s="7" t="s">
        <v>377</v>
      </c>
      <c r="H3"/>
    </row>
    <row r="4" spans="1:8">
      <c r="A4" s="9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  <c r="H4"/>
    </row>
    <row r="5" spans="1:8" ht="11.1" customHeight="1">
      <c r="A5" s="50" t="s">
        <v>109</v>
      </c>
      <c r="B5" s="18"/>
      <c r="C5" s="18"/>
      <c r="D5" s="18"/>
      <c r="E5" s="16"/>
      <c r="F5" s="36"/>
      <c r="G5" s="36"/>
      <c r="H5"/>
    </row>
    <row r="6" spans="1:8" ht="11.1" customHeight="1">
      <c r="A6" s="127" t="s">
        <v>90</v>
      </c>
      <c r="B6" s="18">
        <v>13925</v>
      </c>
      <c r="C6" s="18">
        <v>14069</v>
      </c>
      <c r="D6" s="18">
        <v>15239</v>
      </c>
      <c r="E6" s="19">
        <v>15604</v>
      </c>
      <c r="F6" s="18">
        <v>16514</v>
      </c>
      <c r="G6" s="18">
        <v>17512</v>
      </c>
      <c r="H6"/>
    </row>
    <row r="7" spans="1:8" ht="11.1" customHeight="1">
      <c r="A7" s="127" t="s">
        <v>91</v>
      </c>
      <c r="B7" s="18">
        <v>8167</v>
      </c>
      <c r="C7" s="18">
        <v>5911</v>
      </c>
      <c r="D7" s="18">
        <v>7204</v>
      </c>
      <c r="E7" s="19">
        <v>7028</v>
      </c>
      <c r="F7" s="18">
        <v>7052</v>
      </c>
      <c r="G7" s="18">
        <v>7320</v>
      </c>
      <c r="H7"/>
    </row>
    <row r="8" spans="1:8" ht="11.1" customHeight="1">
      <c r="A8" s="227"/>
      <c r="B8" s="51">
        <v>22092</v>
      </c>
      <c r="C8" s="51">
        <v>19980</v>
      </c>
      <c r="D8" s="51">
        <v>22443</v>
      </c>
      <c r="E8" s="52">
        <v>22632</v>
      </c>
      <c r="F8" s="51">
        <v>23566</v>
      </c>
      <c r="G8" s="51">
        <v>24832</v>
      </c>
      <c r="H8" s="36"/>
    </row>
    <row r="9" spans="1:8" ht="11.1" customHeight="1">
      <c r="A9" s="50" t="s">
        <v>110</v>
      </c>
      <c r="B9" s="18"/>
      <c r="C9" s="23"/>
      <c r="D9" s="23"/>
      <c r="E9" s="19"/>
      <c r="F9" s="18"/>
      <c r="G9" s="18"/>
    </row>
    <row r="10" spans="1:8" ht="11.1" customHeight="1">
      <c r="A10" s="127" t="s">
        <v>401</v>
      </c>
      <c r="B10" s="18">
        <v>2537</v>
      </c>
      <c r="C10" s="18">
        <v>2504</v>
      </c>
      <c r="D10" s="18">
        <v>2504</v>
      </c>
      <c r="E10" s="19">
        <v>2733</v>
      </c>
      <c r="F10" s="18">
        <v>2856</v>
      </c>
      <c r="G10" s="18">
        <v>2979</v>
      </c>
      <c r="H10"/>
    </row>
    <row r="11" spans="1:8" ht="11.1" customHeight="1">
      <c r="A11" s="127" t="s">
        <v>409</v>
      </c>
      <c r="B11" s="18">
        <v>139</v>
      </c>
      <c r="C11" s="18">
        <v>769</v>
      </c>
      <c r="D11" s="18">
        <v>243</v>
      </c>
      <c r="E11" s="19">
        <v>1398</v>
      </c>
      <c r="F11" s="18">
        <v>1440</v>
      </c>
      <c r="G11" s="18">
        <v>1472</v>
      </c>
      <c r="H11"/>
    </row>
    <row r="12" spans="1:8" ht="11.1" customHeight="1">
      <c r="A12" s="127" t="s">
        <v>111</v>
      </c>
      <c r="B12" s="18">
        <v>513</v>
      </c>
      <c r="C12" s="18">
        <v>489</v>
      </c>
      <c r="D12" s="18">
        <v>462</v>
      </c>
      <c r="E12" s="19">
        <v>473</v>
      </c>
      <c r="F12" s="18">
        <v>461</v>
      </c>
      <c r="G12" s="18">
        <v>435</v>
      </c>
      <c r="H12"/>
    </row>
    <row r="13" spans="1:8" ht="11.1" customHeight="1">
      <c r="A13" s="127" t="s">
        <v>112</v>
      </c>
      <c r="B13" s="18">
        <v>806</v>
      </c>
      <c r="C13" s="18">
        <v>851</v>
      </c>
      <c r="D13" s="18">
        <v>860</v>
      </c>
      <c r="E13" s="19">
        <v>918</v>
      </c>
      <c r="F13" s="18">
        <v>980</v>
      </c>
      <c r="G13" s="18">
        <v>1046</v>
      </c>
      <c r="H13"/>
    </row>
    <row r="14" spans="1:8" ht="11.1" customHeight="1">
      <c r="A14" s="127" t="s">
        <v>114</v>
      </c>
      <c r="B14" s="18">
        <v>172</v>
      </c>
      <c r="C14" s="18">
        <v>173</v>
      </c>
      <c r="D14" s="18">
        <v>190</v>
      </c>
      <c r="E14" s="19">
        <v>196</v>
      </c>
      <c r="F14" s="18">
        <v>201</v>
      </c>
      <c r="G14" s="18">
        <v>205</v>
      </c>
      <c r="H14"/>
    </row>
    <row r="15" spans="1:8" ht="11.1" customHeight="1">
      <c r="A15" s="127" t="s">
        <v>113</v>
      </c>
      <c r="B15" s="18">
        <v>104</v>
      </c>
      <c r="C15" s="18">
        <v>97</v>
      </c>
      <c r="D15" s="18">
        <v>113</v>
      </c>
      <c r="E15" s="19">
        <v>118</v>
      </c>
      <c r="F15" s="18">
        <v>123</v>
      </c>
      <c r="G15" s="18">
        <v>129</v>
      </c>
      <c r="H15"/>
    </row>
    <row r="16" spans="1:8" ht="11.1" customHeight="1">
      <c r="A16" s="127" t="s">
        <v>410</v>
      </c>
      <c r="B16" s="18">
        <v>161</v>
      </c>
      <c r="C16" s="18">
        <v>129</v>
      </c>
      <c r="D16" s="18">
        <v>98</v>
      </c>
      <c r="E16" s="19">
        <v>177</v>
      </c>
      <c r="F16" s="18">
        <v>268</v>
      </c>
      <c r="G16" s="18">
        <v>269</v>
      </c>
      <c r="H16"/>
    </row>
    <row r="17" spans="1:8" ht="11.1" customHeight="1">
      <c r="A17" s="227"/>
      <c r="B17" s="51">
        <v>4432</v>
      </c>
      <c r="C17" s="51">
        <v>5012</v>
      </c>
      <c r="D17" s="51">
        <v>4470</v>
      </c>
      <c r="E17" s="52">
        <v>6013</v>
      </c>
      <c r="F17" s="51">
        <v>6329</v>
      </c>
      <c r="G17" s="51">
        <v>6535</v>
      </c>
      <c r="H17" s="36"/>
    </row>
    <row r="18" spans="1:8" ht="11.1" customHeight="1">
      <c r="A18" s="213" t="s">
        <v>115</v>
      </c>
      <c r="B18" s="18"/>
      <c r="C18" s="23"/>
      <c r="D18" s="23"/>
      <c r="E18" s="19"/>
      <c r="F18" s="18"/>
      <c r="G18" s="18"/>
      <c r="H18"/>
    </row>
    <row r="19" spans="1:8" ht="11.1" customHeight="1">
      <c r="A19" s="211" t="s">
        <v>116</v>
      </c>
      <c r="B19" s="18">
        <v>16879</v>
      </c>
      <c r="C19" s="18">
        <v>12555</v>
      </c>
      <c r="D19" s="18">
        <v>14367</v>
      </c>
      <c r="E19" s="19">
        <v>12538</v>
      </c>
      <c r="F19" s="18">
        <v>12857</v>
      </c>
      <c r="G19" s="18">
        <v>12888</v>
      </c>
      <c r="H19"/>
    </row>
    <row r="20" spans="1:8" ht="11.1" customHeight="1">
      <c r="A20" s="211" t="s">
        <v>117</v>
      </c>
      <c r="B20" s="18">
        <v>3968</v>
      </c>
      <c r="C20" s="18">
        <v>2905</v>
      </c>
      <c r="D20" s="18">
        <v>3139</v>
      </c>
      <c r="E20" s="19">
        <v>2779</v>
      </c>
      <c r="F20" s="18">
        <v>2697</v>
      </c>
      <c r="G20" s="18">
        <v>2689</v>
      </c>
      <c r="H20" s="228"/>
    </row>
    <row r="21" spans="1:8" ht="11.1" customHeight="1">
      <c r="A21" s="211" t="s">
        <v>118</v>
      </c>
      <c r="B21" s="18">
        <v>3595</v>
      </c>
      <c r="C21" s="18">
        <v>2465</v>
      </c>
      <c r="D21" s="18">
        <v>1249</v>
      </c>
      <c r="E21" s="19">
        <v>1468</v>
      </c>
      <c r="F21" s="18">
        <v>1742</v>
      </c>
      <c r="G21" s="18">
        <v>1793</v>
      </c>
      <c r="H21" s="229"/>
    </row>
    <row r="22" spans="1:8" ht="11.1" customHeight="1">
      <c r="A22" s="211" t="s">
        <v>119</v>
      </c>
      <c r="B22" s="18">
        <v>465</v>
      </c>
      <c r="C22" s="18">
        <v>307</v>
      </c>
      <c r="D22" s="18">
        <v>435</v>
      </c>
      <c r="E22" s="19">
        <v>321</v>
      </c>
      <c r="F22" s="18">
        <v>335</v>
      </c>
      <c r="G22" s="18">
        <v>361</v>
      </c>
      <c r="H22" s="228"/>
    </row>
    <row r="23" spans="1:8" ht="11.1" customHeight="1">
      <c r="A23" s="211" t="s">
        <v>120</v>
      </c>
      <c r="B23" s="18">
        <v>335</v>
      </c>
      <c r="C23" s="18">
        <v>129</v>
      </c>
      <c r="D23" s="18">
        <v>226</v>
      </c>
      <c r="E23" s="19">
        <v>209</v>
      </c>
      <c r="F23" s="18">
        <v>208</v>
      </c>
      <c r="G23" s="18">
        <v>208</v>
      </c>
      <c r="H23" s="228"/>
    </row>
    <row r="24" spans="1:8" ht="11.1" customHeight="1">
      <c r="A24" s="227"/>
      <c r="B24" s="51">
        <v>25242</v>
      </c>
      <c r="C24" s="230">
        <v>18361</v>
      </c>
      <c r="D24" s="230">
        <v>19416</v>
      </c>
      <c r="E24" s="52">
        <v>17315</v>
      </c>
      <c r="F24" s="51">
        <v>17839</v>
      </c>
      <c r="G24" s="51">
        <v>17939</v>
      </c>
      <c r="H24" s="228"/>
    </row>
    <row r="25" spans="1:8" ht="11.1" customHeight="1">
      <c r="A25" s="213" t="s">
        <v>93</v>
      </c>
      <c r="B25" s="18"/>
      <c r="C25" s="23"/>
      <c r="D25" s="23"/>
      <c r="E25" s="19"/>
      <c r="F25" s="18"/>
      <c r="G25" s="18"/>
      <c r="H25" s="228"/>
    </row>
    <row r="26" spans="1:8" ht="11.1" customHeight="1">
      <c r="A26" s="211" t="s">
        <v>121</v>
      </c>
      <c r="B26" s="18">
        <v>5507</v>
      </c>
      <c r="C26" s="18">
        <v>6079</v>
      </c>
      <c r="D26" s="18">
        <v>5963.6</v>
      </c>
      <c r="E26" s="19">
        <v>6164</v>
      </c>
      <c r="F26" s="18">
        <v>6550</v>
      </c>
      <c r="G26" s="18">
        <v>6925</v>
      </c>
      <c r="H26"/>
    </row>
    <row r="27" spans="1:8" ht="11.1" customHeight="1">
      <c r="A27" s="211" t="s">
        <v>122</v>
      </c>
      <c r="B27" s="18">
        <v>1864</v>
      </c>
      <c r="C27" s="18">
        <v>1942</v>
      </c>
      <c r="D27" s="18">
        <v>1902.4</v>
      </c>
      <c r="E27" s="19">
        <v>2001.2</v>
      </c>
      <c r="F27" s="18">
        <v>2086</v>
      </c>
      <c r="G27" s="18">
        <v>2163</v>
      </c>
      <c r="H27"/>
    </row>
    <row r="28" spans="1:8" ht="11.1" customHeight="1">
      <c r="A28" s="211" t="s">
        <v>123</v>
      </c>
      <c r="B28" s="18">
        <v>576</v>
      </c>
      <c r="C28" s="18">
        <v>617</v>
      </c>
      <c r="D28" s="18">
        <v>632</v>
      </c>
      <c r="E28" s="19">
        <v>633</v>
      </c>
      <c r="F28" s="18">
        <v>644</v>
      </c>
      <c r="G28" s="18">
        <v>652</v>
      </c>
      <c r="H28"/>
    </row>
    <row r="29" spans="1:8" ht="11.1" customHeight="1">
      <c r="A29" s="211" t="s">
        <v>124</v>
      </c>
      <c r="B29" s="18">
        <v>580</v>
      </c>
      <c r="C29" s="18">
        <v>935</v>
      </c>
      <c r="D29" s="18">
        <v>791.9</v>
      </c>
      <c r="E29" s="19">
        <v>840.2</v>
      </c>
      <c r="F29" s="18">
        <v>738.3</v>
      </c>
      <c r="G29" s="18">
        <v>1039.8</v>
      </c>
      <c r="H29"/>
    </row>
    <row r="30" spans="1:8" ht="11.1" customHeight="1">
      <c r="A30" s="211" t="s">
        <v>125</v>
      </c>
      <c r="B30" s="18">
        <v>455</v>
      </c>
      <c r="C30" s="18">
        <v>480</v>
      </c>
      <c r="D30" s="18">
        <v>676.3</v>
      </c>
      <c r="E30" s="19">
        <v>536.70000000000005</v>
      </c>
      <c r="F30" s="18">
        <v>589.9</v>
      </c>
      <c r="G30" s="18">
        <v>629.20000000000005</v>
      </c>
      <c r="H30"/>
    </row>
    <row r="31" spans="1:8" ht="11.1" customHeight="1">
      <c r="A31" s="211" t="s">
        <v>126</v>
      </c>
      <c r="B31" s="18">
        <v>341</v>
      </c>
      <c r="C31" s="18">
        <v>325</v>
      </c>
      <c r="D31" s="18">
        <v>316.7</v>
      </c>
      <c r="E31" s="19">
        <v>316.7</v>
      </c>
      <c r="F31" s="18">
        <v>316.7</v>
      </c>
      <c r="G31" s="18">
        <v>314.3</v>
      </c>
      <c r="H31"/>
    </row>
    <row r="32" spans="1:8" ht="11.1" customHeight="1">
      <c r="A32" s="211" t="s">
        <v>349</v>
      </c>
      <c r="B32" s="18">
        <v>655</v>
      </c>
      <c r="C32" s="18">
        <v>937</v>
      </c>
      <c r="D32" s="18">
        <v>936.8</v>
      </c>
      <c r="E32" s="19">
        <v>1139.2</v>
      </c>
      <c r="F32" s="18">
        <v>1226.3</v>
      </c>
      <c r="G32" s="18">
        <v>1226.3</v>
      </c>
      <c r="H32"/>
    </row>
    <row r="33" spans="1:8" ht="11.1" customHeight="1">
      <c r="A33" s="127" t="s">
        <v>379</v>
      </c>
      <c r="B33" s="18">
        <v>1385</v>
      </c>
      <c r="C33" s="18">
        <v>1237</v>
      </c>
      <c r="D33" s="18">
        <v>1436.3</v>
      </c>
      <c r="E33" s="19">
        <v>1008</v>
      </c>
      <c r="F33" s="18">
        <v>1010</v>
      </c>
      <c r="G33" s="18">
        <v>694</v>
      </c>
      <c r="H33"/>
    </row>
    <row r="34" spans="1:8" ht="11.1" customHeight="1">
      <c r="A34" s="227"/>
      <c r="B34" s="51">
        <v>11363</v>
      </c>
      <c r="C34" s="230">
        <v>12552</v>
      </c>
      <c r="D34" s="230">
        <v>12655.999999999998</v>
      </c>
      <c r="E34" s="52">
        <v>12640.000000000004</v>
      </c>
      <c r="F34" s="51">
        <v>13161.199999999999</v>
      </c>
      <c r="G34" s="51">
        <v>13643.599999999999</v>
      </c>
      <c r="H34"/>
    </row>
    <row r="35" spans="1:8" ht="11.1" customHeight="1">
      <c r="A35" s="213" t="s">
        <v>127</v>
      </c>
      <c r="B35" s="18"/>
      <c r="C35" s="23"/>
      <c r="D35" s="23"/>
      <c r="E35" s="19"/>
      <c r="F35" s="18"/>
      <c r="G35" s="18"/>
      <c r="H35"/>
    </row>
    <row r="36" spans="1:8" ht="11.1" customHeight="1">
      <c r="A36" s="211" t="s">
        <v>60</v>
      </c>
      <c r="B36" s="18">
        <v>20</v>
      </c>
      <c r="C36" s="18">
        <v>1226</v>
      </c>
      <c r="D36" s="18">
        <v>2053</v>
      </c>
      <c r="E36" s="19">
        <v>1042</v>
      </c>
      <c r="F36" s="18">
        <v>1360</v>
      </c>
      <c r="G36" s="18">
        <v>1618</v>
      </c>
      <c r="H36"/>
    </row>
    <row r="37" spans="1:8" ht="11.1" customHeight="1">
      <c r="A37" s="211" t="s">
        <v>128</v>
      </c>
      <c r="B37" s="18">
        <v>-13</v>
      </c>
      <c r="C37" s="18">
        <v>352</v>
      </c>
      <c r="D37" s="18">
        <v>526</v>
      </c>
      <c r="E37" s="19">
        <v>291</v>
      </c>
      <c r="F37" s="18">
        <v>353</v>
      </c>
      <c r="G37" s="18">
        <v>408</v>
      </c>
      <c r="H37"/>
    </row>
    <row r="38" spans="1:8" ht="11.1" customHeight="1">
      <c r="A38" s="211" t="s">
        <v>323</v>
      </c>
      <c r="B38" s="18">
        <v>509</v>
      </c>
      <c r="C38" s="18">
        <v>734</v>
      </c>
      <c r="D38" s="18">
        <v>794.6</v>
      </c>
      <c r="E38" s="19">
        <v>757.8</v>
      </c>
      <c r="F38" s="18">
        <v>623.20000000000005</v>
      </c>
      <c r="G38" s="18">
        <v>580.70000000000005</v>
      </c>
      <c r="H38"/>
    </row>
    <row r="39" spans="1:8" ht="11.1" customHeight="1">
      <c r="A39" s="211" t="s">
        <v>67</v>
      </c>
      <c r="B39" s="18">
        <v>86</v>
      </c>
      <c r="C39" s="18">
        <v>126</v>
      </c>
      <c r="D39" s="18">
        <v>112.6</v>
      </c>
      <c r="E39" s="19">
        <v>148.30000000000001</v>
      </c>
      <c r="F39" s="18">
        <v>158.4</v>
      </c>
      <c r="G39" s="18">
        <v>167.4</v>
      </c>
      <c r="H39" s="36"/>
    </row>
    <row r="40" spans="1:8" ht="11.1" customHeight="1">
      <c r="A40" s="127" t="s">
        <v>129</v>
      </c>
      <c r="B40" s="18">
        <v>724</v>
      </c>
      <c r="C40" s="18">
        <v>716</v>
      </c>
      <c r="D40" s="18">
        <v>980.80000000000007</v>
      </c>
      <c r="E40" s="19">
        <v>1027.4000000000001</v>
      </c>
      <c r="F40" s="18">
        <v>938.4</v>
      </c>
      <c r="G40" s="18">
        <v>898</v>
      </c>
      <c r="H40"/>
    </row>
    <row r="41" spans="1:8" ht="11.1" customHeight="1">
      <c r="A41" s="227"/>
      <c r="B41" s="51">
        <v>1326</v>
      </c>
      <c r="C41" s="230">
        <v>3154</v>
      </c>
      <c r="D41" s="230">
        <v>4467</v>
      </c>
      <c r="E41" s="52">
        <v>3266.5000000000005</v>
      </c>
      <c r="F41" s="51">
        <v>3433</v>
      </c>
      <c r="G41" s="51">
        <v>3672.1</v>
      </c>
      <c r="H41"/>
    </row>
    <row r="42" spans="1:8" ht="11.1" customHeight="1">
      <c r="A42" s="213" t="s">
        <v>130</v>
      </c>
      <c r="B42" s="18"/>
      <c r="C42" s="23"/>
      <c r="D42" s="23"/>
      <c r="E42" s="19"/>
      <c r="F42" s="18"/>
      <c r="G42" s="18"/>
      <c r="H42" s="101"/>
    </row>
    <row r="43" spans="1:8" ht="11.1" customHeight="1">
      <c r="A43" s="211" t="s">
        <v>131</v>
      </c>
      <c r="B43" s="18">
        <v>1554</v>
      </c>
      <c r="C43" s="18">
        <v>1515</v>
      </c>
      <c r="D43" s="18">
        <v>1557.98</v>
      </c>
      <c r="E43" s="19">
        <v>1486.9</v>
      </c>
      <c r="F43" s="18">
        <v>1559.4</v>
      </c>
      <c r="G43" s="18">
        <v>1599.1</v>
      </c>
      <c r="H43"/>
    </row>
    <row r="44" spans="1:8" ht="11.1" customHeight="1">
      <c r="A44" s="211" t="s">
        <v>132</v>
      </c>
      <c r="B44" s="18">
        <v>825</v>
      </c>
      <c r="C44" s="18">
        <v>830</v>
      </c>
      <c r="D44" s="18">
        <v>804.4</v>
      </c>
      <c r="E44" s="19">
        <v>807.7</v>
      </c>
      <c r="F44" s="18">
        <v>819.4</v>
      </c>
      <c r="G44" s="18">
        <v>832.4</v>
      </c>
      <c r="H44"/>
    </row>
    <row r="45" spans="1:8" ht="11.1" customHeight="1">
      <c r="A45" s="211" t="s">
        <v>133</v>
      </c>
      <c r="B45" s="18">
        <v>18</v>
      </c>
      <c r="C45" s="18">
        <v>5</v>
      </c>
      <c r="D45" s="18">
        <v>11.1</v>
      </c>
      <c r="E45" s="19">
        <v>7.2</v>
      </c>
      <c r="F45" s="18">
        <v>11.1</v>
      </c>
      <c r="G45" s="18">
        <v>16.399999999999999</v>
      </c>
      <c r="H45"/>
    </row>
    <row r="46" spans="1:8" ht="11.1" customHeight="1">
      <c r="A46" s="211" t="s">
        <v>134</v>
      </c>
      <c r="B46" s="18">
        <v>428</v>
      </c>
      <c r="C46" s="18">
        <v>279</v>
      </c>
      <c r="D46" s="18">
        <v>301</v>
      </c>
      <c r="E46" s="19">
        <v>265.89999999999998</v>
      </c>
      <c r="F46" s="18">
        <v>279.8</v>
      </c>
      <c r="G46" s="18">
        <v>341.99</v>
      </c>
      <c r="H46"/>
    </row>
    <row r="47" spans="1:8" ht="11.1" customHeight="1">
      <c r="A47" s="211" t="s">
        <v>135</v>
      </c>
      <c r="B47" s="18">
        <v>144</v>
      </c>
      <c r="C47" s="18">
        <v>103</v>
      </c>
      <c r="D47" s="18">
        <v>149</v>
      </c>
      <c r="E47" s="19">
        <v>64.5</v>
      </c>
      <c r="F47" s="18">
        <v>64.8</v>
      </c>
      <c r="G47" s="18">
        <v>65.2</v>
      </c>
      <c r="H47"/>
    </row>
    <row r="48" spans="1:8" ht="11.1" customHeight="1">
      <c r="A48" s="127" t="s">
        <v>136</v>
      </c>
      <c r="B48" s="18">
        <v>-488</v>
      </c>
      <c r="C48" s="18">
        <v>-5</v>
      </c>
      <c r="D48" s="18">
        <v>-297.10000000000002</v>
      </c>
      <c r="E48" s="19">
        <v>-509.3</v>
      </c>
      <c r="F48" s="18">
        <v>-535</v>
      </c>
      <c r="G48" s="18">
        <v>-373.59999999999997</v>
      </c>
      <c r="H48"/>
    </row>
    <row r="49" spans="1:8" ht="11.1" customHeight="1">
      <c r="A49" s="227"/>
      <c r="B49" s="51">
        <v>2481</v>
      </c>
      <c r="C49" s="230">
        <v>2727</v>
      </c>
      <c r="D49" s="230">
        <v>2526.38</v>
      </c>
      <c r="E49" s="52">
        <v>2122.9</v>
      </c>
      <c r="F49" s="51">
        <v>2199.5000000000005</v>
      </c>
      <c r="G49" s="51">
        <v>2481.4900000000002</v>
      </c>
      <c r="H49"/>
    </row>
    <row r="50" spans="1:8" ht="11.1" customHeight="1">
      <c r="A50" s="213" t="s">
        <v>137</v>
      </c>
      <c r="B50" s="18"/>
      <c r="C50" s="23"/>
      <c r="D50" s="23"/>
      <c r="E50" s="19"/>
      <c r="F50" s="18"/>
      <c r="G50" s="18"/>
      <c r="H50"/>
    </row>
    <row r="51" spans="1:8" ht="11.1" customHeight="1">
      <c r="A51" s="211" t="s">
        <v>138</v>
      </c>
      <c r="B51" s="18">
        <v>1603</v>
      </c>
      <c r="C51" s="18">
        <v>1771</v>
      </c>
      <c r="D51" s="18">
        <v>1925.1</v>
      </c>
      <c r="E51" s="19">
        <v>1999</v>
      </c>
      <c r="F51" s="18">
        <v>2094.3000000000002</v>
      </c>
      <c r="G51" s="18">
        <v>2136.1</v>
      </c>
      <c r="H51"/>
    </row>
    <row r="52" spans="1:8" ht="11.1" customHeight="1">
      <c r="A52" s="211" t="s">
        <v>139</v>
      </c>
      <c r="B52" s="18">
        <v>723</v>
      </c>
      <c r="C52" s="18">
        <v>754</v>
      </c>
      <c r="D52" s="18">
        <v>818.19999999999993</v>
      </c>
      <c r="E52" s="19">
        <v>845.4</v>
      </c>
      <c r="F52" s="18">
        <v>888.5</v>
      </c>
      <c r="G52" s="18">
        <v>927.2</v>
      </c>
      <c r="H52"/>
    </row>
    <row r="53" spans="1:8" ht="11.1" customHeight="1">
      <c r="A53" s="211" t="s">
        <v>140</v>
      </c>
      <c r="B53" s="18">
        <v>572</v>
      </c>
      <c r="C53" s="18">
        <v>580</v>
      </c>
      <c r="D53" s="18">
        <v>578.80000000000007</v>
      </c>
      <c r="E53" s="19">
        <v>593.9</v>
      </c>
      <c r="F53" s="18">
        <v>608.9</v>
      </c>
      <c r="G53" s="18">
        <v>623.30000000000007</v>
      </c>
      <c r="H53"/>
    </row>
    <row r="54" spans="1:8" ht="11.1" customHeight="1">
      <c r="A54" s="127" t="s">
        <v>141</v>
      </c>
      <c r="B54" s="18">
        <v>511</v>
      </c>
      <c r="C54" s="18">
        <v>613</v>
      </c>
      <c r="D54" s="18">
        <v>624.9</v>
      </c>
      <c r="E54" s="19">
        <v>695.4</v>
      </c>
      <c r="F54" s="18">
        <v>768.2</v>
      </c>
      <c r="G54" s="18">
        <v>825.7</v>
      </c>
      <c r="H54"/>
    </row>
    <row r="55" spans="1:8" ht="11.1" customHeight="1">
      <c r="A55" s="211" t="s">
        <v>142</v>
      </c>
      <c r="B55" s="18">
        <v>310</v>
      </c>
      <c r="C55" s="18">
        <v>384</v>
      </c>
      <c r="D55" s="18">
        <v>386.2</v>
      </c>
      <c r="E55" s="19">
        <v>393.7</v>
      </c>
      <c r="F55" s="18">
        <v>401.3</v>
      </c>
      <c r="G55" s="18">
        <v>407.1</v>
      </c>
      <c r="H55"/>
    </row>
    <row r="56" spans="1:8" ht="11.1" customHeight="1">
      <c r="A56" s="127" t="s">
        <v>96</v>
      </c>
      <c r="B56" s="18">
        <v>938</v>
      </c>
      <c r="C56" s="18">
        <v>938</v>
      </c>
      <c r="D56" s="18">
        <v>966.89999999999986</v>
      </c>
      <c r="E56" s="19">
        <v>856</v>
      </c>
      <c r="F56" s="18">
        <v>790</v>
      </c>
      <c r="G56" s="18">
        <v>832</v>
      </c>
      <c r="H56"/>
    </row>
    <row r="57" spans="1:8" ht="11.1" customHeight="1">
      <c r="A57" s="227"/>
      <c r="B57" s="51">
        <v>4657</v>
      </c>
      <c r="C57" s="230">
        <v>5040</v>
      </c>
      <c r="D57" s="230">
        <v>5300.0999999999995</v>
      </c>
      <c r="E57" s="52">
        <v>5384.4</v>
      </c>
      <c r="F57" s="51">
        <v>5550.7000000000007</v>
      </c>
      <c r="G57" s="51">
        <v>5752.4000000000005</v>
      </c>
      <c r="H57"/>
    </row>
    <row r="58" spans="1:8" ht="11.1" customHeight="1">
      <c r="A58" s="213" t="s">
        <v>96</v>
      </c>
      <c r="B58" s="18"/>
      <c r="C58" s="23"/>
      <c r="D58" s="23"/>
      <c r="E58" s="19"/>
      <c r="F58" s="18"/>
      <c r="G58" s="18"/>
      <c r="H58"/>
    </row>
    <row r="59" spans="1:8" ht="11.1" customHeight="1">
      <c r="A59" s="211" t="s">
        <v>143</v>
      </c>
      <c r="B59" s="18">
        <v>899</v>
      </c>
      <c r="C59" s="18">
        <v>915</v>
      </c>
      <c r="D59" s="18">
        <v>939.90000000000009</v>
      </c>
      <c r="E59" s="19">
        <v>946.7</v>
      </c>
      <c r="F59" s="18">
        <v>976.39999999999986</v>
      </c>
      <c r="G59" s="18">
        <v>995.4</v>
      </c>
      <c r="H59"/>
    </row>
    <row r="60" spans="1:8" ht="11.1" customHeight="1">
      <c r="A60" s="211" t="s">
        <v>144</v>
      </c>
      <c r="B60" s="18">
        <v>699</v>
      </c>
      <c r="C60" s="18">
        <v>662</v>
      </c>
      <c r="D60" s="18">
        <v>738</v>
      </c>
      <c r="E60" s="19">
        <v>783.7</v>
      </c>
      <c r="F60" s="18">
        <v>797</v>
      </c>
      <c r="G60" s="18">
        <v>842.8</v>
      </c>
      <c r="H60"/>
    </row>
    <row r="61" spans="1:8" ht="11.1" customHeight="1">
      <c r="A61" s="211" t="s">
        <v>145</v>
      </c>
      <c r="B61" s="18">
        <v>816</v>
      </c>
      <c r="C61" s="18">
        <v>877</v>
      </c>
      <c r="D61" s="18">
        <v>824.6</v>
      </c>
      <c r="E61" s="19">
        <v>936.4</v>
      </c>
      <c r="F61" s="18">
        <v>972.3</v>
      </c>
      <c r="G61" s="18">
        <v>957.7</v>
      </c>
      <c r="H61"/>
    </row>
    <row r="62" spans="1:8" ht="11.1" customHeight="1">
      <c r="A62" s="211" t="s">
        <v>146</v>
      </c>
      <c r="B62" s="18">
        <v>223</v>
      </c>
      <c r="C62" s="18">
        <v>226</v>
      </c>
      <c r="D62" s="18">
        <v>203</v>
      </c>
      <c r="E62" s="19">
        <v>203</v>
      </c>
      <c r="F62" s="18">
        <v>203</v>
      </c>
      <c r="G62" s="18">
        <v>203</v>
      </c>
      <c r="H62"/>
    </row>
    <row r="63" spans="1:8" ht="11.1" customHeight="1">
      <c r="A63" s="211" t="s">
        <v>147</v>
      </c>
      <c r="B63" s="18">
        <v>436</v>
      </c>
      <c r="C63" s="18">
        <v>108</v>
      </c>
      <c r="D63" s="18">
        <v>134.5</v>
      </c>
      <c r="E63" s="19">
        <v>137.50000000000003</v>
      </c>
      <c r="F63" s="18">
        <v>137.60000000000002</v>
      </c>
      <c r="G63" s="18">
        <v>137.60000000000002</v>
      </c>
      <c r="H63"/>
    </row>
    <row r="64" spans="1:8" ht="11.1" customHeight="1">
      <c r="A64" s="211" t="s">
        <v>148</v>
      </c>
      <c r="B64" s="18">
        <v>764</v>
      </c>
      <c r="C64" s="18">
        <v>523</v>
      </c>
      <c r="D64" s="18">
        <v>850.5</v>
      </c>
      <c r="E64" s="19">
        <v>539</v>
      </c>
      <c r="F64" s="18">
        <v>255</v>
      </c>
      <c r="G64" s="18">
        <v>179</v>
      </c>
      <c r="H64"/>
    </row>
    <row r="65" spans="1:8" ht="11.1" customHeight="1">
      <c r="A65" s="211" t="s">
        <v>400</v>
      </c>
      <c r="B65" s="18">
        <v>690</v>
      </c>
      <c r="C65" s="18">
        <v>516</v>
      </c>
      <c r="D65" s="18">
        <v>659.29999999999984</v>
      </c>
      <c r="E65" s="19">
        <v>618</v>
      </c>
      <c r="F65" s="18">
        <v>631</v>
      </c>
      <c r="G65" s="18">
        <v>645</v>
      </c>
      <c r="H65" s="36"/>
    </row>
    <row r="66" spans="1:8" ht="11.1" customHeight="1">
      <c r="A66" s="227"/>
      <c r="B66" s="51">
        <v>4527</v>
      </c>
      <c r="C66" s="230">
        <v>3827</v>
      </c>
      <c r="D66" s="230">
        <v>4349.3</v>
      </c>
      <c r="E66" s="52">
        <v>4164.3</v>
      </c>
      <c r="F66" s="51">
        <v>3972.7999999999997</v>
      </c>
      <c r="G66" s="51">
        <v>3959.4999999999995</v>
      </c>
      <c r="H66"/>
    </row>
    <row r="67" spans="1:8" ht="11.1" customHeight="1" thickBot="1">
      <c r="A67" s="30" t="s">
        <v>18</v>
      </c>
      <c r="B67" s="231">
        <v>76120</v>
      </c>
      <c r="C67" s="231">
        <v>70653</v>
      </c>
      <c r="D67" s="231">
        <v>75627.780000000013</v>
      </c>
      <c r="E67" s="232">
        <v>73537.100000000006</v>
      </c>
      <c r="F67" s="231">
        <v>76051.199999999997</v>
      </c>
      <c r="G67" s="231">
        <v>78816.09</v>
      </c>
      <c r="H67" s="101"/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scale="94" orientation="portrait" r:id="rId1"/>
  <headerFooter alignWithMargins="0">
    <oddFooter>&amp;L&amp;10&amp;K000000Classification: Protected A_x000D_&amp;1#&amp;"Calibri"&amp;11&amp;K000000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92D050"/>
    <pageSetUpPr fitToPage="1"/>
  </sheetPr>
  <dimension ref="A1:G44"/>
  <sheetViews>
    <sheetView showGridLines="0" zoomScaleNormal="100" workbookViewId="0"/>
  </sheetViews>
  <sheetFormatPr defaultColWidth="9" defaultRowHeight="11.25"/>
  <cols>
    <col min="1" max="1" width="51.7109375" style="233" customWidth="1"/>
    <col min="2" max="2" width="8" style="86" customWidth="1"/>
    <col min="3" max="7" width="8" style="233" customWidth="1"/>
    <col min="8" max="16384" width="9" style="233"/>
  </cols>
  <sheetData>
    <row r="1" spans="1:7" ht="15.75">
      <c r="A1" s="260" t="s">
        <v>162</v>
      </c>
    </row>
    <row r="2" spans="1:7" ht="12">
      <c r="A2" s="261" t="s">
        <v>1</v>
      </c>
      <c r="F2"/>
      <c r="G2"/>
    </row>
    <row r="3" spans="1:7" ht="4.5" customHeight="1">
      <c r="A3" s="261"/>
      <c r="F3"/>
      <c r="G3"/>
    </row>
    <row r="4" spans="1:7"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7" s="262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263"/>
      <c r="B6" s="216"/>
      <c r="C6" s="81"/>
      <c r="D6" s="81"/>
      <c r="E6" s="264"/>
      <c r="F6"/>
      <c r="G6"/>
    </row>
    <row r="7" spans="1:7" s="266" customFormat="1" ht="12.75" customHeight="1">
      <c r="A7" s="267" t="s">
        <v>97</v>
      </c>
      <c r="B7" s="216">
        <v>5716</v>
      </c>
      <c r="C7" s="93">
        <v>5779</v>
      </c>
      <c r="D7" s="93">
        <v>6115.7370000000001</v>
      </c>
      <c r="E7" s="156">
        <v>6304.9319999999998</v>
      </c>
      <c r="F7" s="216">
        <v>6471.0050000000001</v>
      </c>
      <c r="G7" s="93">
        <v>6598.152</v>
      </c>
    </row>
    <row r="8" spans="1:7" s="266" customFormat="1" ht="12.75" customHeight="1">
      <c r="A8" s="267" t="s">
        <v>339</v>
      </c>
      <c r="B8" s="216">
        <v>712</v>
      </c>
      <c r="C8" s="93">
        <v>131</v>
      </c>
      <c r="D8" s="93">
        <v>120.33199999999999</v>
      </c>
      <c r="E8" s="156">
        <v>84.132000000000005</v>
      </c>
      <c r="F8" s="216">
        <v>85.483000000000004</v>
      </c>
      <c r="G8" s="93">
        <v>86.159000000000006</v>
      </c>
    </row>
    <row r="9" spans="1:7" s="266" customFormat="1" ht="12.75" customHeight="1">
      <c r="A9" s="267" t="s">
        <v>340</v>
      </c>
      <c r="B9" s="216">
        <v>685</v>
      </c>
      <c r="C9" s="93">
        <v>804</v>
      </c>
      <c r="D9" s="93">
        <v>793.17499999999995</v>
      </c>
      <c r="E9" s="156">
        <v>869.65200000000004</v>
      </c>
      <c r="F9" s="216">
        <v>871.33699999999999</v>
      </c>
      <c r="G9" s="93">
        <v>869.83500000000004</v>
      </c>
    </row>
    <row r="10" spans="1:7" s="266" customFormat="1" ht="12.75" customHeight="1">
      <c r="A10" s="267" t="s">
        <v>394</v>
      </c>
      <c r="B10" s="216">
        <v>138</v>
      </c>
      <c r="C10" s="93">
        <v>132</v>
      </c>
      <c r="D10" s="93">
        <v>134.33099999999999</v>
      </c>
      <c r="E10" s="156">
        <v>156.512</v>
      </c>
      <c r="F10" s="216">
        <v>159.38499999999999</v>
      </c>
      <c r="G10" s="93">
        <v>164.72</v>
      </c>
    </row>
    <row r="11" spans="1:7" s="266" customFormat="1" ht="12.75" customHeight="1">
      <c r="A11" s="267" t="s">
        <v>385</v>
      </c>
      <c r="B11" s="216">
        <v>1552</v>
      </c>
      <c r="C11" s="93">
        <v>1725</v>
      </c>
      <c r="D11" s="93">
        <v>1634.5650000000001</v>
      </c>
      <c r="E11" s="156">
        <v>1497.5</v>
      </c>
      <c r="F11" s="216">
        <v>1542.692</v>
      </c>
      <c r="G11" s="93">
        <v>1565.316</v>
      </c>
    </row>
    <row r="12" spans="1:7" s="266" customFormat="1" ht="12.75" customHeight="1">
      <c r="A12" s="267" t="s">
        <v>98</v>
      </c>
      <c r="B12" s="216">
        <v>8329</v>
      </c>
      <c r="C12" s="93">
        <v>8836</v>
      </c>
      <c r="D12" s="93">
        <v>8858.91</v>
      </c>
      <c r="E12" s="156">
        <v>9251.9920000000002</v>
      </c>
      <c r="F12" s="216">
        <v>9471.0190000000002</v>
      </c>
      <c r="G12" s="93">
        <v>9561.2800000000007</v>
      </c>
    </row>
    <row r="13" spans="1:7" s="266" customFormat="1" ht="12.75" customHeight="1">
      <c r="A13" s="267" t="s">
        <v>386</v>
      </c>
      <c r="B13" s="216">
        <v>1234</v>
      </c>
      <c r="C13" s="93">
        <v>766</v>
      </c>
      <c r="D13" s="93">
        <v>816.76599999999996</v>
      </c>
      <c r="E13" s="156">
        <v>823.33299999999997</v>
      </c>
      <c r="F13" s="216">
        <v>819.75400000000002</v>
      </c>
      <c r="G13" s="93">
        <v>826.16899999999998</v>
      </c>
    </row>
    <row r="14" spans="1:7" s="266" customFormat="1" ht="12.75" customHeight="1">
      <c r="A14" s="267" t="s">
        <v>342</v>
      </c>
      <c r="B14" s="216">
        <v>427.3</v>
      </c>
      <c r="C14" s="93">
        <v>491</v>
      </c>
      <c r="D14" s="93">
        <v>392.99299999999999</v>
      </c>
      <c r="E14" s="156">
        <v>511.93200000000002</v>
      </c>
      <c r="F14" s="216">
        <v>382.839</v>
      </c>
      <c r="G14" s="93">
        <v>402.92099999999999</v>
      </c>
    </row>
    <row r="15" spans="1:7" s="266" customFormat="1" ht="12.75" customHeight="1">
      <c r="A15" s="267" t="s">
        <v>99</v>
      </c>
      <c r="B15" s="216">
        <v>46</v>
      </c>
      <c r="C15" s="93">
        <v>54</v>
      </c>
      <c r="D15" s="93">
        <v>52.826000000000001</v>
      </c>
      <c r="E15" s="156">
        <v>56.255000000000003</v>
      </c>
      <c r="F15" s="216">
        <v>58.21</v>
      </c>
      <c r="G15" s="93">
        <v>59.542999999999999</v>
      </c>
    </row>
    <row r="16" spans="1:7" s="266" customFormat="1" ht="12.75" customHeight="1">
      <c r="A16" s="267" t="s">
        <v>387</v>
      </c>
      <c r="B16" s="216">
        <v>272.7</v>
      </c>
      <c r="C16" s="93">
        <v>316</v>
      </c>
      <c r="D16" s="93">
        <v>299.13200000000001</v>
      </c>
      <c r="E16" s="156">
        <v>351.13900000000001</v>
      </c>
      <c r="F16" s="216">
        <v>351.03699999999998</v>
      </c>
      <c r="G16" s="93">
        <v>354.31599999999997</v>
      </c>
    </row>
    <row r="17" spans="1:7" s="266" customFormat="1" ht="12.75" customHeight="1">
      <c r="A17" s="267" t="s">
        <v>100</v>
      </c>
      <c r="B17" s="216">
        <v>23438</v>
      </c>
      <c r="C17" s="93">
        <v>24533</v>
      </c>
      <c r="D17" s="93">
        <v>25112.435000000001</v>
      </c>
      <c r="E17" s="156">
        <v>26207.142</v>
      </c>
      <c r="F17" s="216">
        <v>26862.321</v>
      </c>
      <c r="G17" s="93">
        <v>27533.88</v>
      </c>
    </row>
    <row r="18" spans="1:7" ht="12.75" customHeight="1">
      <c r="A18" s="267" t="s">
        <v>388</v>
      </c>
      <c r="B18" s="216">
        <v>38</v>
      </c>
      <c r="C18" s="93">
        <v>40</v>
      </c>
      <c r="D18" s="93">
        <v>39.143999999999998</v>
      </c>
      <c r="E18" s="156">
        <v>41.823</v>
      </c>
      <c r="F18" s="216">
        <v>42.402000000000001</v>
      </c>
      <c r="G18" s="93">
        <v>42.683999999999997</v>
      </c>
    </row>
    <row r="19" spans="1:7" s="266" customFormat="1" ht="12.75" customHeight="1">
      <c r="A19" s="267" t="s">
        <v>101</v>
      </c>
      <c r="B19" s="216">
        <v>185</v>
      </c>
      <c r="C19" s="93">
        <v>214</v>
      </c>
      <c r="D19" s="93">
        <v>210.995</v>
      </c>
      <c r="E19" s="156">
        <v>210.25700000000001</v>
      </c>
      <c r="F19" s="216">
        <v>208.28100000000001</v>
      </c>
      <c r="G19" s="93">
        <v>209.15199999999999</v>
      </c>
    </row>
    <row r="20" spans="1:7" s="266" customFormat="1" ht="12.75" customHeight="1">
      <c r="A20" s="267" t="s">
        <v>102</v>
      </c>
      <c r="B20" s="216">
        <v>447</v>
      </c>
      <c r="C20" s="93">
        <v>462</v>
      </c>
      <c r="D20" s="93">
        <v>464.71699999999998</v>
      </c>
      <c r="E20" s="156">
        <v>488.11500000000001</v>
      </c>
      <c r="F20" s="216">
        <v>503.43599999999998</v>
      </c>
      <c r="G20" s="93">
        <v>496.06</v>
      </c>
    </row>
    <row r="21" spans="1:7" s="266" customFormat="1" ht="12.75" customHeight="1">
      <c r="A21" s="267" t="s">
        <v>389</v>
      </c>
      <c r="B21" s="216">
        <v>1320</v>
      </c>
      <c r="C21" s="93">
        <v>1664</v>
      </c>
      <c r="D21" s="93">
        <v>1645.1320000000001</v>
      </c>
      <c r="E21" s="156">
        <v>1849.472</v>
      </c>
      <c r="F21" s="216">
        <v>1934.12</v>
      </c>
      <c r="G21" s="93">
        <v>1891.635</v>
      </c>
    </row>
    <row r="22" spans="1:7" s="266" customFormat="1" ht="12.75" customHeight="1">
      <c r="A22" s="267" t="s">
        <v>343</v>
      </c>
      <c r="B22" s="216">
        <v>588</v>
      </c>
      <c r="C22" s="93">
        <v>655</v>
      </c>
      <c r="D22" s="93">
        <v>665.53200000000004</v>
      </c>
      <c r="E22" s="156">
        <v>680.82100000000003</v>
      </c>
      <c r="F22" s="216">
        <v>695.94399999999996</v>
      </c>
      <c r="G22" s="93">
        <v>702.35599999999999</v>
      </c>
    </row>
    <row r="23" spans="1:7" s="266" customFormat="1" ht="12.75" customHeight="1">
      <c r="A23" s="267" t="s">
        <v>344</v>
      </c>
      <c r="B23" s="95">
        <v>88</v>
      </c>
      <c r="C23" s="95">
        <v>148</v>
      </c>
      <c r="D23" s="93">
        <v>180.47900000000001</v>
      </c>
      <c r="E23" s="156">
        <v>171.15299999999999</v>
      </c>
      <c r="F23" s="216">
        <v>236.255</v>
      </c>
      <c r="G23" s="93">
        <v>262.08199999999999</v>
      </c>
    </row>
    <row r="24" spans="1:7" s="266" customFormat="1" ht="12.75" customHeight="1">
      <c r="A24" s="267" t="s">
        <v>103</v>
      </c>
      <c r="B24" s="216">
        <v>180</v>
      </c>
      <c r="C24" s="93">
        <v>228</v>
      </c>
      <c r="D24" s="93">
        <v>226.89099999999999</v>
      </c>
      <c r="E24" s="156">
        <v>234.572</v>
      </c>
      <c r="F24" s="216">
        <v>236.929</v>
      </c>
      <c r="G24" s="93">
        <v>237.72499999999999</v>
      </c>
    </row>
    <row r="25" spans="1:7" s="266" customFormat="1" ht="12.75" customHeight="1">
      <c r="A25" s="267" t="s">
        <v>345</v>
      </c>
      <c r="B25" s="216">
        <v>1032</v>
      </c>
      <c r="C25" s="93">
        <v>1187</v>
      </c>
      <c r="D25" s="93">
        <v>1227.271</v>
      </c>
      <c r="E25" s="156">
        <v>1248.9449999999999</v>
      </c>
      <c r="F25" s="216">
        <v>1320.713</v>
      </c>
      <c r="G25" s="93">
        <v>1393.1769999999999</v>
      </c>
    </row>
    <row r="26" spans="1:7" s="266" customFormat="1" ht="12.75" customHeight="1">
      <c r="A26" s="267" t="s">
        <v>341</v>
      </c>
      <c r="B26" s="216">
        <v>4816</v>
      </c>
      <c r="C26" s="93">
        <v>5252</v>
      </c>
      <c r="D26" s="93">
        <v>5271.3019999999997</v>
      </c>
      <c r="E26" s="156">
        <v>5228.8869999999997</v>
      </c>
      <c r="F26" s="216">
        <v>5391.8119999999999</v>
      </c>
      <c r="G26" s="93">
        <v>5557.8969999999999</v>
      </c>
    </row>
    <row r="27" spans="1:7" s="266" customFormat="1" ht="12.75" customHeight="1">
      <c r="A27" s="267" t="s">
        <v>346</v>
      </c>
      <c r="B27" s="216">
        <v>131</v>
      </c>
      <c r="C27" s="93">
        <v>159</v>
      </c>
      <c r="D27" s="93">
        <v>160.904</v>
      </c>
      <c r="E27" s="156">
        <v>179.65</v>
      </c>
      <c r="F27" s="216">
        <v>178.75899999999999</v>
      </c>
      <c r="G27" s="93">
        <v>177.80600000000001</v>
      </c>
    </row>
    <row r="28" spans="1:7" s="266" customFormat="1" ht="12.75" customHeight="1">
      <c r="A28" s="267" t="s">
        <v>347</v>
      </c>
      <c r="B28" s="216">
        <v>660</v>
      </c>
      <c r="C28" s="93">
        <v>704</v>
      </c>
      <c r="D28" s="93">
        <v>708.17600000000004</v>
      </c>
      <c r="E28" s="156">
        <v>759.33100000000002</v>
      </c>
      <c r="F28" s="216">
        <v>799.13</v>
      </c>
      <c r="G28" s="93">
        <v>840.27200000000005</v>
      </c>
    </row>
    <row r="29" spans="1:7" s="266" customFormat="1" ht="12.75" customHeight="1">
      <c r="A29" s="267" t="s">
        <v>390</v>
      </c>
      <c r="B29" s="216">
        <v>92</v>
      </c>
      <c r="C29" s="93">
        <v>103</v>
      </c>
      <c r="D29" s="93">
        <v>111.36</v>
      </c>
      <c r="E29" s="156">
        <v>125.566</v>
      </c>
      <c r="F29" s="216">
        <v>115.633</v>
      </c>
      <c r="G29" s="93">
        <v>112.82299999999999</v>
      </c>
    </row>
    <row r="30" spans="1:7" s="266" customFormat="1" ht="12.75" customHeight="1">
      <c r="A30" s="267" t="s">
        <v>348</v>
      </c>
      <c r="B30" s="216">
        <v>572</v>
      </c>
      <c r="C30" s="93">
        <v>507</v>
      </c>
      <c r="D30" s="93">
        <v>514.24099999999999</v>
      </c>
      <c r="E30" s="156">
        <v>548.97</v>
      </c>
      <c r="F30" s="216">
        <v>574.88400000000001</v>
      </c>
      <c r="G30" s="93">
        <v>559.69500000000005</v>
      </c>
    </row>
    <row r="31" spans="1:7" s="266" customFormat="1" ht="12.75" customHeight="1">
      <c r="A31" s="267" t="s">
        <v>105</v>
      </c>
      <c r="B31" s="216">
        <v>1910</v>
      </c>
      <c r="C31" s="93">
        <v>1971</v>
      </c>
      <c r="D31" s="93">
        <v>1951.914</v>
      </c>
      <c r="E31" s="156">
        <v>2085.7049999999999</v>
      </c>
      <c r="F31" s="216">
        <v>2123.8110000000001</v>
      </c>
      <c r="G31" s="93">
        <v>2111.721</v>
      </c>
    </row>
    <row r="32" spans="1:7" s="266" customFormat="1" ht="12.75" customHeight="1">
      <c r="A32" s="267" t="s">
        <v>106</v>
      </c>
      <c r="B32" s="216">
        <v>128</v>
      </c>
      <c r="C32" s="93">
        <v>178</v>
      </c>
      <c r="D32" s="93">
        <v>167</v>
      </c>
      <c r="E32" s="156">
        <v>156</v>
      </c>
      <c r="F32" s="216">
        <v>158</v>
      </c>
      <c r="G32" s="93">
        <v>181</v>
      </c>
    </row>
    <row r="33" spans="1:7" s="266" customFormat="1" ht="12.75" customHeight="1" thickBot="1">
      <c r="A33" s="269" t="s">
        <v>163</v>
      </c>
      <c r="B33" s="177">
        <v>54737</v>
      </c>
      <c r="C33" s="177">
        <v>57038</v>
      </c>
      <c r="D33" s="177">
        <v>57876.260000000009</v>
      </c>
      <c r="E33" s="178">
        <v>60123.788</v>
      </c>
      <c r="F33" s="177">
        <v>61595.191000000006</v>
      </c>
      <c r="G33" s="177">
        <v>62798.375999999989</v>
      </c>
    </row>
    <row r="34" spans="1:7" s="266" customFormat="1">
      <c r="A34" s="270"/>
      <c r="B34" s="233"/>
      <c r="C34" s="233"/>
      <c r="D34" s="233"/>
      <c r="E34" s="233"/>
      <c r="F34" s="233"/>
      <c r="G34" s="233"/>
    </row>
    <row r="35" spans="1:7" s="266" customFormat="1" ht="12">
      <c r="A35" s="475"/>
      <c r="B35" s="86"/>
      <c r="C35" s="86"/>
      <c r="D35" s="86"/>
      <c r="E35" s="86"/>
      <c r="F35"/>
      <c r="G35"/>
    </row>
    <row r="36" spans="1:7" s="266" customFormat="1" ht="14.25" customHeight="1">
      <c r="A36" s="233"/>
      <c r="B36"/>
      <c r="C36"/>
      <c r="D36"/>
      <c r="E36" s="39"/>
      <c r="F36" s="39"/>
      <c r="G36" s="39"/>
    </row>
    <row r="37" spans="1:7" ht="12">
      <c r="B37"/>
      <c r="C37"/>
      <c r="D37"/>
    </row>
    <row r="38" spans="1:7" ht="12">
      <c r="B38"/>
      <c r="C38"/>
      <c r="D38" s="40"/>
      <c r="E38" s="40"/>
      <c r="F38" s="40"/>
      <c r="G38" s="40"/>
    </row>
    <row r="39" spans="1:7" ht="12">
      <c r="A39"/>
      <c r="B39"/>
      <c r="C39"/>
      <c r="D39" s="40"/>
      <c r="E39" s="40"/>
      <c r="F39" s="40"/>
      <c r="G39" s="40"/>
    </row>
    <row r="40" spans="1:7" ht="12">
      <c r="A40"/>
      <c r="B40"/>
      <c r="C40"/>
      <c r="D40" s="40"/>
      <c r="E40" s="40"/>
      <c r="F40" s="40"/>
      <c r="G40" s="40"/>
    </row>
    <row r="41" spans="1:7" ht="12">
      <c r="A41"/>
      <c r="B41"/>
      <c r="C41"/>
      <c r="D41" s="40"/>
      <c r="E41" s="271"/>
      <c r="F41" s="271"/>
      <c r="G41" s="40"/>
    </row>
    <row r="42" spans="1:7" ht="12">
      <c r="A42"/>
      <c r="B42"/>
      <c r="C42"/>
      <c r="D42"/>
      <c r="E42"/>
      <c r="F42"/>
      <c r="G42"/>
    </row>
    <row r="43" spans="1:7" ht="12">
      <c r="A43"/>
      <c r="B43"/>
      <c r="C43"/>
      <c r="D43"/>
      <c r="E43"/>
      <c r="F43"/>
      <c r="G43"/>
    </row>
    <row r="44" spans="1:7" ht="12">
      <c r="A44"/>
      <c r="B44"/>
      <c r="C44"/>
      <c r="D44"/>
      <c r="E44"/>
      <c r="F44"/>
      <c r="G44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92D050"/>
    <pageSetUpPr fitToPage="1"/>
  </sheetPr>
  <dimension ref="A1:L28"/>
  <sheetViews>
    <sheetView showGridLines="0" zoomScaleNormal="100" zoomScalePageLayoutView="150" workbookViewId="0"/>
  </sheetViews>
  <sheetFormatPr defaultColWidth="9" defaultRowHeight="12"/>
  <cols>
    <col min="1" max="1" width="51.7109375" style="40" customWidth="1"/>
    <col min="2" max="2" width="8" style="39" customWidth="1"/>
    <col min="3" max="3" width="8" style="40" customWidth="1"/>
    <col min="4" max="7" width="8" customWidth="1"/>
    <col min="8" max="9" width="9" customWidth="1"/>
    <col min="10" max="16384" width="9" style="40"/>
  </cols>
  <sheetData>
    <row r="1" spans="1:12" ht="15.75">
      <c r="A1" s="1" t="s">
        <v>164</v>
      </c>
    </row>
    <row r="2" spans="1:12">
      <c r="A2" s="41" t="s">
        <v>1</v>
      </c>
      <c r="J2"/>
      <c r="K2"/>
      <c r="L2"/>
    </row>
    <row r="3" spans="1:12">
      <c r="B3" s="86"/>
      <c r="C3" s="233"/>
      <c r="J3"/>
      <c r="K3"/>
      <c r="L3"/>
    </row>
    <row r="4" spans="1:12" s="234" customFormat="1" ht="12.75" customHeight="1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  <c r="I4"/>
      <c r="J4"/>
      <c r="K4"/>
      <c r="L4"/>
    </row>
    <row r="5" spans="1:12" s="284" customFormat="1" ht="12" customHeight="1">
      <c r="A5" s="9"/>
      <c r="B5" s="11" t="s">
        <v>7</v>
      </c>
      <c r="C5" s="283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I5"/>
      <c r="J5"/>
      <c r="K5"/>
      <c r="L5"/>
    </row>
    <row r="6" spans="1:12" s="172" customFormat="1" ht="8.25" customHeight="1">
      <c r="A6" s="263"/>
      <c r="B6" s="171"/>
      <c r="C6" s="285"/>
      <c r="D6"/>
      <c r="E6" s="54"/>
      <c r="I6"/>
      <c r="J6"/>
      <c r="K6"/>
      <c r="L6"/>
    </row>
    <row r="7" spans="1:12" s="172" customFormat="1" ht="12.75" customHeight="1">
      <c r="A7" s="267" t="s">
        <v>97</v>
      </c>
      <c r="B7" s="48">
        <v>520</v>
      </c>
      <c r="C7" s="285">
        <v>563</v>
      </c>
      <c r="D7" s="53">
        <v>539.60299999999995</v>
      </c>
      <c r="E7" s="54">
        <v>547.80399999999997</v>
      </c>
      <c r="F7" s="53">
        <v>573.21699999999998</v>
      </c>
      <c r="G7" s="53">
        <v>579.17399999999998</v>
      </c>
      <c r="I7"/>
      <c r="J7"/>
      <c r="K7"/>
      <c r="L7"/>
    </row>
    <row r="8" spans="1:12" s="172" customFormat="1" ht="12.75" customHeight="1">
      <c r="A8" s="267" t="s">
        <v>339</v>
      </c>
      <c r="B8" s="48">
        <v>2</v>
      </c>
      <c r="C8" s="285">
        <v>2</v>
      </c>
      <c r="D8" s="53">
        <v>1.6080000000000001</v>
      </c>
      <c r="E8" s="54">
        <v>1.6080000000000001</v>
      </c>
      <c r="F8" s="53">
        <v>1.6080000000000001</v>
      </c>
      <c r="G8" s="53">
        <v>1.6080000000000001</v>
      </c>
      <c r="I8"/>
      <c r="J8"/>
      <c r="K8"/>
      <c r="L8"/>
    </row>
    <row r="9" spans="1:12" s="172" customFormat="1" ht="12.75" customHeight="1">
      <c r="A9" s="267" t="s">
        <v>340</v>
      </c>
      <c r="B9" s="48">
        <v>29</v>
      </c>
      <c r="C9" s="285">
        <v>36</v>
      </c>
      <c r="D9" s="53">
        <v>36.023000000000003</v>
      </c>
      <c r="E9" s="54">
        <v>36.51</v>
      </c>
      <c r="F9" s="53">
        <v>38.503999999999998</v>
      </c>
      <c r="G9" s="53">
        <v>39.633000000000003</v>
      </c>
      <c r="I9"/>
      <c r="J9"/>
      <c r="K9"/>
      <c r="L9"/>
    </row>
    <row r="10" spans="1:12" s="172" customFormat="1" ht="12.75" customHeight="1">
      <c r="A10" s="267" t="s">
        <v>394</v>
      </c>
      <c r="B10" s="48">
        <v>7</v>
      </c>
      <c r="C10" s="285">
        <v>8</v>
      </c>
      <c r="D10" s="53">
        <v>7.5439999999999996</v>
      </c>
      <c r="E10" s="54">
        <v>7.2640000000000002</v>
      </c>
      <c r="F10" s="53">
        <v>6.9640000000000004</v>
      </c>
      <c r="G10" s="53">
        <v>6.9640000000000004</v>
      </c>
      <c r="I10"/>
      <c r="J10"/>
      <c r="K10"/>
      <c r="L10"/>
    </row>
    <row r="11" spans="1:12" s="172" customFormat="1" ht="12.75" customHeight="1">
      <c r="A11" s="267" t="s">
        <v>385</v>
      </c>
      <c r="B11" s="48">
        <v>0</v>
      </c>
      <c r="C11" s="285">
        <v>0</v>
      </c>
      <c r="D11" s="53">
        <v>7.1999999999999995E-2</v>
      </c>
      <c r="E11" s="54">
        <v>7.1999999999999995E-2</v>
      </c>
      <c r="F11" s="53">
        <v>7.1999999999999995E-2</v>
      </c>
      <c r="G11" s="53">
        <v>7.1999999999999995E-2</v>
      </c>
      <c r="I11"/>
      <c r="J11"/>
      <c r="K11"/>
      <c r="L11"/>
    </row>
    <row r="12" spans="1:12" s="172" customFormat="1" ht="12.75" customHeight="1">
      <c r="A12" s="267" t="s">
        <v>98</v>
      </c>
      <c r="B12" s="48">
        <v>480</v>
      </c>
      <c r="C12" s="285">
        <v>479</v>
      </c>
      <c r="D12" s="53">
        <v>467.61700000000002</v>
      </c>
      <c r="E12" s="54">
        <v>484.35599999999999</v>
      </c>
      <c r="F12" s="53">
        <v>483.72500000000002</v>
      </c>
      <c r="G12" s="53">
        <v>483.77</v>
      </c>
      <c r="I12"/>
      <c r="J12"/>
      <c r="K12"/>
      <c r="L12"/>
    </row>
    <row r="13" spans="1:12" s="286" customFormat="1" ht="12.75" customHeight="1">
      <c r="A13" s="267" t="s">
        <v>386</v>
      </c>
      <c r="B13" s="48">
        <v>13</v>
      </c>
      <c r="C13" s="285">
        <v>13</v>
      </c>
      <c r="D13" s="53">
        <v>12.5</v>
      </c>
      <c r="E13" s="54">
        <v>12.5</v>
      </c>
      <c r="F13" s="53">
        <v>12.5</v>
      </c>
      <c r="G13" s="53">
        <v>12.5</v>
      </c>
      <c r="I13"/>
      <c r="J13"/>
      <c r="K13"/>
      <c r="L13"/>
    </row>
    <row r="14" spans="1:12" s="172" customFormat="1" ht="12.75" customHeight="1">
      <c r="A14" s="267" t="s">
        <v>342</v>
      </c>
      <c r="B14" s="48">
        <v>4</v>
      </c>
      <c r="C14" s="285">
        <v>4</v>
      </c>
      <c r="D14" s="53">
        <v>4.4119999999999999</v>
      </c>
      <c r="E14" s="54">
        <v>4.1740000000000004</v>
      </c>
      <c r="F14" s="53">
        <v>4.4640000000000004</v>
      </c>
      <c r="G14" s="53">
        <v>4.617</v>
      </c>
      <c r="I14"/>
      <c r="J14"/>
      <c r="K14"/>
      <c r="L14"/>
    </row>
    <row r="15" spans="1:12" s="172" customFormat="1" ht="12.75" customHeight="1">
      <c r="A15" s="267" t="s">
        <v>387</v>
      </c>
      <c r="B15" s="48">
        <v>32</v>
      </c>
      <c r="C15" s="285">
        <v>38</v>
      </c>
      <c r="D15" s="53">
        <v>37.893000000000001</v>
      </c>
      <c r="E15" s="54">
        <v>45.933</v>
      </c>
      <c r="F15" s="53">
        <v>54.066000000000003</v>
      </c>
      <c r="G15" s="53">
        <v>55.066000000000003</v>
      </c>
      <c r="I15"/>
      <c r="J15"/>
      <c r="K15"/>
      <c r="L15"/>
    </row>
    <row r="16" spans="1:12" s="172" customFormat="1" ht="12.75" customHeight="1">
      <c r="A16" s="267" t="s">
        <v>100</v>
      </c>
      <c r="B16" s="48">
        <v>515</v>
      </c>
      <c r="C16" s="285">
        <v>556</v>
      </c>
      <c r="D16" s="53">
        <v>563.76700000000005</v>
      </c>
      <c r="E16" s="54">
        <v>580.32799999999997</v>
      </c>
      <c r="F16" s="53">
        <v>578.12400000000002</v>
      </c>
      <c r="G16" s="53">
        <v>562.41</v>
      </c>
      <c r="I16"/>
      <c r="J16"/>
      <c r="K16"/>
      <c r="L16"/>
    </row>
    <row r="17" spans="1:12" s="172" customFormat="1" ht="12.75" customHeight="1">
      <c r="A17" s="267" t="s">
        <v>102</v>
      </c>
      <c r="B17" s="48">
        <v>132</v>
      </c>
      <c r="C17" s="285">
        <v>146</v>
      </c>
      <c r="D17" s="53">
        <v>141.48099999999999</v>
      </c>
      <c r="E17" s="54">
        <v>160</v>
      </c>
      <c r="F17" s="53">
        <v>169</v>
      </c>
      <c r="G17" s="53">
        <v>176</v>
      </c>
      <c r="I17"/>
      <c r="J17"/>
      <c r="K17"/>
      <c r="L17"/>
    </row>
    <row r="18" spans="1:12" s="172" customFormat="1" ht="12.75" customHeight="1">
      <c r="A18" s="267" t="s">
        <v>389</v>
      </c>
      <c r="B18" s="48">
        <v>1</v>
      </c>
      <c r="C18" s="285">
        <v>2</v>
      </c>
      <c r="D18" s="53">
        <v>2.1259999999999999</v>
      </c>
      <c r="E18" s="54">
        <v>2.1259999999999999</v>
      </c>
      <c r="F18" s="53">
        <v>2.1259999999999999</v>
      </c>
      <c r="G18" s="53">
        <v>2.1259999999999999</v>
      </c>
      <c r="I18"/>
      <c r="J18"/>
      <c r="K18"/>
      <c r="L18"/>
    </row>
    <row r="19" spans="1:12" s="286" customFormat="1" ht="12.75" customHeight="1">
      <c r="A19" s="267" t="s">
        <v>343</v>
      </c>
      <c r="B19" s="48">
        <v>1</v>
      </c>
      <c r="C19" s="285">
        <v>4</v>
      </c>
      <c r="D19" s="53">
        <v>3.835</v>
      </c>
      <c r="E19" s="54">
        <v>3.835</v>
      </c>
      <c r="F19" s="53">
        <v>3.835</v>
      </c>
      <c r="G19" s="53">
        <v>3.835</v>
      </c>
      <c r="I19"/>
      <c r="J19"/>
      <c r="K19"/>
      <c r="L19"/>
    </row>
    <row r="20" spans="1:12" s="286" customFormat="1" ht="12.75" customHeight="1">
      <c r="A20" s="267" t="s">
        <v>103</v>
      </c>
      <c r="B20" s="48">
        <v>1</v>
      </c>
      <c r="C20" s="285">
        <v>4</v>
      </c>
      <c r="D20" s="53">
        <v>3.6150000000000002</v>
      </c>
      <c r="E20" s="54">
        <v>3.585</v>
      </c>
      <c r="F20" s="53">
        <v>3.61</v>
      </c>
      <c r="G20" s="53">
        <v>3.4039999999999999</v>
      </c>
      <c r="I20"/>
      <c r="J20"/>
      <c r="K20"/>
      <c r="L20"/>
    </row>
    <row r="21" spans="1:12" s="172" customFormat="1" ht="12.75" customHeight="1">
      <c r="A21" s="267" t="s">
        <v>345</v>
      </c>
      <c r="B21" s="48">
        <v>29</v>
      </c>
      <c r="C21" s="285">
        <v>29</v>
      </c>
      <c r="D21" s="53">
        <v>29.213999999999999</v>
      </c>
      <c r="E21" s="54">
        <v>29.219000000000001</v>
      </c>
      <c r="F21" s="53">
        <v>29.224</v>
      </c>
      <c r="G21" s="53">
        <v>29.228999999999999</v>
      </c>
      <c r="I21"/>
      <c r="J21"/>
      <c r="K21"/>
      <c r="L21"/>
    </row>
    <row r="22" spans="1:12" s="172" customFormat="1" ht="12.75" customHeight="1">
      <c r="A22" s="267" t="s">
        <v>341</v>
      </c>
      <c r="B22" s="48">
        <v>51</v>
      </c>
      <c r="C22" s="285">
        <v>52</v>
      </c>
      <c r="D22" s="53">
        <v>51.930999999999997</v>
      </c>
      <c r="E22" s="54">
        <v>51.930999999999997</v>
      </c>
      <c r="F22" s="53">
        <v>51.930999999999997</v>
      </c>
      <c r="G22" s="53">
        <v>51.930999999999997</v>
      </c>
      <c r="I22"/>
      <c r="J22"/>
      <c r="K22"/>
      <c r="L22"/>
    </row>
    <row r="23" spans="1:12" s="172" customFormat="1" ht="12.75" customHeight="1">
      <c r="A23" s="267" t="s">
        <v>346</v>
      </c>
      <c r="B23" s="48">
        <v>17</v>
      </c>
      <c r="C23" s="285">
        <v>18</v>
      </c>
      <c r="D23" s="53">
        <v>18.100000000000001</v>
      </c>
      <c r="E23" s="54">
        <v>18.100000000000001</v>
      </c>
      <c r="F23" s="53">
        <v>18.100000000000001</v>
      </c>
      <c r="G23" s="53">
        <v>18.100000000000001</v>
      </c>
      <c r="I23"/>
      <c r="J23"/>
      <c r="K23"/>
      <c r="L23"/>
    </row>
    <row r="24" spans="1:12" s="172" customFormat="1" ht="12.75" customHeight="1">
      <c r="A24" s="267" t="s">
        <v>347</v>
      </c>
      <c r="B24" s="48">
        <v>51</v>
      </c>
      <c r="C24" s="285">
        <v>79</v>
      </c>
      <c r="D24" s="53">
        <v>77.984999999999999</v>
      </c>
      <c r="E24" s="54">
        <v>80.153999999999996</v>
      </c>
      <c r="F24" s="53">
        <v>80.138999999999996</v>
      </c>
      <c r="G24" s="53">
        <v>79.986000000000004</v>
      </c>
      <c r="I24"/>
      <c r="J24"/>
      <c r="K24"/>
      <c r="L24"/>
    </row>
    <row r="25" spans="1:12" s="172" customFormat="1" ht="12.75" customHeight="1">
      <c r="A25" s="267" t="s">
        <v>348</v>
      </c>
      <c r="B25" s="48">
        <v>751</v>
      </c>
      <c r="C25" s="285">
        <v>823</v>
      </c>
      <c r="D25" s="53">
        <v>823.20600000000002</v>
      </c>
      <c r="E25" s="54">
        <v>861.46100000000001</v>
      </c>
      <c r="F25" s="53">
        <v>892.83199999999999</v>
      </c>
      <c r="G25" s="53">
        <v>913.83199999999999</v>
      </c>
      <c r="I25"/>
      <c r="J25"/>
      <c r="K25"/>
      <c r="L25"/>
    </row>
    <row r="26" spans="1:12" s="172" customFormat="1" ht="12.75" customHeight="1">
      <c r="A26" s="267" t="s">
        <v>105</v>
      </c>
      <c r="B26" s="48">
        <v>28</v>
      </c>
      <c r="C26" s="285">
        <v>25</v>
      </c>
      <c r="D26" s="53">
        <v>23.084</v>
      </c>
      <c r="E26" s="54">
        <v>22.158999999999999</v>
      </c>
      <c r="F26" s="53">
        <v>22.379000000000001</v>
      </c>
      <c r="G26" s="53">
        <v>21.478999999999999</v>
      </c>
      <c r="I26"/>
      <c r="J26"/>
      <c r="K26"/>
      <c r="L26"/>
    </row>
    <row r="27" spans="1:12" s="172" customFormat="1" ht="12.75" customHeight="1">
      <c r="A27" s="267" t="s">
        <v>106</v>
      </c>
      <c r="B27" s="48">
        <v>2</v>
      </c>
      <c r="C27" s="285">
        <v>2</v>
      </c>
      <c r="D27" s="287">
        <v>2</v>
      </c>
      <c r="E27" s="288">
        <v>2</v>
      </c>
      <c r="F27" s="287">
        <v>2</v>
      </c>
      <c r="G27" s="287">
        <v>2</v>
      </c>
      <c r="I27"/>
      <c r="J27"/>
      <c r="K27"/>
      <c r="L27"/>
    </row>
    <row r="28" spans="1:12" s="172" customFormat="1" ht="15" customHeight="1" thickBot="1">
      <c r="A28" s="289" t="s">
        <v>165</v>
      </c>
      <c r="B28" s="290">
        <v>2666</v>
      </c>
      <c r="C28" s="291">
        <v>2883</v>
      </c>
      <c r="D28" s="290">
        <v>2847.6159999999995</v>
      </c>
      <c r="E28" s="292">
        <v>2955.1190000000001</v>
      </c>
      <c r="F28" s="290">
        <v>3029.4199999999996</v>
      </c>
      <c r="G28" s="290">
        <v>3047.7359999999994</v>
      </c>
      <c r="I28"/>
      <c r="J28"/>
      <c r="K28"/>
      <c r="L28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92D050"/>
    <pageSetUpPr fitToPage="1"/>
  </sheetPr>
  <dimension ref="A1:L27"/>
  <sheetViews>
    <sheetView showGridLines="0" zoomScaleNormal="100" workbookViewId="0"/>
  </sheetViews>
  <sheetFormatPr defaultColWidth="8.5703125" defaultRowHeight="12"/>
  <cols>
    <col min="1" max="1" width="51.7109375" customWidth="1"/>
    <col min="2" max="4" width="8" customWidth="1"/>
    <col min="5" max="5" width="8" style="40" customWidth="1"/>
    <col min="6" max="7" width="8" customWidth="1"/>
  </cols>
  <sheetData>
    <row r="1" spans="1:12" ht="15.75">
      <c r="A1" s="1" t="s">
        <v>166</v>
      </c>
      <c r="B1" s="39"/>
      <c r="C1" s="40"/>
      <c r="D1" s="40"/>
    </row>
    <row r="2" spans="1:12">
      <c r="A2" s="41" t="s">
        <v>1</v>
      </c>
      <c r="B2" s="39"/>
      <c r="C2" s="40"/>
      <c r="D2" s="40"/>
    </row>
    <row r="3" spans="1:12">
      <c r="A3" s="40"/>
      <c r="B3" s="86"/>
      <c r="C3" s="233"/>
      <c r="D3" s="233"/>
    </row>
    <row r="4" spans="1:12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12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12" ht="12.75" customHeight="1">
      <c r="A6" s="265" t="s">
        <v>97</v>
      </c>
      <c r="B6" s="39">
        <v>50</v>
      </c>
      <c r="C6" s="39">
        <v>180</v>
      </c>
      <c r="D6" s="39">
        <v>180.2</v>
      </c>
      <c r="E6" s="24">
        <v>196</v>
      </c>
      <c r="F6" s="39">
        <v>203</v>
      </c>
      <c r="G6" s="39">
        <v>203</v>
      </c>
    </row>
    <row r="7" spans="1:12" ht="12.75" customHeight="1">
      <c r="A7" s="265" t="s">
        <v>394</v>
      </c>
      <c r="B7" s="39">
        <v>1</v>
      </c>
      <c r="C7" s="39">
        <v>1</v>
      </c>
      <c r="D7" s="176">
        <v>1</v>
      </c>
      <c r="E7" s="49">
        <v>1</v>
      </c>
      <c r="F7" s="48">
        <v>1</v>
      </c>
      <c r="G7" s="48">
        <v>1</v>
      </c>
    </row>
    <row r="8" spans="1:12" ht="12.75" customHeight="1">
      <c r="A8" s="265" t="s">
        <v>98</v>
      </c>
      <c r="B8" s="39">
        <v>24</v>
      </c>
      <c r="C8" s="39">
        <v>0</v>
      </c>
      <c r="D8" s="176">
        <v>0</v>
      </c>
      <c r="E8" s="49">
        <v>0</v>
      </c>
      <c r="F8" s="48">
        <v>0</v>
      </c>
      <c r="G8" s="48">
        <v>0</v>
      </c>
    </row>
    <row r="9" spans="1:12" ht="12.75" customHeight="1">
      <c r="A9" s="265" t="s">
        <v>387</v>
      </c>
      <c r="B9" s="39">
        <v>1</v>
      </c>
      <c r="C9" s="39">
        <v>1</v>
      </c>
      <c r="D9" s="176">
        <v>1.3</v>
      </c>
      <c r="E9" s="49">
        <v>1</v>
      </c>
      <c r="F9" s="48">
        <v>1</v>
      </c>
      <c r="G9" s="48">
        <v>1</v>
      </c>
    </row>
    <row r="10" spans="1:12" ht="12.75" customHeight="1">
      <c r="A10" s="265" t="s">
        <v>100</v>
      </c>
      <c r="B10" s="294">
        <v>1217</v>
      </c>
      <c r="C10" s="93">
        <v>1278</v>
      </c>
      <c r="D10" s="93">
        <v>1290</v>
      </c>
      <c r="E10" s="156">
        <v>1344</v>
      </c>
      <c r="F10" s="294">
        <v>1379</v>
      </c>
      <c r="G10" s="294">
        <v>1384</v>
      </c>
    </row>
    <row r="11" spans="1:12" ht="12.75" customHeight="1">
      <c r="A11" s="265" t="s">
        <v>102</v>
      </c>
      <c r="B11" s="294">
        <v>1</v>
      </c>
      <c r="C11" s="93">
        <v>2</v>
      </c>
      <c r="D11" s="176">
        <v>1.5</v>
      </c>
      <c r="E11" s="49">
        <v>2</v>
      </c>
      <c r="F11" s="48">
        <v>2</v>
      </c>
      <c r="G11" s="48">
        <v>2</v>
      </c>
    </row>
    <row r="12" spans="1:12" ht="12.75" customHeight="1">
      <c r="A12" s="265" t="s">
        <v>345</v>
      </c>
      <c r="B12" s="48">
        <v>1</v>
      </c>
      <c r="C12" s="176">
        <v>1</v>
      </c>
      <c r="D12" s="176">
        <v>1</v>
      </c>
      <c r="E12" s="49">
        <v>1</v>
      </c>
      <c r="F12" s="48">
        <v>1</v>
      </c>
      <c r="G12" s="48">
        <v>1</v>
      </c>
    </row>
    <row r="13" spans="1:12" ht="12.75" customHeight="1">
      <c r="A13" s="265" t="s">
        <v>346</v>
      </c>
      <c r="B13" s="48">
        <v>4</v>
      </c>
      <c r="C13" s="176">
        <v>6</v>
      </c>
      <c r="D13" s="176">
        <v>5.5</v>
      </c>
      <c r="E13" s="49">
        <v>6</v>
      </c>
      <c r="F13" s="48">
        <v>6</v>
      </c>
      <c r="G13" s="48">
        <v>6</v>
      </c>
    </row>
    <row r="14" spans="1:12" ht="12.75" customHeight="1">
      <c r="A14" s="265" t="s">
        <v>348</v>
      </c>
      <c r="B14" s="48">
        <v>54</v>
      </c>
      <c r="C14" s="176">
        <v>62</v>
      </c>
      <c r="D14" s="176">
        <v>62.1</v>
      </c>
      <c r="E14" s="49">
        <v>65</v>
      </c>
      <c r="F14" s="48">
        <v>66</v>
      </c>
      <c r="G14" s="48">
        <v>66</v>
      </c>
    </row>
    <row r="15" spans="1:12" s="295" customFormat="1" ht="15" customHeight="1" thickBot="1">
      <c r="A15" s="30" t="s">
        <v>168</v>
      </c>
      <c r="B15" s="177">
        <v>1353</v>
      </c>
      <c r="C15" s="31">
        <v>1530</v>
      </c>
      <c r="D15" s="31">
        <v>1542.6</v>
      </c>
      <c r="E15" s="178">
        <v>1616</v>
      </c>
      <c r="F15" s="177">
        <v>1659</v>
      </c>
      <c r="G15" s="177">
        <v>1664</v>
      </c>
      <c r="J15"/>
      <c r="K15"/>
      <c r="L15"/>
    </row>
    <row r="18" spans="1:7">
      <c r="E18"/>
    </row>
    <row r="19" spans="1:7">
      <c r="E19"/>
    </row>
    <row r="20" spans="1:7">
      <c r="E20"/>
    </row>
    <row r="21" spans="1:7">
      <c r="B21" s="48"/>
      <c r="C21" s="48"/>
      <c r="D21" s="48"/>
      <c r="E21" s="48"/>
      <c r="F21" s="48"/>
    </row>
    <row r="22" spans="1:7">
      <c r="B22" s="48"/>
      <c r="C22" s="48"/>
      <c r="D22" s="48"/>
      <c r="E22" s="48"/>
      <c r="F22" s="48"/>
    </row>
    <row r="23" spans="1:7">
      <c r="B23" s="48"/>
      <c r="C23" s="48"/>
      <c r="D23" s="48"/>
      <c r="E23" s="48"/>
      <c r="F23" s="48"/>
      <c r="G23" s="36"/>
    </row>
    <row r="24" spans="1:7">
      <c r="A24" s="265"/>
      <c r="B24" s="48"/>
      <c r="C24" s="48"/>
      <c r="D24" s="48"/>
      <c r="E24" s="48"/>
      <c r="F24" s="48"/>
    </row>
    <row r="25" spans="1:7">
      <c r="A25" s="265"/>
      <c r="B25" s="48"/>
      <c r="C25" s="48"/>
      <c r="D25" s="48"/>
      <c r="E25" s="48"/>
      <c r="F25" s="48"/>
    </row>
    <row r="26" spans="1:7">
      <c r="B26" s="48"/>
      <c r="C26" s="48"/>
      <c r="D26" s="48"/>
      <c r="E26" s="48"/>
      <c r="F26" s="48"/>
    </row>
    <row r="27" spans="1:7">
      <c r="B27" s="48"/>
      <c r="C27" s="48"/>
      <c r="D27" s="48"/>
      <c r="E27" s="48"/>
      <c r="F27" s="48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92D050"/>
    <pageSetUpPr fitToPage="1"/>
  </sheetPr>
  <dimension ref="A1:O26"/>
  <sheetViews>
    <sheetView showGridLines="0" zoomScaleNormal="100" workbookViewId="0">
      <selection activeCell="B1" sqref="B1:G1048576"/>
    </sheetView>
  </sheetViews>
  <sheetFormatPr defaultColWidth="9" defaultRowHeight="11.25"/>
  <cols>
    <col min="1" max="1" width="51.7109375" style="40" customWidth="1"/>
    <col min="2" max="4" width="8" style="39" customWidth="1"/>
    <col min="5" max="7" width="8" style="40" customWidth="1"/>
    <col min="8" max="8" width="9" style="40"/>
    <col min="9" max="9" width="9" style="40" customWidth="1"/>
    <col min="10" max="16384" width="9" style="40"/>
  </cols>
  <sheetData>
    <row r="1" spans="1:15" ht="15.75">
      <c r="A1" s="296" t="s">
        <v>169</v>
      </c>
    </row>
    <row r="2" spans="1:15" ht="12">
      <c r="A2" s="41" t="s">
        <v>1</v>
      </c>
      <c r="J2"/>
      <c r="K2"/>
      <c r="L2"/>
      <c r="M2"/>
      <c r="N2"/>
      <c r="O2"/>
    </row>
    <row r="3" spans="1:15" ht="12" customHeight="1">
      <c r="J3"/>
      <c r="K3"/>
      <c r="L3"/>
      <c r="M3"/>
      <c r="N3"/>
      <c r="O3"/>
    </row>
    <row r="4" spans="1:15" s="234" customFormat="1" ht="12" customHeight="1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  <c r="J4"/>
      <c r="K4"/>
      <c r="L4"/>
      <c r="M4"/>
      <c r="N4"/>
      <c r="O4"/>
    </row>
    <row r="5" spans="1:15" s="234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J5"/>
      <c r="K5"/>
      <c r="L5"/>
      <c r="M5"/>
      <c r="N5"/>
      <c r="O5"/>
    </row>
    <row r="6" spans="1:15" ht="12.75" customHeight="1">
      <c r="A6" s="41" t="s">
        <v>97</v>
      </c>
      <c r="B6" s="294">
        <v>58</v>
      </c>
      <c r="C6" s="93">
        <v>181</v>
      </c>
      <c r="D6" s="93">
        <v>181.58799999999999</v>
      </c>
      <c r="E6" s="156">
        <v>194.626</v>
      </c>
      <c r="F6" s="294">
        <v>197.49199999999999</v>
      </c>
      <c r="G6" s="294">
        <v>197.821</v>
      </c>
      <c r="J6"/>
      <c r="K6"/>
      <c r="L6"/>
      <c r="M6"/>
      <c r="N6"/>
      <c r="O6"/>
    </row>
    <row r="7" spans="1:15" ht="12.75" customHeight="1">
      <c r="A7" s="267" t="s">
        <v>394</v>
      </c>
      <c r="B7" s="294">
        <v>0</v>
      </c>
      <c r="C7" s="93">
        <v>1</v>
      </c>
      <c r="D7" s="93">
        <v>0.99</v>
      </c>
      <c r="E7" s="156">
        <v>1.0900000000000001</v>
      </c>
      <c r="F7" s="294">
        <v>1.0900000000000001</v>
      </c>
      <c r="G7" s="294">
        <v>1.0900000000000001</v>
      </c>
      <c r="J7"/>
      <c r="K7"/>
      <c r="L7"/>
      <c r="M7"/>
      <c r="N7"/>
      <c r="O7"/>
    </row>
    <row r="8" spans="1:15" ht="12.75" customHeight="1">
      <c r="A8" s="40" t="s">
        <v>98</v>
      </c>
      <c r="B8" s="294">
        <v>26</v>
      </c>
      <c r="C8" s="93">
        <v>0</v>
      </c>
      <c r="D8" s="93"/>
      <c r="E8" s="156"/>
      <c r="F8" s="294"/>
      <c r="G8" s="294"/>
      <c r="J8"/>
      <c r="K8"/>
      <c r="L8"/>
      <c r="M8"/>
      <c r="N8"/>
      <c r="O8"/>
    </row>
    <row r="9" spans="1:15" ht="12.75" customHeight="1">
      <c r="A9" s="40" t="s">
        <v>387</v>
      </c>
      <c r="B9" s="294">
        <v>1</v>
      </c>
      <c r="C9" s="93">
        <v>1</v>
      </c>
      <c r="D9" s="93">
        <v>1.31</v>
      </c>
      <c r="E9" s="156">
        <v>1.31</v>
      </c>
      <c r="F9" s="294">
        <v>1.31</v>
      </c>
      <c r="G9" s="294">
        <v>1.31</v>
      </c>
      <c r="J9"/>
      <c r="K9"/>
      <c r="L9"/>
      <c r="M9"/>
      <c r="N9"/>
      <c r="O9"/>
    </row>
    <row r="10" spans="1:15" ht="12.75" customHeight="1">
      <c r="A10" s="297" t="s">
        <v>167</v>
      </c>
      <c r="B10" s="53">
        <v>1201</v>
      </c>
      <c r="C10" s="176">
        <v>1404</v>
      </c>
      <c r="D10" s="176">
        <v>1402.337</v>
      </c>
      <c r="E10" s="54">
        <v>1373.096</v>
      </c>
      <c r="F10" s="53">
        <v>1425.989</v>
      </c>
      <c r="G10" s="53">
        <v>1386.32</v>
      </c>
      <c r="H10" s="297"/>
      <c r="J10"/>
      <c r="K10"/>
      <c r="L10"/>
      <c r="M10"/>
      <c r="N10"/>
      <c r="O10"/>
    </row>
    <row r="11" spans="1:15" s="172" customFormat="1" ht="12.75" customHeight="1">
      <c r="A11" s="297" t="s">
        <v>102</v>
      </c>
      <c r="B11" s="53">
        <v>1</v>
      </c>
      <c r="C11" s="176">
        <v>2</v>
      </c>
      <c r="D11" s="176">
        <v>1.5</v>
      </c>
      <c r="E11" s="49">
        <v>1.5</v>
      </c>
      <c r="F11" s="48">
        <v>1.5</v>
      </c>
      <c r="G11" s="48">
        <v>1.5</v>
      </c>
      <c r="H11" s="297"/>
      <c r="J11"/>
      <c r="K11"/>
      <c r="L11"/>
      <c r="M11"/>
      <c r="N11"/>
      <c r="O11"/>
    </row>
    <row r="12" spans="1:15" s="172" customFormat="1" ht="12.75" customHeight="1">
      <c r="A12" s="267" t="s">
        <v>346</v>
      </c>
      <c r="B12" s="48">
        <v>4</v>
      </c>
      <c r="C12" s="176">
        <v>6</v>
      </c>
      <c r="D12" s="176">
        <v>5.5</v>
      </c>
      <c r="E12" s="49">
        <v>5.5</v>
      </c>
      <c r="F12" s="48">
        <v>5.5</v>
      </c>
      <c r="G12" s="48">
        <v>5.5</v>
      </c>
      <c r="H12" s="297"/>
      <c r="J12"/>
      <c r="K12"/>
      <c r="L12"/>
      <c r="M12"/>
      <c r="N12"/>
      <c r="O12"/>
    </row>
    <row r="13" spans="1:15" s="55" customFormat="1" ht="12.75" customHeight="1">
      <c r="A13" s="267" t="s">
        <v>348</v>
      </c>
      <c r="B13" s="48">
        <v>53</v>
      </c>
      <c r="C13" s="176">
        <v>62</v>
      </c>
      <c r="D13" s="176">
        <v>62.13</v>
      </c>
      <c r="E13" s="49">
        <v>64.614999999999995</v>
      </c>
      <c r="F13" s="48">
        <v>65.906999999999996</v>
      </c>
      <c r="G13" s="48">
        <v>65.906999999999996</v>
      </c>
      <c r="H13" s="297"/>
    </row>
    <row r="14" spans="1:15" s="172" customFormat="1" ht="15" customHeight="1" thickBot="1">
      <c r="A14" s="30" t="s">
        <v>170</v>
      </c>
      <c r="B14" s="177">
        <v>1344</v>
      </c>
      <c r="C14" s="56">
        <v>1656</v>
      </c>
      <c r="D14" s="56">
        <v>1655.355</v>
      </c>
      <c r="E14" s="178">
        <v>1641.7370000000001</v>
      </c>
      <c r="F14" s="177">
        <v>1698.788</v>
      </c>
      <c r="G14" s="177">
        <v>1659.4479999999999</v>
      </c>
      <c r="H14"/>
      <c r="I14"/>
    </row>
    <row r="15" spans="1:15" ht="12">
      <c r="B15" s="36"/>
      <c r="C15"/>
      <c r="D15"/>
      <c r="E15"/>
      <c r="F15"/>
      <c r="G15"/>
      <c r="H15"/>
      <c r="I15"/>
      <c r="J15"/>
    </row>
    <row r="16" spans="1:15" ht="12">
      <c r="B16"/>
      <c r="C16"/>
      <c r="D16"/>
      <c r="E16"/>
      <c r="F16"/>
      <c r="G16"/>
      <c r="H16"/>
      <c r="I16"/>
    </row>
    <row r="17" spans="1:9" ht="12">
      <c r="A17"/>
      <c r="B17"/>
      <c r="C17"/>
      <c r="D17"/>
      <c r="E17"/>
      <c r="F17"/>
      <c r="G17"/>
      <c r="H17"/>
      <c r="I17"/>
    </row>
    <row r="18" spans="1:9" ht="12">
      <c r="A18"/>
      <c r="B18"/>
      <c r="C18"/>
      <c r="D18"/>
      <c r="E18"/>
      <c r="F18"/>
      <c r="G18"/>
      <c r="H18"/>
      <c r="I18"/>
    </row>
    <row r="19" spans="1:9" ht="12">
      <c r="A19"/>
      <c r="B19"/>
      <c r="C19"/>
      <c r="D19"/>
      <c r="E19"/>
      <c r="F19"/>
      <c r="G19"/>
      <c r="H19"/>
      <c r="I19"/>
    </row>
    <row r="26" spans="1:9">
      <c r="A26" s="180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92D050"/>
    <pageSetUpPr fitToPage="1"/>
  </sheetPr>
  <dimension ref="A1:L28"/>
  <sheetViews>
    <sheetView showGridLines="0" zoomScaleNormal="100" workbookViewId="0"/>
  </sheetViews>
  <sheetFormatPr defaultColWidth="9" defaultRowHeight="11.25"/>
  <cols>
    <col min="1" max="1" width="52.42578125" style="41" customWidth="1"/>
    <col min="2" max="2" width="8" style="39" customWidth="1"/>
    <col min="3" max="6" width="8" style="40" customWidth="1"/>
    <col min="7" max="7" width="8" style="39" customWidth="1"/>
    <col min="8" max="9" width="9" style="39"/>
    <col min="10" max="16384" width="9" style="40"/>
  </cols>
  <sheetData>
    <row r="1" spans="1:12" ht="15.75">
      <c r="A1" s="37" t="s">
        <v>149</v>
      </c>
    </row>
    <row r="2" spans="1:12" ht="12">
      <c r="A2" s="4" t="s">
        <v>1</v>
      </c>
      <c r="B2" s="86"/>
      <c r="C2" s="233"/>
      <c r="D2" s="233"/>
      <c r="F2"/>
      <c r="J2"/>
      <c r="K2"/>
      <c r="L2"/>
    </row>
    <row r="3" spans="1:12" ht="4.5" customHeight="1">
      <c r="A3" s="4"/>
      <c r="B3" s="86"/>
      <c r="C3" s="233"/>
      <c r="D3" s="233"/>
      <c r="F3"/>
      <c r="J3"/>
      <c r="K3"/>
      <c r="L3"/>
    </row>
    <row r="4" spans="1:12" s="234" customFormat="1" ht="12.75" customHeight="1">
      <c r="A4" s="41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  <c r="H4" s="39"/>
      <c r="I4" s="39"/>
      <c r="J4"/>
      <c r="K4"/>
      <c r="L4"/>
    </row>
    <row r="5" spans="1:12" s="234" customFormat="1" ht="12.75" customHeight="1">
      <c r="A5" s="235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H5"/>
      <c r="I5" s="39"/>
      <c r="J5"/>
      <c r="K5"/>
      <c r="L5"/>
    </row>
    <row r="6" spans="1:12" s="234" customFormat="1" ht="3.75" customHeight="1">
      <c r="A6" s="236"/>
      <c r="B6" s="237"/>
      <c r="C6" s="237"/>
      <c r="D6" s="237"/>
      <c r="E6" s="238"/>
      <c r="F6"/>
      <c r="G6"/>
      <c r="H6"/>
      <c r="I6" s="39"/>
      <c r="J6"/>
      <c r="K6"/>
      <c r="L6"/>
    </row>
    <row r="7" spans="1:12" s="234" customFormat="1" ht="12.75" customHeight="1">
      <c r="A7" s="239" t="s">
        <v>150</v>
      </c>
      <c r="B7" s="187"/>
      <c r="C7" s="38"/>
      <c r="D7" s="39"/>
      <c r="E7" s="24"/>
      <c r="F7" s="39"/>
      <c r="G7" s="187"/>
      <c r="H7"/>
      <c r="I7" s="39"/>
      <c r="J7"/>
      <c r="K7"/>
      <c r="L7"/>
    </row>
    <row r="8" spans="1:12" s="55" customFormat="1" ht="12.75" customHeight="1">
      <c r="A8" s="127" t="s">
        <v>151</v>
      </c>
      <c r="B8" s="187">
        <v>8</v>
      </c>
      <c r="C8" s="39">
        <v>9</v>
      </c>
      <c r="D8" s="39">
        <v>9</v>
      </c>
      <c r="E8" s="24">
        <v>9</v>
      </c>
      <c r="F8" s="39">
        <v>9</v>
      </c>
      <c r="G8" s="187">
        <v>9</v>
      </c>
      <c r="H8" s="240"/>
      <c r="I8" s="241"/>
      <c r="J8" s="240"/>
      <c r="K8" s="240"/>
      <c r="L8" s="240"/>
    </row>
    <row r="9" spans="1:12" s="172" customFormat="1" ht="12.75" customHeight="1">
      <c r="A9" s="127" t="s">
        <v>156</v>
      </c>
      <c r="B9" s="39">
        <v>972</v>
      </c>
      <c r="C9" s="39">
        <v>850</v>
      </c>
      <c r="D9" s="39">
        <v>952</v>
      </c>
      <c r="E9" s="24">
        <v>1066</v>
      </c>
      <c r="F9" s="39">
        <v>1010</v>
      </c>
      <c r="G9" s="39">
        <v>1049</v>
      </c>
      <c r="H9"/>
      <c r="I9" s="39"/>
      <c r="J9"/>
      <c r="K9"/>
      <c r="L9"/>
    </row>
    <row r="10" spans="1:12" s="172" customFormat="1" ht="15" customHeight="1">
      <c r="A10" s="242" t="s">
        <v>152</v>
      </c>
      <c r="B10" s="243">
        <v>980</v>
      </c>
      <c r="C10" s="243">
        <v>859</v>
      </c>
      <c r="D10" s="243">
        <v>961</v>
      </c>
      <c r="E10" s="244">
        <v>1075</v>
      </c>
      <c r="F10" s="243">
        <v>1019</v>
      </c>
      <c r="G10" s="243">
        <v>1058</v>
      </c>
      <c r="H10"/>
      <c r="I10" s="39"/>
      <c r="J10"/>
      <c r="K10"/>
      <c r="L10"/>
    </row>
    <row r="11" spans="1:12" s="172" customFormat="1" ht="3.75" customHeight="1">
      <c r="B11" s="39"/>
      <c r="C11" s="39"/>
      <c r="D11" s="39"/>
      <c r="E11" s="24"/>
      <c r="F11" s="39"/>
      <c r="G11" s="39"/>
      <c r="H11"/>
      <c r="I11" s="39"/>
      <c r="J11"/>
      <c r="K11"/>
      <c r="L11"/>
    </row>
    <row r="12" spans="1:12" ht="12">
      <c r="A12" s="50" t="s">
        <v>153</v>
      </c>
      <c r="C12" s="39"/>
      <c r="D12" s="39"/>
      <c r="E12" s="24"/>
      <c r="F12" s="39"/>
      <c r="H12"/>
      <c r="J12"/>
      <c r="K12"/>
      <c r="L12"/>
    </row>
    <row r="13" spans="1:12" ht="12.75" customHeight="1">
      <c r="A13" s="127" t="s">
        <v>154</v>
      </c>
      <c r="B13" s="187">
        <v>25</v>
      </c>
      <c r="C13" s="39">
        <v>24</v>
      </c>
      <c r="D13" s="39">
        <v>25</v>
      </c>
      <c r="E13" s="24">
        <v>27</v>
      </c>
      <c r="F13" s="39">
        <v>27</v>
      </c>
      <c r="G13" s="187">
        <v>25</v>
      </c>
      <c r="H13"/>
      <c r="J13"/>
      <c r="K13"/>
      <c r="L13"/>
    </row>
    <row r="14" spans="1:12" ht="12.75" customHeight="1">
      <c r="A14" s="127" t="s">
        <v>155</v>
      </c>
      <c r="B14" s="187">
        <v>103</v>
      </c>
      <c r="C14" s="39">
        <v>101</v>
      </c>
      <c r="D14" s="39">
        <v>100</v>
      </c>
      <c r="E14" s="24">
        <v>97</v>
      </c>
      <c r="F14" s="39">
        <v>93</v>
      </c>
      <c r="G14" s="187">
        <v>91</v>
      </c>
      <c r="H14"/>
      <c r="J14"/>
      <c r="K14"/>
      <c r="L14"/>
    </row>
    <row r="15" spans="1:12" ht="12.75" customHeight="1">
      <c r="A15" s="127" t="s">
        <v>156</v>
      </c>
      <c r="B15" s="187">
        <v>1217</v>
      </c>
      <c r="C15" s="39">
        <v>1113</v>
      </c>
      <c r="D15" s="39">
        <v>1231</v>
      </c>
      <c r="E15" s="245">
        <v>1385</v>
      </c>
      <c r="F15" s="574">
        <v>1314</v>
      </c>
      <c r="G15" s="246">
        <v>1363</v>
      </c>
      <c r="H15"/>
      <c r="J15"/>
      <c r="K15"/>
      <c r="L15"/>
    </row>
    <row r="16" spans="1:12" ht="15" customHeight="1">
      <c r="A16" s="247" t="s">
        <v>152</v>
      </c>
      <c r="B16" s="248">
        <v>1345</v>
      </c>
      <c r="C16" s="243">
        <v>1238</v>
      </c>
      <c r="D16" s="243">
        <v>1356</v>
      </c>
      <c r="E16" s="249">
        <v>1509</v>
      </c>
      <c r="F16" s="575">
        <v>1434</v>
      </c>
      <c r="G16" s="248">
        <v>1479</v>
      </c>
      <c r="H16"/>
      <c r="J16"/>
      <c r="K16"/>
      <c r="L16"/>
    </row>
    <row r="17" spans="1:12" ht="3.75" customHeight="1">
      <c r="A17" s="247"/>
      <c r="B17" s="250"/>
      <c r="C17" s="38"/>
      <c r="D17" s="38"/>
      <c r="E17" s="251"/>
      <c r="F17" s="576"/>
      <c r="G17" s="250"/>
      <c r="H17"/>
      <c r="J17"/>
      <c r="K17"/>
      <c r="L17"/>
    </row>
    <row r="18" spans="1:12" ht="15" customHeight="1">
      <c r="A18" s="252" t="s">
        <v>157</v>
      </c>
      <c r="B18" s="253">
        <v>2325</v>
      </c>
      <c r="C18" s="254">
        <v>2097</v>
      </c>
      <c r="D18" s="254">
        <v>2317</v>
      </c>
      <c r="E18" s="255">
        <v>2584</v>
      </c>
      <c r="F18" s="254">
        <v>2453</v>
      </c>
      <c r="G18" s="253">
        <v>2537</v>
      </c>
      <c r="H18"/>
      <c r="J18"/>
      <c r="K18"/>
      <c r="L18"/>
    </row>
    <row r="19" spans="1:12" ht="3.75" customHeight="1">
      <c r="A19" s="256"/>
      <c r="C19" s="38"/>
      <c r="D19" s="38"/>
      <c r="E19" s="24"/>
      <c r="F19" s="39"/>
      <c r="H19"/>
      <c r="J19"/>
      <c r="K19"/>
      <c r="L19"/>
    </row>
    <row r="20" spans="1:12" ht="12.75" customHeight="1">
      <c r="A20" s="256" t="s">
        <v>158</v>
      </c>
      <c r="C20" s="39"/>
      <c r="D20" s="38"/>
      <c r="E20" s="24"/>
      <c r="F20" s="39"/>
      <c r="H20"/>
      <c r="J20"/>
      <c r="K20"/>
      <c r="L20"/>
    </row>
    <row r="21" spans="1:12" ht="12.75" customHeight="1">
      <c r="A21" s="127" t="s">
        <v>159</v>
      </c>
      <c r="B21" s="39">
        <v>428</v>
      </c>
      <c r="C21" s="39">
        <v>659</v>
      </c>
      <c r="D21" s="39">
        <v>711</v>
      </c>
      <c r="E21" s="24">
        <v>677</v>
      </c>
      <c r="F21" s="39">
        <v>561</v>
      </c>
      <c r="G21" s="39">
        <v>522</v>
      </c>
      <c r="H21"/>
      <c r="J21"/>
      <c r="K21"/>
      <c r="L21"/>
    </row>
    <row r="22" spans="1:12" ht="12.75" customHeight="1">
      <c r="A22" s="127" t="s">
        <v>160</v>
      </c>
      <c r="B22" s="39">
        <v>76</v>
      </c>
      <c r="C22" s="39">
        <v>92</v>
      </c>
      <c r="D22" s="39">
        <v>108</v>
      </c>
      <c r="E22" s="24">
        <v>104</v>
      </c>
      <c r="F22" s="39">
        <v>107</v>
      </c>
      <c r="G22" s="39">
        <v>115</v>
      </c>
      <c r="H22"/>
      <c r="J22"/>
      <c r="K22"/>
      <c r="L22"/>
    </row>
    <row r="23" spans="1:12" ht="12.75" customHeight="1">
      <c r="A23" s="247" t="s">
        <v>152</v>
      </c>
      <c r="B23" s="248">
        <v>504</v>
      </c>
      <c r="C23" s="243">
        <v>751</v>
      </c>
      <c r="D23" s="243">
        <v>819</v>
      </c>
      <c r="E23" s="249">
        <v>781</v>
      </c>
      <c r="F23" s="575">
        <v>668</v>
      </c>
      <c r="G23" s="248">
        <v>637</v>
      </c>
      <c r="H23"/>
      <c r="J23"/>
      <c r="K23"/>
      <c r="L23"/>
    </row>
    <row r="24" spans="1:12" ht="3.75" customHeight="1">
      <c r="A24" s="256"/>
      <c r="C24" s="38"/>
      <c r="D24" s="38"/>
      <c r="E24" s="24"/>
      <c r="F24" s="39"/>
      <c r="H24"/>
      <c r="J24"/>
      <c r="K24"/>
      <c r="L24"/>
    </row>
    <row r="25" spans="1:12" ht="15" customHeight="1" thickBot="1">
      <c r="A25" s="30" t="s">
        <v>161</v>
      </c>
      <c r="B25" s="257">
        <v>2829</v>
      </c>
      <c r="C25" s="257">
        <v>2848</v>
      </c>
      <c r="D25" s="257">
        <v>3136</v>
      </c>
      <c r="E25" s="258">
        <v>3365</v>
      </c>
      <c r="F25" s="257">
        <v>3121</v>
      </c>
      <c r="G25" s="257">
        <v>3174</v>
      </c>
      <c r="H25"/>
      <c r="J25"/>
      <c r="K25"/>
      <c r="L25"/>
    </row>
    <row r="26" spans="1:12" ht="12">
      <c r="A26"/>
      <c r="B26"/>
      <c r="C26"/>
      <c r="D26"/>
    </row>
    <row r="27" spans="1:12" ht="12">
      <c r="A27" s="259"/>
      <c r="B27"/>
      <c r="C27"/>
      <c r="D27"/>
    </row>
    <row r="28" spans="1:12" ht="12">
      <c r="A28"/>
      <c r="B28"/>
      <c r="C28"/>
      <c r="D28" s="36"/>
      <c r="E28" s="36"/>
      <c r="F28" s="36"/>
      <c r="G28" s="36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scale="99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92D050"/>
    <pageSetUpPr fitToPage="1"/>
  </sheetPr>
  <dimension ref="A1:O23"/>
  <sheetViews>
    <sheetView showGridLines="0" zoomScaleNormal="100" zoomScalePageLayoutView="150" workbookViewId="0"/>
  </sheetViews>
  <sheetFormatPr defaultColWidth="9" defaultRowHeight="11.25"/>
  <cols>
    <col min="1" max="1" width="51.7109375" style="233" customWidth="1"/>
    <col min="2" max="2" width="8" style="86" customWidth="1"/>
    <col min="3" max="7" width="8" style="233" customWidth="1"/>
    <col min="8" max="16384" width="9" style="233"/>
  </cols>
  <sheetData>
    <row r="1" spans="1:15" s="266" customFormat="1" ht="18.75" customHeight="1">
      <c r="A1" s="272" t="s">
        <v>395</v>
      </c>
      <c r="B1" s="86"/>
    </row>
    <row r="2" spans="1:15" s="266" customFormat="1" ht="12.75" customHeight="1">
      <c r="A2" s="273" t="s">
        <v>1</v>
      </c>
      <c r="B2" s="86"/>
    </row>
    <row r="3" spans="1:15" s="266" customFormat="1" ht="12.75" customHeight="1">
      <c r="A3" s="274"/>
      <c r="B3" s="86"/>
      <c r="C3" s="233"/>
      <c r="D3" s="233"/>
    </row>
    <row r="4" spans="1:15" s="266" customFormat="1" ht="12.75" customHeight="1">
      <c r="A4" s="274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15" s="266" customFormat="1" ht="12.75" customHeight="1">
      <c r="A5" s="275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15" s="266" customFormat="1" ht="15" customHeight="1">
      <c r="A6" s="276" t="s">
        <v>396</v>
      </c>
      <c r="B6" s="39">
        <v>1141</v>
      </c>
      <c r="C6" s="93">
        <v>0</v>
      </c>
      <c r="D6" s="93">
        <v>1795</v>
      </c>
      <c r="E6" s="24">
        <v>0</v>
      </c>
      <c r="F6" s="39">
        <v>0</v>
      </c>
      <c r="G6" s="39">
        <v>0</v>
      </c>
      <c r="K6" s="95"/>
    </row>
    <row r="7" spans="1:15" s="266" customFormat="1" ht="12.75" customHeight="1">
      <c r="A7" s="276" t="s">
        <v>397</v>
      </c>
      <c r="B7" s="39">
        <v>161</v>
      </c>
      <c r="C7" s="93">
        <v>0</v>
      </c>
      <c r="D7" s="93">
        <v>839</v>
      </c>
      <c r="E7" s="24">
        <v>0</v>
      </c>
      <c r="F7" s="39">
        <v>0</v>
      </c>
      <c r="G7" s="39">
        <v>0</v>
      </c>
    </row>
    <row r="8" spans="1:15" s="266" customFormat="1" ht="12.75" customHeight="1">
      <c r="A8" s="273" t="s">
        <v>398</v>
      </c>
      <c r="B8" s="39">
        <v>0</v>
      </c>
      <c r="C8" s="93">
        <v>0</v>
      </c>
      <c r="D8" s="93">
        <v>4</v>
      </c>
      <c r="E8" s="24">
        <v>0</v>
      </c>
      <c r="F8" s="39">
        <v>0</v>
      </c>
      <c r="G8" s="39">
        <v>0</v>
      </c>
    </row>
    <row r="9" spans="1:15" s="266" customFormat="1" ht="12.75" customHeight="1">
      <c r="A9" s="273" t="s">
        <v>350</v>
      </c>
      <c r="B9" s="39">
        <v>17</v>
      </c>
      <c r="C9" s="93">
        <v>0</v>
      </c>
      <c r="D9" s="93">
        <v>253</v>
      </c>
      <c r="E9" s="24">
        <v>0</v>
      </c>
      <c r="F9" s="39">
        <v>0</v>
      </c>
      <c r="G9" s="39">
        <v>0</v>
      </c>
    </row>
    <row r="10" spans="1:15" s="266" customFormat="1" ht="12.75" customHeight="1">
      <c r="A10" s="273" t="s">
        <v>399</v>
      </c>
      <c r="B10" s="39">
        <v>0</v>
      </c>
      <c r="C10" s="93">
        <v>0</v>
      </c>
      <c r="D10" s="93">
        <v>55</v>
      </c>
      <c r="E10" s="24">
        <v>0</v>
      </c>
      <c r="F10" s="39">
        <v>0</v>
      </c>
      <c r="G10" s="39">
        <v>0</v>
      </c>
    </row>
    <row r="11" spans="1:15" s="266" customFormat="1" ht="15" customHeight="1" thickBot="1">
      <c r="A11" s="277" t="s">
        <v>408</v>
      </c>
      <c r="B11" s="209">
        <v>1319</v>
      </c>
      <c r="C11" s="278">
        <v>0</v>
      </c>
      <c r="D11" s="278">
        <v>2946</v>
      </c>
      <c r="E11" s="279">
        <v>0</v>
      </c>
      <c r="F11" s="306">
        <v>0</v>
      </c>
      <c r="G11" s="280">
        <v>0</v>
      </c>
      <c r="H11"/>
      <c r="I11"/>
      <c r="J11"/>
      <c r="K11"/>
      <c r="L11"/>
      <c r="M11"/>
      <c r="N11"/>
      <c r="O11"/>
    </row>
    <row r="12" spans="1:15" s="266" customFormat="1" ht="12.75" customHeight="1">
      <c r="A12" s="281"/>
      <c r="B12" s="86"/>
      <c r="C12" s="233"/>
      <c r="D12" s="233"/>
      <c r="E12" s="233"/>
      <c r="F12" s="233"/>
      <c r="G12"/>
      <c r="H12"/>
      <c r="I12"/>
      <c r="J12"/>
      <c r="K12"/>
      <c r="L12"/>
      <c r="M12"/>
      <c r="N12"/>
      <c r="O12"/>
    </row>
    <row r="13" spans="1:15" s="266" customFormat="1" ht="12.75" customHeight="1">
      <c r="A13" s="233"/>
      <c r="B13" s="86"/>
      <c r="C13" s="233"/>
      <c r="D13" s="233"/>
      <c r="E13" s="233"/>
      <c r="F13" s="233"/>
      <c r="G13"/>
      <c r="H13"/>
      <c r="I13"/>
      <c r="J13"/>
      <c r="K13"/>
      <c r="L13"/>
      <c r="M13"/>
      <c r="N13"/>
      <c r="O13"/>
    </row>
    <row r="14" spans="1:15" s="266" customFormat="1" ht="12.75" customHeight="1">
      <c r="B14" s="86"/>
      <c r="C14" s="233"/>
      <c r="D14" s="233"/>
      <c r="E14" s="233"/>
      <c r="F14" s="233"/>
      <c r="G14"/>
      <c r="H14"/>
      <c r="I14"/>
      <c r="J14"/>
      <c r="K14"/>
      <c r="L14"/>
      <c r="M14"/>
      <c r="N14"/>
      <c r="O14"/>
    </row>
    <row r="15" spans="1:15" s="266" customFormat="1" ht="12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66" customFormat="1" ht="12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266" customFormat="1" ht="12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266" customFormat="1" ht="12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266" customFormat="1" ht="1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266" customFormat="1" ht="1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266" customFormat="1" ht="12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266" customFormat="1" ht="12.75" customHeight="1"/>
    <row r="23" spans="1:15" s="266" customFormat="1" ht="14.25" customHeight="1"/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3">
    <tabColor rgb="FF92D050"/>
    <pageSetUpPr fitToPage="1"/>
  </sheetPr>
  <dimension ref="A1:P20"/>
  <sheetViews>
    <sheetView showGridLines="0" zoomScale="98" zoomScaleNormal="98" workbookViewId="0"/>
  </sheetViews>
  <sheetFormatPr defaultColWidth="9" defaultRowHeight="12"/>
  <cols>
    <col min="1" max="1" width="53.42578125" style="261" customWidth="1"/>
    <col min="2" max="2" width="9.42578125" style="86" customWidth="1"/>
    <col min="3" max="3" width="9.42578125" style="323" customWidth="1"/>
    <col min="4" max="5" width="9.42578125" style="86" customWidth="1"/>
    <col min="6" max="6" width="9.42578125" style="233" customWidth="1"/>
    <col min="7" max="9" width="8.42578125" customWidth="1"/>
    <col min="10" max="13" width="9" style="233" customWidth="1"/>
    <col min="14" max="16384" width="9" style="233"/>
  </cols>
  <sheetData>
    <row r="1" spans="1:16" ht="18.75">
      <c r="A1" s="322" t="s">
        <v>195</v>
      </c>
    </row>
    <row r="2" spans="1:16">
      <c r="A2" s="324" t="s">
        <v>1</v>
      </c>
    </row>
    <row r="3" spans="1:16" s="266" customFormat="1" ht="12.75" customHeight="1">
      <c r="A3" s="261"/>
      <c r="B3" s="594" t="s">
        <v>27</v>
      </c>
      <c r="C3" s="594"/>
      <c r="D3" s="594"/>
      <c r="E3" s="594"/>
      <c r="F3" s="594"/>
      <c r="G3"/>
      <c r="H3"/>
      <c r="I3"/>
      <c r="O3"/>
      <c r="P3"/>
    </row>
    <row r="4" spans="1:16" s="326" customFormat="1" ht="12.75" customHeight="1">
      <c r="A4" s="325"/>
      <c r="B4" s="43" t="s">
        <v>28</v>
      </c>
      <c r="C4" s="44" t="s">
        <v>29</v>
      </c>
      <c r="D4" s="45" t="s">
        <v>322</v>
      </c>
      <c r="E4" s="44" t="s">
        <v>337</v>
      </c>
      <c r="F4" s="44" t="s">
        <v>393</v>
      </c>
      <c r="G4"/>
      <c r="H4"/>
      <c r="N4"/>
      <c r="O4"/>
    </row>
    <row r="5" spans="1:16" s="326" customFormat="1" ht="12.75" customHeight="1">
      <c r="A5" s="327"/>
      <c r="B5" s="328" t="s">
        <v>7</v>
      </c>
      <c r="C5" s="329" t="s">
        <v>9</v>
      </c>
      <c r="D5" s="330" t="s">
        <v>10</v>
      </c>
      <c r="E5" s="328" t="s">
        <v>11</v>
      </c>
      <c r="F5" s="328" t="s">
        <v>11</v>
      </c>
      <c r="G5"/>
      <c r="H5"/>
      <c r="N5"/>
      <c r="O5"/>
    </row>
    <row r="6" spans="1:16" s="266" customFormat="1" ht="13.5" customHeight="1">
      <c r="A6" s="261" t="s">
        <v>196</v>
      </c>
      <c r="B6" s="48">
        <v>7309</v>
      </c>
      <c r="C6" s="285">
        <v>7040</v>
      </c>
      <c r="D6" s="49">
        <v>6759</v>
      </c>
      <c r="E6" s="171">
        <v>6471</v>
      </c>
      <c r="F6" s="171">
        <v>6178</v>
      </c>
      <c r="G6"/>
      <c r="H6"/>
      <c r="N6"/>
      <c r="O6"/>
    </row>
    <row r="7" spans="1:16" s="266" customFormat="1" ht="13.5" customHeight="1">
      <c r="A7" s="261" t="s">
        <v>197</v>
      </c>
      <c r="B7" s="53">
        <v>375</v>
      </c>
      <c r="C7" s="285">
        <v>346</v>
      </c>
      <c r="D7" s="49">
        <v>315</v>
      </c>
      <c r="E7" s="171">
        <v>284</v>
      </c>
      <c r="F7" s="171">
        <v>251</v>
      </c>
      <c r="G7"/>
      <c r="H7"/>
      <c r="N7"/>
      <c r="O7"/>
    </row>
    <row r="8" spans="1:16" s="266" customFormat="1" ht="13.5" customHeight="1">
      <c r="A8" s="261" t="s">
        <v>198</v>
      </c>
      <c r="B8" s="53">
        <v>198</v>
      </c>
      <c r="C8" s="285">
        <v>178</v>
      </c>
      <c r="D8" s="49">
        <v>155</v>
      </c>
      <c r="E8" s="171">
        <v>131</v>
      </c>
      <c r="F8" s="171">
        <v>110</v>
      </c>
      <c r="G8"/>
      <c r="H8"/>
      <c r="N8"/>
      <c r="O8"/>
    </row>
    <row r="9" spans="1:16" s="266" customFormat="1" ht="13.5" customHeight="1">
      <c r="A9" s="261" t="s">
        <v>199</v>
      </c>
      <c r="B9" s="53">
        <v>77</v>
      </c>
      <c r="C9" s="285">
        <v>66</v>
      </c>
      <c r="D9" s="49">
        <v>65</v>
      </c>
      <c r="E9" s="171">
        <v>63</v>
      </c>
      <c r="F9" s="171">
        <v>61</v>
      </c>
      <c r="G9"/>
      <c r="H9"/>
      <c r="N9"/>
      <c r="O9"/>
    </row>
    <row r="10" spans="1:16" s="266" customFormat="1" ht="13.5" customHeight="1">
      <c r="A10" s="261" t="s">
        <v>200</v>
      </c>
      <c r="B10" s="53">
        <v>34</v>
      </c>
      <c r="C10" s="285">
        <v>32</v>
      </c>
      <c r="D10" s="49">
        <v>30</v>
      </c>
      <c r="E10" s="171">
        <v>28</v>
      </c>
      <c r="F10" s="171">
        <v>26</v>
      </c>
      <c r="G10"/>
      <c r="H10"/>
      <c r="N10"/>
      <c r="O10"/>
    </row>
    <row r="11" spans="1:16" s="266" customFormat="1" ht="13.5" customHeight="1">
      <c r="A11" s="261" t="s">
        <v>201</v>
      </c>
      <c r="B11" s="53">
        <v>25</v>
      </c>
      <c r="C11" s="285">
        <v>25</v>
      </c>
      <c r="D11" s="54">
        <v>25</v>
      </c>
      <c r="E11" s="176">
        <v>25</v>
      </c>
      <c r="F11" s="176">
        <v>24</v>
      </c>
      <c r="G11"/>
      <c r="H11"/>
      <c r="N11"/>
      <c r="O11"/>
    </row>
    <row r="12" spans="1:16" s="266" customFormat="1" ht="13.5" customHeight="1">
      <c r="A12" s="261" t="s">
        <v>202</v>
      </c>
      <c r="B12" s="53">
        <v>3</v>
      </c>
      <c r="C12" s="285">
        <v>1</v>
      </c>
      <c r="D12" s="54">
        <v>0</v>
      </c>
      <c r="E12" s="176">
        <v>0</v>
      </c>
      <c r="F12" s="176">
        <v>0</v>
      </c>
      <c r="G12"/>
      <c r="H12"/>
      <c r="N12"/>
      <c r="O12"/>
    </row>
    <row r="13" spans="1:16" s="266" customFormat="1" ht="13.5" customHeight="1">
      <c r="A13" s="261" t="s">
        <v>203</v>
      </c>
      <c r="B13" s="53">
        <v>251</v>
      </c>
      <c r="C13" s="285">
        <v>226</v>
      </c>
      <c r="D13" s="54">
        <v>201</v>
      </c>
      <c r="E13" s="176">
        <v>175</v>
      </c>
      <c r="F13" s="176">
        <v>149</v>
      </c>
      <c r="G13"/>
      <c r="H13"/>
      <c r="N13"/>
      <c r="O13"/>
    </row>
    <row r="14" spans="1:16" s="266" customFormat="1" ht="15" customHeight="1">
      <c r="A14" s="218" t="s">
        <v>204</v>
      </c>
      <c r="B14" s="331">
        <v>8272</v>
      </c>
      <c r="C14" s="332">
        <v>7914</v>
      </c>
      <c r="D14" s="185">
        <v>7550</v>
      </c>
      <c r="E14" s="333">
        <v>7177</v>
      </c>
      <c r="F14" s="333">
        <v>6799</v>
      </c>
      <c r="G14"/>
      <c r="H14"/>
      <c r="N14"/>
      <c r="O14"/>
    </row>
    <row r="15" spans="1:16" s="266" customFormat="1" ht="15" customHeight="1" thickBot="1">
      <c r="A15" s="334" t="s">
        <v>205</v>
      </c>
      <c r="B15" s="335">
        <v>-21</v>
      </c>
      <c r="C15" s="335">
        <v>-358</v>
      </c>
      <c r="D15" s="336">
        <v>-364</v>
      </c>
      <c r="E15" s="577">
        <v>-373</v>
      </c>
      <c r="F15" s="335">
        <v>-378</v>
      </c>
      <c r="G15"/>
      <c r="H15"/>
      <c r="N15"/>
      <c r="O15"/>
    </row>
    <row r="16" spans="1:16">
      <c r="A16"/>
      <c r="B16"/>
      <c r="C16"/>
      <c r="D16"/>
      <c r="E16"/>
      <c r="F16"/>
      <c r="J16"/>
    </row>
    <row r="17" spans="1:10">
      <c r="A17"/>
      <c r="B17"/>
      <c r="C17"/>
      <c r="D17"/>
      <c r="E17"/>
      <c r="F17"/>
      <c r="J17"/>
    </row>
    <row r="18" spans="1:10">
      <c r="A18"/>
      <c r="B18"/>
      <c r="C18"/>
      <c r="D18"/>
      <c r="E18"/>
      <c r="F18"/>
      <c r="J18"/>
    </row>
    <row r="19" spans="1:10">
      <c r="A19"/>
      <c r="B19"/>
      <c r="C19"/>
      <c r="D19"/>
      <c r="E19"/>
      <c r="F19"/>
      <c r="J19"/>
    </row>
    <row r="20" spans="1:10">
      <c r="A20"/>
      <c r="B20"/>
      <c r="C20"/>
      <c r="D20"/>
      <c r="E20"/>
      <c r="F20"/>
      <c r="J20"/>
    </row>
  </sheetData>
  <mergeCells count="1">
    <mergeCell ref="B3:F3"/>
  </mergeCells>
  <pageMargins left="0.74803149606299213" right="0.74803149606299213" top="0.74803149606299213" bottom="0.74803149606299213" header="0.31496062992125984" footer="0.31496062992125984"/>
  <pageSetup scale="99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tabColor rgb="FF92D050"/>
    <pageSetUpPr fitToPage="1"/>
  </sheetPr>
  <dimension ref="A1:P41"/>
  <sheetViews>
    <sheetView showGridLines="0" zoomScaleNormal="100" workbookViewId="0"/>
  </sheetViews>
  <sheetFormatPr defaultColWidth="8.5703125" defaultRowHeight="12"/>
  <cols>
    <col min="1" max="1" width="52.42578125" customWidth="1"/>
    <col min="2" max="7" width="8" customWidth="1"/>
  </cols>
  <sheetData>
    <row r="1" spans="1:16" ht="18.75">
      <c r="A1" s="337" t="s">
        <v>206</v>
      </c>
      <c r="B1" s="39"/>
    </row>
    <row r="2" spans="1:16" ht="7.35" customHeight="1">
      <c r="A2" s="338"/>
      <c r="B2" s="339"/>
    </row>
    <row r="3" spans="1:16">
      <c r="A3" s="340"/>
      <c r="B3" s="7" t="s">
        <v>5</v>
      </c>
      <c r="C3" s="588" t="s">
        <v>6</v>
      </c>
      <c r="D3" s="588"/>
      <c r="E3" s="8" t="s">
        <v>291</v>
      </c>
      <c r="F3" s="7" t="s">
        <v>336</v>
      </c>
      <c r="G3" s="7" t="s">
        <v>377</v>
      </c>
    </row>
    <row r="4" spans="1:16">
      <c r="A4" s="341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</row>
    <row r="5" spans="1:16" ht="12.75" customHeight="1">
      <c r="A5" s="342" t="s">
        <v>207</v>
      </c>
      <c r="B5" s="343"/>
      <c r="C5" s="80"/>
      <c r="D5" s="80"/>
      <c r="E5" s="24"/>
      <c r="F5" s="39"/>
      <c r="G5" s="39"/>
    </row>
    <row r="6" spans="1:16" ht="12.75" customHeight="1">
      <c r="A6" s="344" t="s">
        <v>60</v>
      </c>
      <c r="B6" s="343">
        <v>-1886</v>
      </c>
      <c r="C6" s="39">
        <v>-1096</v>
      </c>
      <c r="D6" s="118">
        <v>-1921.4040212255095</v>
      </c>
      <c r="E6" s="24">
        <v>-906.77090434713364</v>
      </c>
      <c r="F6" s="39">
        <v>-1220.2788361716973</v>
      </c>
      <c r="G6" s="39">
        <v>-1474.279448280266</v>
      </c>
    </row>
    <row r="7" spans="1:16" ht="12.75" customHeight="1">
      <c r="A7" s="344" t="s">
        <v>134</v>
      </c>
      <c r="B7" s="39">
        <v>-428</v>
      </c>
      <c r="C7" s="39">
        <v>-279</v>
      </c>
      <c r="D7" s="118">
        <v>-301</v>
      </c>
      <c r="E7" s="24">
        <v>-266</v>
      </c>
      <c r="F7" s="39">
        <v>-280</v>
      </c>
      <c r="G7" s="39">
        <v>-342</v>
      </c>
    </row>
    <row r="8" spans="1:16" s="205" customFormat="1" ht="12.6" customHeight="1">
      <c r="A8" s="344" t="s">
        <v>67</v>
      </c>
      <c r="B8" s="345">
        <v>296</v>
      </c>
      <c r="C8" s="39">
        <v>-910</v>
      </c>
      <c r="D8" s="118">
        <v>441</v>
      </c>
      <c r="E8" s="24">
        <v>-1051</v>
      </c>
      <c r="F8" s="39">
        <v>-1225</v>
      </c>
      <c r="G8" s="39">
        <v>-1358</v>
      </c>
    </row>
    <row r="9" spans="1:16" s="205" customFormat="1" ht="12.6" customHeight="1">
      <c r="A9" s="344" t="s">
        <v>208</v>
      </c>
      <c r="B9" s="346">
        <v>67</v>
      </c>
      <c r="C9" s="39">
        <v>-102</v>
      </c>
      <c r="D9" s="118">
        <v>-227.30545818847102</v>
      </c>
      <c r="E9" s="24">
        <v>-118.69248711537892</v>
      </c>
      <c r="F9" s="39">
        <v>-143.21886487773313</v>
      </c>
      <c r="G9" s="39">
        <v>-168.50363520687512</v>
      </c>
    </row>
    <row r="10" spans="1:16" s="205" customFormat="1" ht="12.6" customHeight="1">
      <c r="A10" s="344" t="s">
        <v>209</v>
      </c>
      <c r="B10" s="346">
        <v>49</v>
      </c>
      <c r="C10" s="39">
        <v>-37</v>
      </c>
      <c r="D10" s="145">
        <v>-126.76470450167021</v>
      </c>
      <c r="E10" s="24">
        <v>-62.316514604884745</v>
      </c>
      <c r="F10" s="39">
        <v>-80.189681318324631</v>
      </c>
      <c r="G10" s="39">
        <v>-94.887926158369567</v>
      </c>
    </row>
    <row r="11" spans="1:16" s="205" customFormat="1" ht="12.6" customHeight="1">
      <c r="A11" s="344" t="s">
        <v>210</v>
      </c>
      <c r="B11" s="346">
        <v>71</v>
      </c>
      <c r="C11" s="39">
        <v>-42</v>
      </c>
      <c r="D11" s="145">
        <v>-138.88245371211045</v>
      </c>
      <c r="E11" s="24">
        <v>-72.307474092263291</v>
      </c>
      <c r="F11" s="39">
        <v>-90.176184845945386</v>
      </c>
      <c r="G11" s="39">
        <v>-106.43809511403548</v>
      </c>
    </row>
    <row r="12" spans="1:16" s="205" customFormat="1" ht="12.6" customHeight="1">
      <c r="A12" s="127" t="s">
        <v>211</v>
      </c>
      <c r="B12" s="345">
        <v>-4</v>
      </c>
      <c r="C12" s="39">
        <v>-95</v>
      </c>
      <c r="D12" s="145">
        <v>23</v>
      </c>
      <c r="E12" s="24">
        <v>-24</v>
      </c>
      <c r="F12" s="39">
        <v>8</v>
      </c>
      <c r="G12" s="39">
        <v>-5</v>
      </c>
      <c r="J12"/>
      <c r="K12"/>
      <c r="L12"/>
      <c r="M12"/>
      <c r="N12"/>
      <c r="O12"/>
      <c r="P12"/>
    </row>
    <row r="13" spans="1:16" s="205" customFormat="1" ht="12.6" customHeight="1">
      <c r="A13" s="344" t="s">
        <v>212</v>
      </c>
      <c r="B13" s="346">
        <v>-7</v>
      </c>
      <c r="C13" s="39">
        <v>-13</v>
      </c>
      <c r="D13" s="145">
        <v>-4</v>
      </c>
      <c r="E13" s="24">
        <v>-16</v>
      </c>
      <c r="F13" s="39">
        <v>-17</v>
      </c>
      <c r="G13" s="39">
        <v>-18</v>
      </c>
    </row>
    <row r="14" spans="1:16" s="205" customFormat="1" ht="12.6" customHeight="1">
      <c r="A14" s="344" t="s">
        <v>189</v>
      </c>
      <c r="B14" s="346">
        <v>487</v>
      </c>
      <c r="C14" s="39">
        <v>18</v>
      </c>
      <c r="D14" s="145">
        <v>301</v>
      </c>
      <c r="E14" s="24">
        <v>525</v>
      </c>
      <c r="F14" s="39">
        <v>552</v>
      </c>
      <c r="G14" s="39">
        <v>391</v>
      </c>
    </row>
    <row r="15" spans="1:16" s="205" customFormat="1" ht="12.6" customHeight="1">
      <c r="A15" s="344" t="s">
        <v>213</v>
      </c>
      <c r="B15" s="346">
        <v>-255</v>
      </c>
      <c r="C15" s="39">
        <v>-34</v>
      </c>
      <c r="D15" s="145">
        <v>-361</v>
      </c>
      <c r="E15" s="24">
        <v>-16</v>
      </c>
      <c r="F15" s="39">
        <v>-13</v>
      </c>
      <c r="G15" s="39">
        <v>-13</v>
      </c>
    </row>
    <row r="16" spans="1:16" s="205" customFormat="1" ht="12.6" customHeight="1">
      <c r="A16" s="344" t="s">
        <v>135</v>
      </c>
      <c r="B16" s="345">
        <v>-144</v>
      </c>
      <c r="C16" s="345">
        <v>-103</v>
      </c>
      <c r="D16" s="347">
        <v>-149</v>
      </c>
      <c r="E16" s="348">
        <v>-65</v>
      </c>
      <c r="F16" s="345">
        <v>-65</v>
      </c>
      <c r="G16" s="345">
        <v>-65</v>
      </c>
    </row>
    <row r="17" spans="1:8" s="205" customFormat="1" ht="12.6" customHeight="1">
      <c r="A17" s="221" t="s">
        <v>96</v>
      </c>
      <c r="B17" s="199">
        <v>-84</v>
      </c>
      <c r="C17" s="199">
        <v>-32</v>
      </c>
      <c r="D17" s="187">
        <v>-22.536999999999999</v>
      </c>
      <c r="E17" s="245">
        <v>-26.847999999999999</v>
      </c>
      <c r="F17" s="199">
        <v>-12.818</v>
      </c>
      <c r="G17" s="199">
        <v>-26.597000000000001</v>
      </c>
    </row>
    <row r="18" spans="1:8" s="351" customFormat="1" ht="15" customHeight="1">
      <c r="A18" s="349" t="s">
        <v>214</v>
      </c>
      <c r="B18" s="51">
        <v>-1838</v>
      </c>
      <c r="C18" s="350">
        <v>-2725</v>
      </c>
      <c r="D18" s="350">
        <v>-2486.8936376277611</v>
      </c>
      <c r="E18" s="52">
        <v>-2099.9353801596603</v>
      </c>
      <c r="F18" s="51">
        <v>-2586.6815672137013</v>
      </c>
      <c r="G18" s="51">
        <v>-3280.7061047595466</v>
      </c>
      <c r="H18" s="205"/>
    </row>
    <row r="19" spans="1:8" s="205" customFormat="1" ht="18" customHeight="1">
      <c r="A19" s="342" t="s">
        <v>215</v>
      </c>
      <c r="B19" s="294"/>
      <c r="C19" s="352"/>
      <c r="D19" s="352"/>
      <c r="E19" s="24"/>
      <c r="F19" s="39"/>
      <c r="G19" s="39"/>
    </row>
    <row r="20" spans="1:8" s="205" customFormat="1" ht="12.6" customHeight="1">
      <c r="A20" s="344" t="s">
        <v>216</v>
      </c>
      <c r="B20" s="294">
        <v>-5307</v>
      </c>
      <c r="C20" s="39">
        <v>-5292</v>
      </c>
      <c r="D20" s="187">
        <v>-5742</v>
      </c>
      <c r="E20" s="24">
        <v>-5876.7669999999998</v>
      </c>
      <c r="F20" s="39">
        <v>-6072.7669999999998</v>
      </c>
      <c r="G20" s="39">
        <v>-6246</v>
      </c>
    </row>
    <row r="21" spans="1:8" s="205" customFormat="1" ht="12.6" customHeight="1">
      <c r="A21" s="344" t="s">
        <v>217</v>
      </c>
      <c r="B21" s="294">
        <v>6297</v>
      </c>
      <c r="C21" s="39">
        <v>7087</v>
      </c>
      <c r="D21" s="187">
        <v>7036.2170000000006</v>
      </c>
      <c r="E21" s="24">
        <v>6895.2789999999986</v>
      </c>
      <c r="F21" s="39">
        <v>7099.1019999999999</v>
      </c>
      <c r="G21" s="39">
        <v>7263.0879999999997</v>
      </c>
    </row>
    <row r="22" spans="1:8" s="205" customFormat="1" ht="12.6" customHeight="1">
      <c r="A22" s="344" t="s">
        <v>218</v>
      </c>
      <c r="B22" s="294">
        <v>126</v>
      </c>
      <c r="C22" s="39">
        <v>81</v>
      </c>
      <c r="D22" s="187">
        <v>90.800000000000011</v>
      </c>
      <c r="E22" s="24">
        <v>-41.499999999999993</v>
      </c>
      <c r="F22" s="39">
        <v>-67.899999999999991</v>
      </c>
      <c r="G22" s="39">
        <v>-72.800000000000011</v>
      </c>
    </row>
    <row r="23" spans="1:8" s="205" customFormat="1" ht="12.6" customHeight="1">
      <c r="A23" s="344" t="s">
        <v>219</v>
      </c>
      <c r="B23" s="346">
        <v>1705</v>
      </c>
      <c r="C23" s="39">
        <v>545</v>
      </c>
      <c r="D23" s="145">
        <v>-195.06102021607876</v>
      </c>
      <c r="E23" s="24">
        <v>549.00499957167267</v>
      </c>
      <c r="F23" s="39">
        <v>532.76111349380153</v>
      </c>
      <c r="G23" s="39">
        <v>532.71645178963445</v>
      </c>
      <c r="H23"/>
    </row>
    <row r="24" spans="1:8" s="205" customFormat="1" ht="12.6" customHeight="1">
      <c r="A24" s="344" t="s">
        <v>69</v>
      </c>
      <c r="B24" s="346">
        <v>-453</v>
      </c>
      <c r="C24" s="39">
        <v>-545</v>
      </c>
      <c r="D24" s="145">
        <v>-682.8</v>
      </c>
      <c r="E24" s="24">
        <v>-606.1</v>
      </c>
      <c r="F24" s="39">
        <v>-570.70000000000016</v>
      </c>
      <c r="G24" s="39">
        <v>-539.6</v>
      </c>
      <c r="H24"/>
    </row>
    <row r="25" spans="1:8" s="205" customFormat="1" ht="12.6" customHeight="1">
      <c r="A25" s="344" t="s">
        <v>50</v>
      </c>
      <c r="B25" s="345">
        <v>-373</v>
      </c>
      <c r="C25" s="39">
        <v>95</v>
      </c>
      <c r="D25" s="145">
        <v>503.15600000000006</v>
      </c>
      <c r="E25" s="24">
        <v>-350.94400000000002</v>
      </c>
      <c r="F25" s="39">
        <v>-440.56500000000005</v>
      </c>
      <c r="G25" s="39">
        <v>-257.05199999999996</v>
      </c>
      <c r="H25"/>
    </row>
    <row r="26" spans="1:8" s="205" customFormat="1" ht="12.6" customHeight="1">
      <c r="A26" s="353" t="s">
        <v>220</v>
      </c>
      <c r="B26" s="39">
        <v>-69</v>
      </c>
      <c r="C26" s="39">
        <v>375</v>
      </c>
      <c r="D26" s="187">
        <v>-2</v>
      </c>
      <c r="E26" s="24">
        <v>-20</v>
      </c>
      <c r="F26" s="39">
        <v>465</v>
      </c>
      <c r="G26" s="39">
        <v>0</v>
      </c>
      <c r="H26"/>
    </row>
    <row r="27" spans="1:8" s="205" customFormat="1" ht="12.6" customHeight="1">
      <c r="A27" s="353" t="s">
        <v>221</v>
      </c>
      <c r="B27" s="39">
        <v>-74</v>
      </c>
      <c r="C27" s="39">
        <v>57</v>
      </c>
      <c r="D27" s="187">
        <v>-2</v>
      </c>
      <c r="E27" s="24">
        <v>95</v>
      </c>
      <c r="F27" s="39">
        <v>-3</v>
      </c>
      <c r="G27" s="39">
        <v>0</v>
      </c>
      <c r="H27"/>
    </row>
    <row r="28" spans="1:8" s="205" customFormat="1" ht="12.6" customHeight="1">
      <c r="A28" s="353" t="s">
        <v>222</v>
      </c>
      <c r="B28" s="39">
        <v>-21</v>
      </c>
      <c r="C28" s="39">
        <v>-322</v>
      </c>
      <c r="D28" s="187">
        <v>-358</v>
      </c>
      <c r="E28" s="24">
        <v>-364</v>
      </c>
      <c r="F28" s="39">
        <v>-373</v>
      </c>
      <c r="G28" s="39">
        <v>-378</v>
      </c>
      <c r="H28"/>
    </row>
    <row r="29" spans="1:8" s="205" customFormat="1" ht="12.6" customHeight="1">
      <c r="A29" s="344" t="s">
        <v>352</v>
      </c>
      <c r="B29" s="39">
        <v>-282</v>
      </c>
      <c r="C29" s="39">
        <v>-160</v>
      </c>
      <c r="D29" s="145">
        <v>-160</v>
      </c>
      <c r="E29" s="24">
        <v>-234</v>
      </c>
      <c r="F29" s="39">
        <v>-239</v>
      </c>
      <c r="G29" s="39">
        <v>-242</v>
      </c>
      <c r="H29"/>
    </row>
    <row r="30" spans="1:8" s="205" customFormat="1" ht="12.6" customHeight="1">
      <c r="A30" s="354" t="s">
        <v>351</v>
      </c>
      <c r="B30" s="39">
        <v>426</v>
      </c>
      <c r="C30" s="39">
        <v>158</v>
      </c>
      <c r="D30" s="187">
        <v>159</v>
      </c>
      <c r="E30" s="24">
        <v>233</v>
      </c>
      <c r="F30" s="39">
        <v>237</v>
      </c>
      <c r="G30" s="39">
        <v>241</v>
      </c>
      <c r="H30"/>
    </row>
    <row r="31" spans="1:8" s="351" customFormat="1" ht="15" customHeight="1">
      <c r="A31" s="349" t="s">
        <v>223</v>
      </c>
      <c r="B31" s="51">
        <v>1975</v>
      </c>
      <c r="C31" s="350">
        <v>2080</v>
      </c>
      <c r="D31" s="350">
        <v>647.31197978392186</v>
      </c>
      <c r="E31" s="52">
        <v>278.97299957167138</v>
      </c>
      <c r="F31" s="51">
        <v>566.93111349380126</v>
      </c>
      <c r="G31" s="51">
        <v>301.35245178963419</v>
      </c>
      <c r="H31"/>
    </row>
    <row r="32" spans="1:8" s="351" customFormat="1" ht="18" customHeight="1">
      <c r="A32" s="342" t="s">
        <v>51</v>
      </c>
      <c r="B32" s="23"/>
      <c r="C32" s="34"/>
      <c r="D32" s="34"/>
      <c r="E32" s="19"/>
      <c r="F32" s="23"/>
      <c r="G32" s="23"/>
      <c r="H32"/>
    </row>
    <row r="33" spans="1:8" s="351" customFormat="1" ht="12.6" customHeight="1">
      <c r="A33" s="353" t="s">
        <v>224</v>
      </c>
      <c r="B33" s="18">
        <v>-3397</v>
      </c>
      <c r="C33" s="18">
        <v>-4559</v>
      </c>
      <c r="D33" s="145">
        <v>-4162.9920000000002</v>
      </c>
      <c r="E33" s="19">
        <v>-4323</v>
      </c>
      <c r="F33" s="18">
        <v>-4312.8140000000003</v>
      </c>
      <c r="G33" s="18">
        <v>-4010.88</v>
      </c>
      <c r="H33"/>
    </row>
    <row r="34" spans="1:8" s="351" customFormat="1" ht="12.6" customHeight="1">
      <c r="A34" s="353" t="s">
        <v>338</v>
      </c>
      <c r="B34" s="18">
        <v>0</v>
      </c>
      <c r="C34" s="18">
        <v>800</v>
      </c>
      <c r="D34" s="145">
        <v>800</v>
      </c>
      <c r="E34" s="19">
        <v>800</v>
      </c>
      <c r="F34" s="18">
        <v>800</v>
      </c>
      <c r="G34" s="18">
        <v>800</v>
      </c>
      <c r="H34"/>
    </row>
    <row r="35" spans="1:8" s="351" customFormat="1" ht="12.6" customHeight="1">
      <c r="A35" s="344" t="s">
        <v>225</v>
      </c>
      <c r="B35" s="345">
        <v>-89</v>
      </c>
      <c r="C35" s="39">
        <v>-92</v>
      </c>
      <c r="D35" s="145">
        <v>-92</v>
      </c>
      <c r="E35" s="24">
        <v>-98</v>
      </c>
      <c r="F35" s="39">
        <v>-103</v>
      </c>
      <c r="G35" s="39">
        <v>-108</v>
      </c>
      <c r="H35"/>
    </row>
    <row r="36" spans="1:8" s="351" customFormat="1" ht="12.6" customHeight="1">
      <c r="A36" s="353" t="s">
        <v>56</v>
      </c>
      <c r="B36" s="145">
        <v>52</v>
      </c>
      <c r="C36" s="18">
        <v>64</v>
      </c>
      <c r="D36" s="145">
        <v>64</v>
      </c>
      <c r="E36" s="19">
        <v>1</v>
      </c>
      <c r="F36" s="18">
        <v>0</v>
      </c>
      <c r="G36" s="145">
        <v>0</v>
      </c>
      <c r="H36"/>
    </row>
    <row r="37" spans="1:8" s="351" customFormat="1" ht="12.6" customHeight="1">
      <c r="A37" s="344" t="s">
        <v>353</v>
      </c>
      <c r="B37" s="39">
        <v>1162</v>
      </c>
      <c r="C37" s="39">
        <v>1323</v>
      </c>
      <c r="D37" s="187">
        <v>1297.7829999999999</v>
      </c>
      <c r="E37" s="24">
        <v>1362.8220000000001</v>
      </c>
      <c r="F37" s="39">
        <v>1412.826</v>
      </c>
      <c r="G37" s="39">
        <v>1441.8400000000001</v>
      </c>
      <c r="H37"/>
    </row>
    <row r="38" spans="1:8" s="351" customFormat="1" ht="12.6" customHeight="1">
      <c r="A38" s="344" t="s">
        <v>226</v>
      </c>
      <c r="B38" s="39">
        <v>3</v>
      </c>
      <c r="C38" s="39">
        <v>0</v>
      </c>
      <c r="D38" s="187">
        <v>0</v>
      </c>
      <c r="E38" s="24">
        <v>0</v>
      </c>
      <c r="F38" s="39">
        <v>0</v>
      </c>
      <c r="G38" s="39">
        <v>0</v>
      </c>
      <c r="H38"/>
    </row>
    <row r="39" spans="1:8" s="205" customFormat="1" ht="15" customHeight="1" thickBot="1">
      <c r="A39" s="355" t="s">
        <v>227</v>
      </c>
      <c r="B39" s="31">
        <v>-2269</v>
      </c>
      <c r="C39" s="210">
        <v>-2464</v>
      </c>
      <c r="D39" s="210">
        <v>-2093.2090000000003</v>
      </c>
      <c r="E39" s="32">
        <v>-2257.1779999999999</v>
      </c>
      <c r="F39" s="31">
        <v>-2202.9880000000003</v>
      </c>
      <c r="G39" s="31">
        <v>-1877.04</v>
      </c>
    </row>
    <row r="40" spans="1:8" s="205" customFormat="1" ht="15" customHeight="1" thickBot="1">
      <c r="A40" s="344" t="s">
        <v>412</v>
      </c>
      <c r="B40" s="476">
        <v>0</v>
      </c>
      <c r="C40" s="510">
        <v>0</v>
      </c>
      <c r="D40" s="510">
        <v>0</v>
      </c>
      <c r="E40" s="511">
        <v>100</v>
      </c>
      <c r="F40" s="502">
        <v>100</v>
      </c>
      <c r="G40" s="502">
        <v>100</v>
      </c>
    </row>
    <row r="41" spans="1:8" s="205" customFormat="1" ht="15" customHeight="1" thickBot="1">
      <c r="A41" s="386" t="s">
        <v>405</v>
      </c>
      <c r="B41" s="476">
        <v>-2132</v>
      </c>
      <c r="C41" s="476">
        <v>-3109</v>
      </c>
      <c r="D41" s="476">
        <v>-3932.7906578438397</v>
      </c>
      <c r="E41" s="501">
        <v>-3978.1403805879891</v>
      </c>
      <c r="F41" s="476">
        <v>-4122.7384537199005</v>
      </c>
      <c r="G41" s="476">
        <v>-4756.3936529699122</v>
      </c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scale="99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rgb="FF92D050"/>
    <pageSetUpPr fitToPage="1"/>
  </sheetPr>
  <dimension ref="A1:G30"/>
  <sheetViews>
    <sheetView showGridLines="0" zoomScaleNormal="100" workbookViewId="0"/>
  </sheetViews>
  <sheetFormatPr defaultColWidth="9" defaultRowHeight="11.25"/>
  <cols>
    <col min="1" max="1" width="51.7109375" style="40" customWidth="1"/>
    <col min="2" max="2" width="8" style="39" customWidth="1"/>
    <col min="3" max="7" width="8" style="40" customWidth="1"/>
    <col min="8" max="16384" width="9" style="40"/>
  </cols>
  <sheetData>
    <row r="1" spans="1:7" ht="18.75">
      <c r="A1" s="1" t="s">
        <v>171</v>
      </c>
    </row>
    <row r="2" spans="1:7">
      <c r="A2" s="41" t="s">
        <v>1</v>
      </c>
    </row>
    <row r="3" spans="1:7">
      <c r="B3" s="86"/>
      <c r="C3" s="233"/>
      <c r="D3" s="233"/>
    </row>
    <row r="4" spans="1:7" s="234" customFormat="1" ht="12" customHeight="1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7" s="234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s="172" customFormat="1" ht="15" customHeight="1">
      <c r="A6" s="265" t="s">
        <v>97</v>
      </c>
      <c r="B6" s="298">
        <v>478</v>
      </c>
      <c r="C6" s="500">
        <v>492</v>
      </c>
      <c r="D6" s="484">
        <v>501.07799999999997</v>
      </c>
      <c r="E6" s="299">
        <v>436.92500000000001</v>
      </c>
      <c r="F6" s="298">
        <v>420.89699999999999</v>
      </c>
      <c r="G6" s="298">
        <v>484.07799999999997</v>
      </c>
    </row>
    <row r="7" spans="1:7" s="172" customFormat="1" ht="12.75" customHeight="1">
      <c r="A7" s="265" t="s">
        <v>339</v>
      </c>
      <c r="B7" s="18">
        <v>6</v>
      </c>
      <c r="C7" s="500">
        <v>8</v>
      </c>
      <c r="D7" s="298">
        <v>7.7</v>
      </c>
      <c r="E7" s="299">
        <v>7.1750000000000007</v>
      </c>
      <c r="F7" s="298">
        <v>5.1750000000000007</v>
      </c>
      <c r="G7" s="298">
        <v>5.1750000000000007</v>
      </c>
    </row>
    <row r="8" spans="1:7" s="172" customFormat="1" ht="12.75" customHeight="1">
      <c r="A8" s="267" t="s">
        <v>340</v>
      </c>
      <c r="B8" s="18">
        <v>48</v>
      </c>
      <c r="C8" s="500">
        <v>64</v>
      </c>
      <c r="D8" s="484">
        <v>41.093000000000004</v>
      </c>
      <c r="E8" s="19">
        <v>96.717000000000013</v>
      </c>
      <c r="F8" s="18">
        <v>94.47</v>
      </c>
      <c r="G8" s="18">
        <v>107.193</v>
      </c>
    </row>
    <row r="9" spans="1:7" s="172" customFormat="1" ht="12.75" customHeight="1">
      <c r="A9" s="265" t="s">
        <v>394</v>
      </c>
      <c r="B9" s="18">
        <v>97</v>
      </c>
      <c r="C9" s="500">
        <v>139</v>
      </c>
      <c r="D9" s="484">
        <v>130.06100000000001</v>
      </c>
      <c r="E9" s="19">
        <v>97.710999999999999</v>
      </c>
      <c r="F9" s="18">
        <v>61.855000000000004</v>
      </c>
      <c r="G9" s="18">
        <v>35.818000000000005</v>
      </c>
    </row>
    <row r="10" spans="1:7" s="172" customFormat="1" ht="12.75" customHeight="1">
      <c r="A10" s="265" t="s">
        <v>385</v>
      </c>
      <c r="B10" s="18">
        <v>2</v>
      </c>
      <c r="C10" s="500">
        <v>1</v>
      </c>
      <c r="D10" s="484">
        <v>7.6769999999999996</v>
      </c>
      <c r="E10" s="19">
        <v>2.597</v>
      </c>
      <c r="F10" s="18">
        <v>0</v>
      </c>
      <c r="G10" s="18">
        <v>0</v>
      </c>
    </row>
    <row r="11" spans="1:7" s="172" customFormat="1" ht="12.75" customHeight="1">
      <c r="A11" s="265" t="s">
        <v>98</v>
      </c>
      <c r="B11" s="298">
        <v>851</v>
      </c>
      <c r="C11" s="500">
        <v>765</v>
      </c>
      <c r="D11" s="484">
        <v>775.53800000000001</v>
      </c>
      <c r="E11" s="299">
        <v>945.88300000000004</v>
      </c>
      <c r="F11" s="298">
        <v>988.24800000000005</v>
      </c>
      <c r="G11" s="298">
        <v>863.06200000000001</v>
      </c>
    </row>
    <row r="12" spans="1:7" s="172" customFormat="1" ht="12.75" customHeight="1">
      <c r="A12" s="265" t="s">
        <v>386</v>
      </c>
      <c r="B12" s="298">
        <v>66</v>
      </c>
      <c r="C12" s="500">
        <v>221</v>
      </c>
      <c r="D12" s="484">
        <v>163.453</v>
      </c>
      <c r="E12" s="299">
        <v>228.20600000000002</v>
      </c>
      <c r="F12" s="298">
        <v>314.99200000000002</v>
      </c>
      <c r="G12" s="298">
        <v>75.831999999999994</v>
      </c>
    </row>
    <row r="13" spans="1:7" s="172" customFormat="1" ht="12.75" customHeight="1">
      <c r="A13" s="267" t="s">
        <v>342</v>
      </c>
      <c r="B13" s="298">
        <v>55</v>
      </c>
      <c r="C13" s="500">
        <v>112</v>
      </c>
      <c r="D13" s="484">
        <v>122.505</v>
      </c>
      <c r="E13" s="299">
        <v>106.649</v>
      </c>
      <c r="F13" s="298">
        <v>68.888000000000005</v>
      </c>
      <c r="G13" s="298">
        <v>51.655999999999999</v>
      </c>
    </row>
    <row r="14" spans="1:7" s="172" customFormat="1" ht="12.75" customHeight="1">
      <c r="A14" s="265" t="s">
        <v>387</v>
      </c>
      <c r="B14" s="298">
        <v>61</v>
      </c>
      <c r="C14" s="500">
        <v>96</v>
      </c>
      <c r="D14" s="484">
        <v>82.78</v>
      </c>
      <c r="E14" s="299">
        <v>139.679</v>
      </c>
      <c r="F14" s="298">
        <v>87.168999999999997</v>
      </c>
      <c r="G14" s="298">
        <v>88.37</v>
      </c>
    </row>
    <row r="15" spans="1:7" s="172" customFormat="1" ht="12.75" customHeight="1">
      <c r="A15" s="265" t="s">
        <v>100</v>
      </c>
      <c r="B15" s="298">
        <v>841</v>
      </c>
      <c r="C15" s="500">
        <v>1273</v>
      </c>
      <c r="D15" s="484">
        <v>999.27200000000005</v>
      </c>
      <c r="E15" s="299">
        <v>1442.8119999999999</v>
      </c>
      <c r="F15" s="298">
        <v>1509.1489999999999</v>
      </c>
      <c r="G15" s="298">
        <v>1557.529</v>
      </c>
    </row>
    <row r="16" spans="1:7" s="172" customFormat="1" ht="12.75" customHeight="1">
      <c r="A16" s="265" t="s">
        <v>101</v>
      </c>
      <c r="B16" s="298">
        <v>28</v>
      </c>
      <c r="C16" s="500">
        <v>16</v>
      </c>
      <c r="D16" s="484">
        <v>18.325000000000003</v>
      </c>
      <c r="E16" s="299">
        <v>10.025</v>
      </c>
      <c r="F16" s="298">
        <v>10.025</v>
      </c>
      <c r="G16" s="298">
        <v>10.025</v>
      </c>
    </row>
    <row r="17" spans="1:7" s="172" customFormat="1" ht="12.75" customHeight="1">
      <c r="A17" s="265" t="s">
        <v>102</v>
      </c>
      <c r="B17" s="298">
        <v>301</v>
      </c>
      <c r="C17" s="500">
        <v>423</v>
      </c>
      <c r="D17" s="484">
        <v>452.06100000000004</v>
      </c>
      <c r="E17" s="299">
        <v>385.11500000000001</v>
      </c>
      <c r="F17" s="298">
        <v>326.06400000000002</v>
      </c>
      <c r="G17" s="298">
        <v>397.10199999999998</v>
      </c>
    </row>
    <row r="18" spans="1:7" s="172" customFormat="1" ht="12.75" customHeight="1">
      <c r="A18" s="265" t="s">
        <v>389</v>
      </c>
      <c r="B18" s="298">
        <v>11</v>
      </c>
      <c r="C18" s="500">
        <v>20</v>
      </c>
      <c r="D18" s="484">
        <v>23.945999999999998</v>
      </c>
      <c r="E18" s="299">
        <v>24.65</v>
      </c>
      <c r="F18" s="298">
        <v>16.149999999999999</v>
      </c>
      <c r="G18" s="298">
        <v>7.15</v>
      </c>
    </row>
    <row r="19" spans="1:7" s="172" customFormat="1" ht="12.75" customHeight="1">
      <c r="A19" s="265" t="s">
        <v>343</v>
      </c>
      <c r="B19" s="298">
        <v>14</v>
      </c>
      <c r="C19" s="500">
        <v>18</v>
      </c>
      <c r="D19" s="484">
        <v>22.853000000000002</v>
      </c>
      <c r="E19" s="299">
        <v>14.119</v>
      </c>
      <c r="F19" s="298">
        <v>14.119</v>
      </c>
      <c r="G19" s="298">
        <v>13.819000000000001</v>
      </c>
    </row>
    <row r="20" spans="1:7" s="172" customFormat="1" ht="12.75" customHeight="1">
      <c r="A20" s="265" t="s">
        <v>344</v>
      </c>
      <c r="B20" s="298">
        <v>10</v>
      </c>
      <c r="C20" s="500">
        <v>18</v>
      </c>
      <c r="D20" s="484">
        <v>52.414999999999999</v>
      </c>
      <c r="E20" s="299">
        <v>139.982</v>
      </c>
      <c r="F20" s="484">
        <v>88.507000000000005</v>
      </c>
      <c r="G20" s="484">
        <v>4.0250000000000004</v>
      </c>
    </row>
    <row r="21" spans="1:7" s="172" customFormat="1" ht="12.75" customHeight="1">
      <c r="A21" s="265" t="s">
        <v>103</v>
      </c>
      <c r="B21" s="172">
        <v>751</v>
      </c>
      <c r="C21" s="500">
        <v>783</v>
      </c>
      <c r="D21" s="484">
        <v>789.13099999999997</v>
      </c>
      <c r="E21" s="299">
        <v>1049.845</v>
      </c>
      <c r="F21" s="298">
        <v>1136.251</v>
      </c>
      <c r="G21" s="298">
        <v>1097.865</v>
      </c>
    </row>
    <row r="22" spans="1:7" s="172" customFormat="1" ht="12.75" customHeight="1">
      <c r="A22" s="267" t="s">
        <v>345</v>
      </c>
      <c r="B22" s="298">
        <v>4</v>
      </c>
      <c r="C22" s="500">
        <v>6</v>
      </c>
      <c r="D22" s="484">
        <v>11.169</v>
      </c>
      <c r="E22" s="299">
        <v>12.3</v>
      </c>
      <c r="F22" s="298">
        <v>7.9</v>
      </c>
      <c r="G22" s="298">
        <v>4.9000000000000004</v>
      </c>
    </row>
    <row r="23" spans="1:7" s="172" customFormat="1" ht="12.75" customHeight="1">
      <c r="A23" s="267" t="s">
        <v>341</v>
      </c>
      <c r="B23" s="298">
        <v>98</v>
      </c>
      <c r="C23" s="500">
        <v>142</v>
      </c>
      <c r="D23" s="484">
        <v>164.31899999999999</v>
      </c>
      <c r="E23" s="299">
        <v>202.49199999999999</v>
      </c>
      <c r="F23" s="298">
        <v>302.26900000000001</v>
      </c>
      <c r="G23" s="298">
        <v>343.92200000000003</v>
      </c>
    </row>
    <row r="24" spans="1:7" s="172" customFormat="1" ht="12.75" customHeight="1">
      <c r="A24" s="267" t="s">
        <v>346</v>
      </c>
      <c r="B24" s="298">
        <v>23</v>
      </c>
      <c r="C24" s="500">
        <v>46</v>
      </c>
      <c r="D24" s="484">
        <v>43.613999999999997</v>
      </c>
      <c r="E24" s="299">
        <v>64.447000000000003</v>
      </c>
      <c r="F24" s="298">
        <v>52.42</v>
      </c>
      <c r="G24" s="298">
        <v>46.82</v>
      </c>
    </row>
    <row r="25" spans="1:7" ht="12.75" customHeight="1">
      <c r="A25" s="267" t="s">
        <v>347</v>
      </c>
      <c r="B25" s="298">
        <v>68</v>
      </c>
      <c r="C25" s="500">
        <v>361</v>
      </c>
      <c r="D25" s="484">
        <v>183.67099999999999</v>
      </c>
      <c r="E25" s="299">
        <v>232.88499999999999</v>
      </c>
      <c r="F25" s="298">
        <v>197.97900000000001</v>
      </c>
      <c r="G25" s="298">
        <v>273.75400000000002</v>
      </c>
    </row>
    <row r="26" spans="1:7" ht="12.75" customHeight="1">
      <c r="A26" s="267" t="s">
        <v>390</v>
      </c>
      <c r="B26" s="298">
        <v>0</v>
      </c>
      <c r="C26" s="500">
        <v>0</v>
      </c>
      <c r="D26" s="484">
        <v>0</v>
      </c>
      <c r="E26" s="299">
        <v>10.025</v>
      </c>
      <c r="F26" s="298">
        <v>10.025</v>
      </c>
      <c r="G26" s="298">
        <v>10.025</v>
      </c>
    </row>
    <row r="27" spans="1:7" ht="12.75" customHeight="1">
      <c r="A27" s="267" t="s">
        <v>348</v>
      </c>
      <c r="B27" s="298">
        <v>1804</v>
      </c>
      <c r="C27" s="500">
        <v>2973</v>
      </c>
      <c r="D27" s="484">
        <v>2461.011</v>
      </c>
      <c r="E27" s="299">
        <v>2628.9830000000002</v>
      </c>
      <c r="F27" s="298">
        <v>2645.2370000000001</v>
      </c>
      <c r="G27" s="298">
        <v>2867.317</v>
      </c>
    </row>
    <row r="28" spans="1:7" s="172" customFormat="1" ht="12.75" customHeight="1">
      <c r="A28" s="265" t="s">
        <v>105</v>
      </c>
      <c r="B28" s="298">
        <v>13</v>
      </c>
      <c r="C28" s="500">
        <v>28</v>
      </c>
      <c r="D28" s="484">
        <v>21.332000000000001</v>
      </c>
      <c r="E28" s="299">
        <v>18.36</v>
      </c>
      <c r="F28" s="298">
        <v>16.46</v>
      </c>
      <c r="G28" s="298">
        <v>15.71</v>
      </c>
    </row>
    <row r="29" spans="1:7" s="172" customFormat="1" ht="12.75" customHeight="1">
      <c r="A29" s="265" t="s">
        <v>172</v>
      </c>
      <c r="B29" s="298">
        <v>2</v>
      </c>
      <c r="C29" s="500">
        <v>2</v>
      </c>
      <c r="D29" s="484">
        <v>2</v>
      </c>
      <c r="E29" s="299">
        <v>2</v>
      </c>
      <c r="F29" s="298">
        <v>2</v>
      </c>
      <c r="G29" s="298">
        <v>2</v>
      </c>
    </row>
    <row r="30" spans="1:7" s="172" customFormat="1" ht="15" customHeight="1" thickBot="1">
      <c r="A30" s="30" t="s">
        <v>47</v>
      </c>
      <c r="B30" s="177">
        <v>5633</v>
      </c>
      <c r="C30" s="56">
        <v>8005</v>
      </c>
      <c r="D30" s="300">
        <v>7077.0040000000008</v>
      </c>
      <c r="E30" s="178">
        <v>8298.5820000000022</v>
      </c>
      <c r="F30" s="56">
        <v>8376.2489999999998</v>
      </c>
      <c r="G30" s="56">
        <v>8363.1469999999972</v>
      </c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H47"/>
  <sheetViews>
    <sheetView showGridLines="0" zoomScaleNormal="100" workbookViewId="0"/>
  </sheetViews>
  <sheetFormatPr defaultColWidth="9" defaultRowHeight="11.25"/>
  <cols>
    <col min="1" max="1" width="51.7109375" style="40" customWidth="1"/>
    <col min="2" max="2" width="8" style="39" customWidth="1"/>
    <col min="3" max="7" width="8" style="40" customWidth="1"/>
    <col min="8" max="16384" width="9" style="40"/>
  </cols>
  <sheetData>
    <row r="1" spans="1:8" ht="15.75">
      <c r="A1" s="1" t="s">
        <v>173</v>
      </c>
    </row>
    <row r="2" spans="1:8">
      <c r="A2" s="41" t="s">
        <v>1</v>
      </c>
    </row>
    <row r="3" spans="1:8">
      <c r="B3" s="86"/>
      <c r="C3" s="233"/>
      <c r="D3" s="233"/>
    </row>
    <row r="4" spans="1:8" s="234" customFormat="1" ht="12" customHeight="1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8" s="234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8" ht="3.75" customHeight="1">
      <c r="A6" s="263"/>
      <c r="B6" s="294"/>
      <c r="C6" s="81"/>
      <c r="D6" s="81"/>
      <c r="E6" s="293"/>
    </row>
    <row r="7" spans="1:8" ht="12.75" customHeight="1">
      <c r="A7" s="265" t="s">
        <v>339</v>
      </c>
      <c r="B7" s="93">
        <v>6</v>
      </c>
      <c r="C7" s="93">
        <v>7</v>
      </c>
      <c r="D7" s="93">
        <v>6.9249999999999998</v>
      </c>
      <c r="E7" s="24">
        <v>6.4</v>
      </c>
      <c r="F7" s="39">
        <v>4.4000000000000004</v>
      </c>
      <c r="G7" s="39">
        <v>4.4000000000000004</v>
      </c>
      <c r="H7" s="39"/>
    </row>
    <row r="8" spans="1:8" s="172" customFormat="1" ht="12.75" customHeight="1">
      <c r="A8" s="265" t="s">
        <v>340</v>
      </c>
      <c r="B8" s="93">
        <v>44</v>
      </c>
      <c r="C8" s="93">
        <v>52</v>
      </c>
      <c r="D8" s="93">
        <v>21</v>
      </c>
      <c r="E8" s="299">
        <v>87.162000000000006</v>
      </c>
      <c r="F8" s="298">
        <v>85.100999999999999</v>
      </c>
      <c r="G8" s="298">
        <v>100.607</v>
      </c>
      <c r="H8" s="18"/>
    </row>
    <row r="9" spans="1:8" s="172" customFormat="1" ht="12.75" customHeight="1">
      <c r="A9" s="265" t="s">
        <v>394</v>
      </c>
      <c r="B9" s="93">
        <v>97</v>
      </c>
      <c r="C9" s="93">
        <v>136</v>
      </c>
      <c r="D9" s="93">
        <v>128.535</v>
      </c>
      <c r="E9" s="299">
        <v>95.38</v>
      </c>
      <c r="F9" s="298">
        <v>59.524000000000001</v>
      </c>
      <c r="G9" s="298">
        <v>33.487000000000002</v>
      </c>
      <c r="H9" s="18"/>
    </row>
    <row r="10" spans="1:8" s="172" customFormat="1" ht="12.75" customHeight="1">
      <c r="A10" s="265" t="s">
        <v>385</v>
      </c>
      <c r="B10" s="93">
        <v>1</v>
      </c>
      <c r="C10" s="93">
        <v>1</v>
      </c>
      <c r="D10" s="93">
        <v>3.55</v>
      </c>
      <c r="E10" s="24">
        <v>0</v>
      </c>
      <c r="F10" s="39">
        <v>0</v>
      </c>
      <c r="G10" s="39">
        <v>0</v>
      </c>
      <c r="H10" s="18"/>
    </row>
    <row r="11" spans="1:8" s="172" customFormat="1" ht="12.75" customHeight="1">
      <c r="A11" s="265" t="s">
        <v>98</v>
      </c>
      <c r="B11" s="93">
        <v>10</v>
      </c>
      <c r="C11" s="93">
        <v>3</v>
      </c>
      <c r="D11" s="93">
        <v>23.742999999999999</v>
      </c>
      <c r="E11" s="24">
        <v>26.077000000000002</v>
      </c>
      <c r="F11" s="39">
        <v>0.77700000000000002</v>
      </c>
      <c r="G11" s="39">
        <v>0.77700000000000002</v>
      </c>
      <c r="H11" s="18"/>
    </row>
    <row r="12" spans="1:8" s="172" customFormat="1" ht="12.75" customHeight="1">
      <c r="A12" s="265" t="s">
        <v>386</v>
      </c>
      <c r="B12" s="93">
        <v>53</v>
      </c>
      <c r="C12" s="93">
        <v>205</v>
      </c>
      <c r="D12" s="93">
        <v>147.798</v>
      </c>
      <c r="E12" s="299">
        <v>212.22800000000001</v>
      </c>
      <c r="F12" s="298">
        <v>299.99200000000002</v>
      </c>
      <c r="G12" s="298">
        <v>60.832000000000001</v>
      </c>
      <c r="H12" s="18"/>
    </row>
    <row r="13" spans="1:8" s="172" customFormat="1" ht="12.75" customHeight="1">
      <c r="A13" s="265" t="s">
        <v>342</v>
      </c>
      <c r="B13" s="93">
        <v>37</v>
      </c>
      <c r="C13" s="93">
        <v>52</v>
      </c>
      <c r="D13" s="93">
        <v>94.575000000000003</v>
      </c>
      <c r="E13" s="299">
        <v>41.082000000000001</v>
      </c>
      <c r="F13" s="298">
        <v>51.1</v>
      </c>
      <c r="G13" s="298">
        <v>40.1</v>
      </c>
      <c r="H13" s="18"/>
    </row>
    <row r="14" spans="1:8" s="172" customFormat="1" ht="12.75" customHeight="1">
      <c r="A14" s="265" t="s">
        <v>387</v>
      </c>
      <c r="B14" s="93">
        <v>4</v>
      </c>
      <c r="C14" s="93">
        <v>11</v>
      </c>
      <c r="D14" s="93">
        <v>5.1230000000000002</v>
      </c>
      <c r="E14" s="299">
        <v>11.534000000000001</v>
      </c>
      <c r="F14" s="298">
        <v>0.5</v>
      </c>
      <c r="G14" s="298">
        <v>0.5</v>
      </c>
      <c r="H14" s="18"/>
    </row>
    <row r="15" spans="1:8" s="172" customFormat="1" ht="12.75" customHeight="1">
      <c r="A15" s="265" t="s">
        <v>100</v>
      </c>
      <c r="B15" s="93">
        <v>11</v>
      </c>
      <c r="C15" s="93">
        <v>89</v>
      </c>
      <c r="D15" s="93">
        <v>16.452000000000002</v>
      </c>
      <c r="E15" s="299">
        <v>241.56299999999999</v>
      </c>
      <c r="F15" s="298">
        <v>173</v>
      </c>
      <c r="G15" s="298">
        <v>455.80599999999998</v>
      </c>
      <c r="H15" s="18"/>
    </row>
    <row r="16" spans="1:8" s="172" customFormat="1" ht="12.75" customHeight="1">
      <c r="A16" s="265" t="s">
        <v>101</v>
      </c>
      <c r="B16" s="93">
        <v>28</v>
      </c>
      <c r="C16" s="93">
        <v>16</v>
      </c>
      <c r="D16" s="93">
        <v>18.28</v>
      </c>
      <c r="E16" s="299">
        <v>10</v>
      </c>
      <c r="F16" s="298">
        <v>10</v>
      </c>
      <c r="G16" s="298">
        <v>10</v>
      </c>
      <c r="H16" s="18"/>
    </row>
    <row r="17" spans="1:8" ht="12.75" customHeight="1">
      <c r="A17" s="265" t="s">
        <v>102</v>
      </c>
      <c r="B17" s="93">
        <v>1</v>
      </c>
      <c r="C17" s="93">
        <v>3</v>
      </c>
      <c r="D17" s="93">
        <v>2.456</v>
      </c>
      <c r="E17" s="299">
        <v>0</v>
      </c>
      <c r="F17" s="298">
        <v>0</v>
      </c>
      <c r="G17" s="298">
        <v>0</v>
      </c>
      <c r="H17" s="39"/>
    </row>
    <row r="18" spans="1:8" ht="12.75" customHeight="1">
      <c r="A18" s="265" t="s">
        <v>389</v>
      </c>
      <c r="B18" s="93">
        <v>0</v>
      </c>
      <c r="C18" s="93">
        <v>8</v>
      </c>
      <c r="D18" s="93">
        <v>8</v>
      </c>
      <c r="E18" s="299">
        <v>10</v>
      </c>
      <c r="F18" s="298">
        <v>8</v>
      </c>
      <c r="G18" s="298">
        <v>0</v>
      </c>
      <c r="H18" s="39"/>
    </row>
    <row r="19" spans="1:8" ht="12.75" customHeight="1">
      <c r="A19" s="265" t="s">
        <v>344</v>
      </c>
      <c r="B19" s="93">
        <v>10</v>
      </c>
      <c r="C19" s="93">
        <v>18</v>
      </c>
      <c r="D19" s="93">
        <v>49.39</v>
      </c>
      <c r="E19" s="299">
        <v>134.95699999999999</v>
      </c>
      <c r="F19" s="298">
        <v>82.481999999999999</v>
      </c>
      <c r="G19" s="298">
        <v>0</v>
      </c>
      <c r="H19" s="39"/>
    </row>
    <row r="20" spans="1:8" ht="12.75" customHeight="1">
      <c r="A20" s="265" t="s">
        <v>103</v>
      </c>
      <c r="B20" s="93">
        <v>750</v>
      </c>
      <c r="C20" s="93">
        <v>782</v>
      </c>
      <c r="D20" s="93">
        <v>783.50900000000001</v>
      </c>
      <c r="E20" s="299">
        <v>1049.1010000000001</v>
      </c>
      <c r="F20" s="298">
        <v>1135.701</v>
      </c>
      <c r="G20" s="298">
        <v>1097.415</v>
      </c>
      <c r="H20" s="39"/>
    </row>
    <row r="21" spans="1:8" s="172" customFormat="1" ht="12.75" customHeight="1">
      <c r="A21" s="265" t="s">
        <v>341</v>
      </c>
      <c r="B21" s="93">
        <v>21</v>
      </c>
      <c r="C21" s="93">
        <v>81</v>
      </c>
      <c r="D21" s="93">
        <v>80.340999999999994</v>
      </c>
      <c r="E21" s="299">
        <v>161.631</v>
      </c>
      <c r="F21" s="298">
        <v>263.77699999999999</v>
      </c>
      <c r="G21" s="298">
        <v>307.41000000000003</v>
      </c>
      <c r="H21" s="18"/>
    </row>
    <row r="22" spans="1:8" s="172" customFormat="1" ht="12.75" customHeight="1">
      <c r="A22" s="265" t="s">
        <v>347</v>
      </c>
      <c r="B22" s="93">
        <v>0</v>
      </c>
      <c r="C22" s="93">
        <v>229</v>
      </c>
      <c r="D22" s="93">
        <v>62</v>
      </c>
      <c r="E22" s="299">
        <v>98.3</v>
      </c>
      <c r="F22" s="298">
        <v>69.900000000000006</v>
      </c>
      <c r="G22" s="298">
        <v>159.619</v>
      </c>
      <c r="H22" s="18"/>
    </row>
    <row r="23" spans="1:8" s="172" customFormat="1" ht="12.75" customHeight="1">
      <c r="A23" s="265" t="s">
        <v>390</v>
      </c>
      <c r="B23" s="93">
        <v>0</v>
      </c>
      <c r="C23" s="93">
        <v>0</v>
      </c>
      <c r="D23" s="93">
        <v>0</v>
      </c>
      <c r="E23" s="299">
        <v>10</v>
      </c>
      <c r="F23" s="298">
        <v>10</v>
      </c>
      <c r="G23" s="298">
        <v>10</v>
      </c>
      <c r="H23" s="18"/>
    </row>
    <row r="24" spans="1:8" s="172" customFormat="1" ht="12.75" customHeight="1">
      <c r="A24" s="265" t="s">
        <v>348</v>
      </c>
      <c r="B24" s="93">
        <v>452</v>
      </c>
      <c r="C24" s="93">
        <v>1127</v>
      </c>
      <c r="D24" s="93">
        <v>923.38199999999995</v>
      </c>
      <c r="E24" s="299">
        <v>1273.386</v>
      </c>
      <c r="F24" s="298">
        <v>1321.646</v>
      </c>
      <c r="G24" s="298">
        <v>1581.8710000000001</v>
      </c>
      <c r="H24" s="18"/>
    </row>
    <row r="25" spans="1:8" s="172" customFormat="1" ht="15" customHeight="1" thickBot="1">
      <c r="A25" s="30" t="s">
        <v>174</v>
      </c>
      <c r="B25" s="56">
        <v>1525</v>
      </c>
      <c r="C25" s="56">
        <v>2821</v>
      </c>
      <c r="D25" s="56">
        <v>2375.0589999999997</v>
      </c>
      <c r="E25" s="178">
        <v>3468.8009999999999</v>
      </c>
      <c r="F25" s="56">
        <v>3575.8999999999996</v>
      </c>
      <c r="G25" s="56">
        <v>3862.8240000000001</v>
      </c>
      <c r="H25" s="18"/>
    </row>
    <row r="26" spans="1:8" ht="12">
      <c r="A26"/>
      <c r="B26"/>
      <c r="C26"/>
      <c r="D26"/>
      <c r="E26"/>
      <c r="F26"/>
      <c r="G26"/>
      <c r="H26" s="39"/>
    </row>
    <row r="27" spans="1:8" ht="12">
      <c r="A27"/>
      <c r="B27"/>
      <c r="C27"/>
      <c r="D27"/>
      <c r="E27"/>
      <c r="F27"/>
      <c r="G27"/>
      <c r="H27" s="39"/>
    </row>
    <row r="28" spans="1:8" ht="12">
      <c r="A28"/>
      <c r="B28"/>
      <c r="C28"/>
      <c r="D28"/>
      <c r="E28"/>
      <c r="F28"/>
      <c r="G28"/>
      <c r="H28" s="39"/>
    </row>
    <row r="29" spans="1:8" ht="12">
      <c r="A29"/>
      <c r="B29"/>
      <c r="C29"/>
      <c r="D29"/>
      <c r="E29"/>
      <c r="F29"/>
      <c r="G29"/>
      <c r="H29" s="39"/>
    </row>
    <row r="30" spans="1:8" ht="12">
      <c r="A30"/>
      <c r="B30"/>
      <c r="C30"/>
      <c r="D30"/>
      <c r="E30"/>
      <c r="F30"/>
      <c r="G30"/>
      <c r="H30" s="39"/>
    </row>
    <row r="31" spans="1:8" ht="12">
      <c r="A31"/>
      <c r="B31"/>
      <c r="C31"/>
      <c r="D31"/>
      <c r="E31"/>
      <c r="F31"/>
      <c r="G31"/>
      <c r="H31" s="39"/>
    </row>
    <row r="32" spans="1:8">
      <c r="A32" s="39"/>
      <c r="C32" s="39"/>
      <c r="D32" s="39"/>
      <c r="E32" s="39"/>
      <c r="F32" s="39"/>
      <c r="G32" s="39"/>
      <c r="H32" s="39"/>
    </row>
    <row r="33" spans="1:8">
      <c r="C33" s="39"/>
      <c r="D33" s="39"/>
      <c r="E33" s="39"/>
      <c r="F33" s="39"/>
      <c r="G33" s="39"/>
      <c r="H33" s="39"/>
    </row>
    <row r="34" spans="1:8" ht="12">
      <c r="A34"/>
      <c r="B34"/>
      <c r="C34"/>
      <c r="D34"/>
      <c r="E34"/>
      <c r="F34"/>
      <c r="G34"/>
      <c r="H34"/>
    </row>
    <row r="35" spans="1:8" ht="12">
      <c r="A35"/>
      <c r="B35"/>
      <c r="C35"/>
      <c r="D35"/>
      <c r="E35"/>
      <c r="F35"/>
      <c r="G35"/>
      <c r="H35"/>
    </row>
    <row r="36" spans="1:8" ht="12">
      <c r="A36"/>
      <c r="B36"/>
      <c r="C36"/>
      <c r="D36"/>
      <c r="E36"/>
      <c r="F36"/>
      <c r="G36"/>
      <c r="H36"/>
    </row>
    <row r="37" spans="1:8" ht="12">
      <c r="A37"/>
      <c r="B37"/>
      <c r="C37"/>
      <c r="D37"/>
      <c r="E37"/>
      <c r="F37"/>
      <c r="G37"/>
      <c r="H37"/>
    </row>
    <row r="38" spans="1:8" ht="12">
      <c r="A38"/>
      <c r="B38"/>
      <c r="C38"/>
      <c r="D38"/>
      <c r="E38"/>
      <c r="F38"/>
      <c r="G38"/>
      <c r="H38"/>
    </row>
    <row r="39" spans="1:8" ht="12">
      <c r="A39"/>
      <c r="B39"/>
      <c r="C39"/>
      <c r="D39"/>
      <c r="E39"/>
      <c r="F39"/>
      <c r="G39"/>
      <c r="H39"/>
    </row>
    <row r="40" spans="1:8" ht="12">
      <c r="A40"/>
      <c r="B40"/>
      <c r="C40"/>
      <c r="D40"/>
      <c r="E40"/>
      <c r="F40"/>
      <c r="G40"/>
      <c r="H40"/>
    </row>
    <row r="41" spans="1:8" ht="12">
      <c r="A41"/>
      <c r="B41"/>
      <c r="C41"/>
      <c r="D41"/>
      <c r="E41"/>
      <c r="F41"/>
      <c r="G41"/>
      <c r="H41"/>
    </row>
    <row r="42" spans="1:8" ht="12">
      <c r="A42"/>
      <c r="B42"/>
      <c r="C42"/>
      <c r="D42"/>
      <c r="E42"/>
      <c r="F42"/>
      <c r="G42"/>
      <c r="H42"/>
    </row>
    <row r="43" spans="1:8" ht="12">
      <c r="A43"/>
      <c r="B43"/>
      <c r="C43"/>
      <c r="D43"/>
      <c r="E43"/>
      <c r="F43"/>
      <c r="G43"/>
      <c r="H43"/>
    </row>
    <row r="44" spans="1:8" ht="12">
      <c r="A44"/>
      <c r="B44"/>
      <c r="C44"/>
      <c r="D44"/>
      <c r="E44"/>
      <c r="F44"/>
      <c r="G44"/>
      <c r="H44"/>
    </row>
    <row r="45" spans="1:8" ht="12">
      <c r="A45"/>
      <c r="B45"/>
      <c r="C45"/>
      <c r="D45"/>
      <c r="E45"/>
      <c r="F45"/>
      <c r="G45"/>
      <c r="H45"/>
    </row>
    <row r="46" spans="1:8" ht="12">
      <c r="A46"/>
      <c r="B46"/>
      <c r="C46"/>
      <c r="D46"/>
      <c r="E46"/>
      <c r="F46"/>
      <c r="G46"/>
      <c r="H46"/>
    </row>
    <row r="47" spans="1:8" ht="12">
      <c r="A47"/>
      <c r="B47"/>
      <c r="C47"/>
      <c r="D47"/>
      <c r="E47"/>
      <c r="F47"/>
      <c r="G47"/>
      <c r="H47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tabColor rgb="FF92D050"/>
    <pageSetUpPr fitToPage="1"/>
  </sheetPr>
  <dimension ref="A1:G30"/>
  <sheetViews>
    <sheetView showGridLines="0" zoomScaleNormal="100" workbookViewId="0"/>
  </sheetViews>
  <sheetFormatPr defaultColWidth="9" defaultRowHeight="11.25"/>
  <cols>
    <col min="1" max="1" width="51.7109375" style="40" customWidth="1"/>
    <col min="2" max="2" width="8" style="39" customWidth="1"/>
    <col min="3" max="7" width="8" style="40" customWidth="1"/>
    <col min="8" max="16384" width="9" style="40"/>
  </cols>
  <sheetData>
    <row r="1" spans="1:7" ht="15.75">
      <c r="A1" s="1" t="s">
        <v>175</v>
      </c>
    </row>
    <row r="2" spans="1:7">
      <c r="A2" s="41" t="s">
        <v>1</v>
      </c>
    </row>
    <row r="3" spans="1:7">
      <c r="B3" s="86"/>
      <c r="C3" s="233"/>
      <c r="D3" s="233"/>
    </row>
    <row r="4" spans="1:7" s="234" customFormat="1" ht="12" customHeight="1">
      <c r="A4" s="6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7" s="234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263"/>
      <c r="B6" s="294"/>
      <c r="C6" s="81"/>
      <c r="D6" s="81"/>
      <c r="E6" s="293"/>
    </row>
    <row r="7" spans="1:7" s="172" customFormat="1" ht="12.75" customHeight="1">
      <c r="A7" s="265" t="s">
        <v>97</v>
      </c>
      <c r="B7" s="495">
        <v>478</v>
      </c>
      <c r="C7" s="496">
        <v>492</v>
      </c>
      <c r="D7" s="176">
        <v>501.07799999999997</v>
      </c>
      <c r="E7" s="19">
        <v>436.92500000000001</v>
      </c>
      <c r="F7" s="18">
        <v>420.89699999999999</v>
      </c>
      <c r="G7" s="18">
        <v>484.07799999999997</v>
      </c>
    </row>
    <row r="8" spans="1:7" s="172" customFormat="1" ht="12.75" customHeight="1">
      <c r="A8" s="265" t="s">
        <v>339</v>
      </c>
      <c r="B8" s="495">
        <v>1</v>
      </c>
      <c r="C8" s="496">
        <v>1</v>
      </c>
      <c r="D8" s="176">
        <v>0.77500000000000002</v>
      </c>
      <c r="E8" s="19">
        <v>0.77500000000000002</v>
      </c>
      <c r="F8" s="18">
        <v>0.77500000000000002</v>
      </c>
      <c r="G8" s="18">
        <v>0.77500000000000002</v>
      </c>
    </row>
    <row r="9" spans="1:7" s="172" customFormat="1" ht="12.75" customHeight="1">
      <c r="A9" s="267" t="s">
        <v>340</v>
      </c>
      <c r="B9" s="495">
        <v>4</v>
      </c>
      <c r="C9" s="496">
        <v>11</v>
      </c>
      <c r="D9" s="176">
        <v>20.093</v>
      </c>
      <c r="E9" s="19">
        <v>9.5549999999999997</v>
      </c>
      <c r="F9" s="18">
        <v>9.3689999999999998</v>
      </c>
      <c r="G9" s="18">
        <v>6.5860000000000003</v>
      </c>
    </row>
    <row r="10" spans="1:7" s="172" customFormat="1" ht="12.75" customHeight="1">
      <c r="A10" s="265" t="s">
        <v>394</v>
      </c>
      <c r="B10" s="495">
        <v>1</v>
      </c>
      <c r="C10" s="497">
        <v>2</v>
      </c>
      <c r="D10" s="176">
        <v>1.526</v>
      </c>
      <c r="E10" s="19">
        <v>2.331</v>
      </c>
      <c r="F10" s="18">
        <v>2.331</v>
      </c>
      <c r="G10" s="18">
        <v>2.331</v>
      </c>
    </row>
    <row r="11" spans="1:7" s="172" customFormat="1" ht="12.75" customHeight="1">
      <c r="A11" s="265" t="s">
        <v>385</v>
      </c>
      <c r="B11" s="495">
        <v>1</v>
      </c>
      <c r="C11" s="496">
        <v>0</v>
      </c>
      <c r="D11" s="176">
        <v>4.1269999999999998</v>
      </c>
      <c r="E11" s="302">
        <v>2.597</v>
      </c>
      <c r="F11" s="301">
        <v>0</v>
      </c>
      <c r="G11" s="301">
        <v>0</v>
      </c>
    </row>
    <row r="12" spans="1:7" s="172" customFormat="1" ht="12.75" customHeight="1">
      <c r="A12" s="265" t="s">
        <v>98</v>
      </c>
      <c r="B12" s="495">
        <v>841</v>
      </c>
      <c r="C12" s="497">
        <v>762</v>
      </c>
      <c r="D12" s="176">
        <v>751.79499999999996</v>
      </c>
      <c r="E12" s="302">
        <v>919.80600000000004</v>
      </c>
      <c r="F12" s="301">
        <v>987.471</v>
      </c>
      <c r="G12" s="301">
        <v>862.28499999999997</v>
      </c>
    </row>
    <row r="13" spans="1:7" s="172" customFormat="1" ht="12.75" customHeight="1">
      <c r="A13" s="265" t="s">
        <v>386</v>
      </c>
      <c r="B13" s="495">
        <v>13</v>
      </c>
      <c r="C13" s="497">
        <v>16</v>
      </c>
      <c r="D13" s="176">
        <v>15.654999999999999</v>
      </c>
      <c r="E13" s="302">
        <v>15.978</v>
      </c>
      <c r="F13" s="301">
        <v>15</v>
      </c>
      <c r="G13" s="301">
        <v>15</v>
      </c>
    </row>
    <row r="14" spans="1:7" ht="12.75" customHeight="1">
      <c r="A14" s="267" t="s">
        <v>342</v>
      </c>
      <c r="B14" s="495">
        <v>18</v>
      </c>
      <c r="C14" s="497">
        <v>59</v>
      </c>
      <c r="D14" s="176">
        <v>27.93</v>
      </c>
      <c r="E14" s="302">
        <v>65.566999999999993</v>
      </c>
      <c r="F14" s="301">
        <v>17.788</v>
      </c>
      <c r="G14" s="301">
        <v>11.555999999999999</v>
      </c>
    </row>
    <row r="15" spans="1:7" ht="12.75" customHeight="1">
      <c r="A15" s="267" t="s">
        <v>387</v>
      </c>
      <c r="B15" s="495">
        <v>57</v>
      </c>
      <c r="C15" s="497">
        <v>85</v>
      </c>
      <c r="D15" s="176">
        <v>77.656999999999996</v>
      </c>
      <c r="E15" s="302">
        <v>128.14500000000001</v>
      </c>
      <c r="F15" s="301">
        <v>86.668999999999997</v>
      </c>
      <c r="G15" s="301">
        <v>87.87</v>
      </c>
    </row>
    <row r="16" spans="1:7" s="172" customFormat="1" ht="12.75" customHeight="1">
      <c r="A16" s="265" t="s">
        <v>100</v>
      </c>
      <c r="B16" s="495">
        <v>829</v>
      </c>
      <c r="C16" s="497">
        <v>1184</v>
      </c>
      <c r="D16" s="176">
        <v>982.82</v>
      </c>
      <c r="E16" s="302">
        <v>1201.249</v>
      </c>
      <c r="F16" s="301">
        <v>1336.1489999999999</v>
      </c>
      <c r="G16" s="301">
        <v>1101.723</v>
      </c>
    </row>
    <row r="17" spans="1:7" s="172" customFormat="1" ht="12.75" customHeight="1">
      <c r="A17" s="265" t="s">
        <v>102</v>
      </c>
      <c r="B17" s="495">
        <v>300</v>
      </c>
      <c r="C17" s="497">
        <v>420</v>
      </c>
      <c r="D17" s="176">
        <v>449.60500000000002</v>
      </c>
      <c r="E17" s="302">
        <v>385.11500000000001</v>
      </c>
      <c r="F17" s="301">
        <v>326.06400000000002</v>
      </c>
      <c r="G17" s="301">
        <v>397.10199999999998</v>
      </c>
    </row>
    <row r="18" spans="1:7" s="172" customFormat="1" ht="12.75" customHeight="1">
      <c r="A18" s="265" t="s">
        <v>389</v>
      </c>
      <c r="B18" s="495">
        <v>11</v>
      </c>
      <c r="C18" s="497">
        <v>12</v>
      </c>
      <c r="D18" s="176">
        <v>15.946</v>
      </c>
      <c r="E18" s="302">
        <v>14.65</v>
      </c>
      <c r="F18" s="301">
        <v>8.15</v>
      </c>
      <c r="G18" s="301">
        <v>7.15</v>
      </c>
    </row>
    <row r="19" spans="1:7" s="172" customFormat="1" ht="12.75" customHeight="1">
      <c r="A19" s="265" t="s">
        <v>343</v>
      </c>
      <c r="B19" s="495">
        <v>14</v>
      </c>
      <c r="C19" s="497">
        <v>18</v>
      </c>
      <c r="D19" s="176">
        <v>22.853000000000002</v>
      </c>
      <c r="E19" s="302">
        <v>14.119</v>
      </c>
      <c r="F19" s="301">
        <v>14.119</v>
      </c>
      <c r="G19" s="301">
        <v>13.819000000000001</v>
      </c>
    </row>
    <row r="20" spans="1:7" s="172" customFormat="1" ht="12.75" customHeight="1">
      <c r="A20" s="265" t="s">
        <v>344</v>
      </c>
      <c r="B20" s="495">
        <v>0</v>
      </c>
      <c r="C20" s="497">
        <v>0</v>
      </c>
      <c r="D20" s="176">
        <v>3.0249999999999999</v>
      </c>
      <c r="E20" s="302">
        <v>5.0250000000000004</v>
      </c>
      <c r="F20" s="301">
        <v>6.0250000000000004</v>
      </c>
      <c r="G20" s="301">
        <v>4.0250000000000004</v>
      </c>
    </row>
    <row r="21" spans="1:7" s="172" customFormat="1" ht="12.75" customHeight="1">
      <c r="A21" s="265" t="s">
        <v>103</v>
      </c>
      <c r="B21" s="498">
        <v>1</v>
      </c>
      <c r="C21" s="499">
        <v>1</v>
      </c>
      <c r="D21" s="481">
        <v>5.6219999999999999</v>
      </c>
      <c r="E21" s="482">
        <v>0.74399999999999999</v>
      </c>
      <c r="F21" s="483">
        <v>0.55000000000000004</v>
      </c>
      <c r="G21" s="483">
        <v>0.45</v>
      </c>
    </row>
    <row r="22" spans="1:7" s="172" customFormat="1" ht="12.75" customHeight="1">
      <c r="A22" s="267" t="s">
        <v>345</v>
      </c>
      <c r="B22" s="495">
        <v>4</v>
      </c>
      <c r="C22" s="497">
        <v>6</v>
      </c>
      <c r="D22" s="176">
        <v>11.169</v>
      </c>
      <c r="E22" s="302">
        <v>12.3</v>
      </c>
      <c r="F22" s="301">
        <v>7.9</v>
      </c>
      <c r="G22" s="301">
        <v>4.9000000000000004</v>
      </c>
    </row>
    <row r="23" spans="1:7" ht="12.75" customHeight="1">
      <c r="A23" s="267" t="s">
        <v>341</v>
      </c>
      <c r="B23" s="495">
        <v>77</v>
      </c>
      <c r="C23" s="497">
        <v>61</v>
      </c>
      <c r="D23" s="176">
        <v>83.977999999999994</v>
      </c>
      <c r="E23" s="302">
        <v>40.860999999999997</v>
      </c>
      <c r="F23" s="301">
        <v>38.491999999999997</v>
      </c>
      <c r="G23" s="301">
        <v>36.512</v>
      </c>
    </row>
    <row r="24" spans="1:7" ht="12.75" customHeight="1">
      <c r="A24" s="265" t="s">
        <v>346</v>
      </c>
      <c r="B24" s="495">
        <v>23</v>
      </c>
      <c r="C24" s="497">
        <v>46</v>
      </c>
      <c r="D24" s="176">
        <v>43.613999999999997</v>
      </c>
      <c r="E24" s="302">
        <v>64.447000000000003</v>
      </c>
      <c r="F24" s="301">
        <v>52.42</v>
      </c>
      <c r="G24" s="301">
        <v>46.82</v>
      </c>
    </row>
    <row r="25" spans="1:7" s="172" customFormat="1" ht="12.75" customHeight="1">
      <c r="A25" s="267" t="s">
        <v>347</v>
      </c>
      <c r="B25" s="495">
        <v>68</v>
      </c>
      <c r="C25" s="497">
        <v>132</v>
      </c>
      <c r="D25" s="176">
        <v>121.67100000000001</v>
      </c>
      <c r="E25" s="302">
        <v>134.58500000000001</v>
      </c>
      <c r="F25" s="301">
        <v>128.07900000000001</v>
      </c>
      <c r="G25" s="301">
        <v>114.13500000000001</v>
      </c>
    </row>
    <row r="26" spans="1:7" s="172" customFormat="1" ht="12.75" customHeight="1">
      <c r="A26" s="267" t="s">
        <v>348</v>
      </c>
      <c r="B26" s="495">
        <v>1352</v>
      </c>
      <c r="C26" s="497">
        <v>1846</v>
      </c>
      <c r="D26" s="176">
        <v>1537.6289999999999</v>
      </c>
      <c r="E26" s="302">
        <v>1355.597</v>
      </c>
      <c r="F26" s="301">
        <v>1323.5909999999999</v>
      </c>
      <c r="G26" s="301">
        <v>1285.4459999999999</v>
      </c>
    </row>
    <row r="27" spans="1:7" s="172" customFormat="1" ht="12.75" customHeight="1">
      <c r="A27" s="265" t="s">
        <v>105</v>
      </c>
      <c r="B27" s="495">
        <v>13</v>
      </c>
      <c r="C27" s="497">
        <v>28</v>
      </c>
      <c r="D27" s="176">
        <v>21.332000000000001</v>
      </c>
      <c r="E27" s="302">
        <v>18.36</v>
      </c>
      <c r="F27" s="301">
        <v>16.46</v>
      </c>
      <c r="G27" s="301">
        <v>15.71</v>
      </c>
    </row>
    <row r="28" spans="1:7" s="172" customFormat="1" ht="12.75" customHeight="1">
      <c r="A28" s="265" t="s">
        <v>172</v>
      </c>
      <c r="B28" s="495">
        <v>2</v>
      </c>
      <c r="C28" s="497">
        <v>2</v>
      </c>
      <c r="D28" s="176">
        <v>2</v>
      </c>
      <c r="E28" s="302">
        <v>2</v>
      </c>
      <c r="F28" s="301">
        <v>2</v>
      </c>
      <c r="G28" s="301">
        <v>2</v>
      </c>
    </row>
    <row r="29" spans="1:7" s="172" customFormat="1" ht="15" customHeight="1" thickBot="1">
      <c r="A29" s="30" t="s">
        <v>176</v>
      </c>
      <c r="B29" s="177">
        <v>4108</v>
      </c>
      <c r="C29" s="56">
        <v>5184</v>
      </c>
      <c r="D29" s="56">
        <v>4701.8999999999996</v>
      </c>
      <c r="E29" s="178">
        <v>4829.7309999999998</v>
      </c>
      <c r="F29" s="177">
        <v>4800.299</v>
      </c>
      <c r="G29" s="177">
        <v>4500.2730000000001</v>
      </c>
    </row>
    <row r="30" spans="1:7">
      <c r="A30" s="297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734C-28D9-4015-AF48-F12EB2A681EC}">
  <sheetPr>
    <tabColor rgb="FF92D050"/>
    <pageSetUpPr fitToPage="1"/>
  </sheetPr>
  <dimension ref="A1:O20"/>
  <sheetViews>
    <sheetView showGridLines="0" zoomScaleNormal="100" workbookViewId="0"/>
  </sheetViews>
  <sheetFormatPr defaultColWidth="9" defaultRowHeight="11.25"/>
  <cols>
    <col min="1" max="1" width="51.7109375" style="41" customWidth="1"/>
    <col min="2" max="2" width="8" style="38" customWidth="1"/>
    <col min="3" max="4" width="8.42578125" style="39" customWidth="1"/>
    <col min="5" max="5" width="8.42578125" style="40" customWidth="1"/>
    <col min="6" max="6" width="8.85546875" style="40" customWidth="1"/>
    <col min="7" max="16384" width="9" style="40"/>
  </cols>
  <sheetData>
    <row r="1" spans="1:15" s="172" customFormat="1" ht="14.25" customHeight="1">
      <c r="A1" s="195" t="s">
        <v>84</v>
      </c>
      <c r="B1" s="23"/>
      <c r="C1" s="23"/>
      <c r="D1" s="18"/>
      <c r="E1" s="18"/>
      <c r="F1" s="18"/>
    </row>
    <row r="2" spans="1:15" s="172" customFormat="1" ht="14.25" customHeight="1">
      <c r="A2" s="4" t="s">
        <v>1</v>
      </c>
      <c r="B2" s="23"/>
      <c r="C2" s="23"/>
      <c r="D2" s="18"/>
      <c r="E2" s="18"/>
      <c r="F2" s="18"/>
    </row>
    <row r="3" spans="1:15" s="172" customFormat="1" ht="14.25" customHeight="1">
      <c r="B3" s="589" t="s">
        <v>27</v>
      </c>
      <c r="C3" s="589"/>
      <c r="D3" s="589"/>
      <c r="E3" s="589"/>
      <c r="F3" s="589"/>
    </row>
    <row r="4" spans="1:15" s="172" customFormat="1" ht="12.75" customHeight="1">
      <c r="B4" s="43" t="s">
        <v>28</v>
      </c>
      <c r="C4" s="44" t="s">
        <v>29</v>
      </c>
      <c r="D4" s="45" t="s">
        <v>322</v>
      </c>
      <c r="E4" s="44" t="s">
        <v>337</v>
      </c>
      <c r="F4" s="44" t="s">
        <v>337</v>
      </c>
    </row>
    <row r="5" spans="1:15" s="172" customFormat="1" ht="14.25" customHeight="1">
      <c r="B5" s="11" t="s">
        <v>7</v>
      </c>
      <c r="C5" s="11" t="s">
        <v>9</v>
      </c>
      <c r="D5" s="12" t="s">
        <v>10</v>
      </c>
      <c r="E5" s="11" t="s">
        <v>11</v>
      </c>
      <c r="F5" s="11" t="s">
        <v>11</v>
      </c>
    </row>
    <row r="6" spans="1:15" s="172" customFormat="1" ht="3.75" customHeight="1">
      <c r="A6" s="196"/>
      <c r="B6" s="29"/>
      <c r="C6" s="29"/>
      <c r="D6" s="197"/>
      <c r="E6" s="198"/>
      <c r="F6" s="198"/>
    </row>
    <row r="7" spans="1:15">
      <c r="A7" s="41" t="s">
        <v>85</v>
      </c>
      <c r="B7" s="39">
        <v>58014</v>
      </c>
      <c r="C7" s="39">
        <v>59337</v>
      </c>
      <c r="D7" s="24">
        <v>60391.284</v>
      </c>
      <c r="E7" s="39">
        <v>61465.896000000001</v>
      </c>
      <c r="F7" s="199">
        <v>62436.775000000009</v>
      </c>
    </row>
    <row r="8" spans="1:15">
      <c r="A8" s="41" t="s">
        <v>86</v>
      </c>
      <c r="B8" s="39">
        <v>4108</v>
      </c>
      <c r="C8" s="39">
        <v>4701.8999999999996</v>
      </c>
      <c r="D8" s="24">
        <v>4829.7309999999998</v>
      </c>
      <c r="E8" s="39">
        <v>4800.299</v>
      </c>
      <c r="F8" s="39">
        <v>4500.2730000000001</v>
      </c>
    </row>
    <row r="9" spans="1:15">
      <c r="A9" s="41" t="s">
        <v>179</v>
      </c>
      <c r="B9" s="39">
        <v>0</v>
      </c>
      <c r="C9" s="39">
        <v>-800</v>
      </c>
      <c r="D9" s="24">
        <v>-800</v>
      </c>
      <c r="E9" s="39">
        <v>-800</v>
      </c>
      <c r="F9" s="199">
        <v>-800</v>
      </c>
    </row>
    <row r="10" spans="1:15">
      <c r="A10" s="41" t="s">
        <v>87</v>
      </c>
      <c r="B10" s="39">
        <v>-2666</v>
      </c>
      <c r="C10" s="39">
        <v>-2847.6159999999995</v>
      </c>
      <c r="D10" s="24">
        <v>-2955.1190000000001</v>
      </c>
      <c r="E10" s="39">
        <v>-3029.4199999999996</v>
      </c>
      <c r="F10" s="39">
        <v>-3047.7359999999994</v>
      </c>
    </row>
    <row r="11" spans="1:15">
      <c r="A11" s="200" t="s">
        <v>88</v>
      </c>
      <c r="B11" s="21">
        <v>-119</v>
      </c>
      <c r="C11" s="21">
        <v>0</v>
      </c>
      <c r="D11" s="60">
        <v>0</v>
      </c>
      <c r="E11" s="21">
        <v>0</v>
      </c>
      <c r="F11" s="21">
        <v>0</v>
      </c>
    </row>
    <row r="12" spans="1:15">
      <c r="A12" s="201" t="s">
        <v>89</v>
      </c>
      <c r="B12" s="202">
        <v>59337</v>
      </c>
      <c r="C12" s="204">
        <v>60391.284</v>
      </c>
      <c r="D12" s="203">
        <v>61465.896000000001</v>
      </c>
      <c r="E12" s="204">
        <v>62436.775000000009</v>
      </c>
      <c r="F12" s="204">
        <v>63089.312000000013</v>
      </c>
    </row>
    <row r="13" spans="1:15" ht="12">
      <c r="B13" s="585"/>
      <c r="C13" s="585"/>
      <c r="D13" s="585"/>
      <c r="E13" s="585"/>
      <c r="F13" s="585"/>
    </row>
    <row r="14" spans="1:15">
      <c r="A14" s="515" t="s">
        <v>424</v>
      </c>
      <c r="B14" s="516">
        <v>496</v>
      </c>
      <c r="C14" s="517">
        <v>0</v>
      </c>
      <c r="D14" s="518">
        <v>0</v>
      </c>
      <c r="E14" s="517">
        <v>0</v>
      </c>
      <c r="F14" s="517">
        <v>0</v>
      </c>
      <c r="G14" s="516"/>
      <c r="H14" s="516"/>
      <c r="I14" s="516"/>
      <c r="J14" s="516"/>
      <c r="K14" s="516"/>
      <c r="L14" s="516"/>
      <c r="M14" s="516"/>
      <c r="N14" s="516"/>
      <c r="O14" s="516"/>
    </row>
    <row r="15" spans="1:15">
      <c r="A15" s="519" t="s">
        <v>425</v>
      </c>
      <c r="B15" s="516">
        <v>791</v>
      </c>
      <c r="C15" s="516">
        <v>903.75500000000011</v>
      </c>
      <c r="D15" s="520">
        <v>929.49200000000019</v>
      </c>
      <c r="E15" s="516">
        <v>970.2800000000002</v>
      </c>
      <c r="F15" s="516">
        <v>965.72800000000007</v>
      </c>
      <c r="G15" s="516"/>
      <c r="H15" s="516"/>
      <c r="I15" s="516"/>
      <c r="J15" s="516"/>
      <c r="K15" s="516"/>
      <c r="L15" s="516"/>
      <c r="M15" s="516"/>
      <c r="N15" s="516"/>
      <c r="O15" s="516"/>
    </row>
    <row r="16" spans="1:15" ht="14.1" customHeight="1" thickBot="1">
      <c r="A16" s="521" t="s">
        <v>426</v>
      </c>
      <c r="B16" s="522">
        <v>60624</v>
      </c>
      <c r="C16" s="522">
        <v>61294.038999999997</v>
      </c>
      <c r="D16" s="578">
        <v>62396.387999999999</v>
      </c>
      <c r="E16" s="522">
        <v>63407.055000000008</v>
      </c>
      <c r="F16" s="522">
        <v>64055.040000000015</v>
      </c>
      <c r="G16" s="516"/>
      <c r="H16" s="516"/>
      <c r="I16" s="516"/>
      <c r="J16" s="516"/>
      <c r="K16" s="516"/>
      <c r="L16" s="516"/>
      <c r="M16" s="516"/>
      <c r="N16" s="516"/>
      <c r="O16" s="516"/>
    </row>
    <row r="17" spans="1:6">
      <c r="E17" s="39"/>
      <c r="F17" s="39"/>
    </row>
    <row r="18" spans="1:6" ht="12">
      <c r="A18" s="585"/>
      <c r="B18" s="40"/>
      <c r="E18" s="39"/>
      <c r="F18" s="39"/>
    </row>
    <row r="19" spans="1:6">
      <c r="A19" s="40"/>
      <c r="B19" s="40"/>
      <c r="E19" s="39"/>
      <c r="F19" s="39"/>
    </row>
    <row r="20" spans="1:6">
      <c r="A20" s="40"/>
      <c r="B20" s="40"/>
    </row>
  </sheetData>
  <mergeCells count="1">
    <mergeCell ref="B3:F3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92D050"/>
    <pageSetUpPr fitToPage="1"/>
  </sheetPr>
  <dimension ref="A1:H20"/>
  <sheetViews>
    <sheetView showGridLines="0" zoomScaleNormal="100" workbookViewId="0"/>
  </sheetViews>
  <sheetFormatPr defaultColWidth="9" defaultRowHeight="12"/>
  <cols>
    <col min="1" max="1" width="51.7109375" customWidth="1"/>
    <col min="2" max="7" width="8" customWidth="1"/>
  </cols>
  <sheetData>
    <row r="1" spans="1:8" ht="15.75">
      <c r="A1" s="195" t="s">
        <v>177</v>
      </c>
    </row>
    <row r="2" spans="1:8">
      <c r="A2" s="4" t="s">
        <v>1</v>
      </c>
      <c r="B2" s="86"/>
      <c r="C2" s="233"/>
      <c r="D2" s="233"/>
    </row>
    <row r="3" spans="1:8">
      <c r="A3" s="4"/>
      <c r="B3" s="86"/>
      <c r="C3" s="233"/>
      <c r="D3" s="233"/>
    </row>
    <row r="4" spans="1:8">
      <c r="A4" s="41"/>
      <c r="B4" s="7" t="s">
        <v>5</v>
      </c>
      <c r="C4" s="588" t="s">
        <v>6</v>
      </c>
      <c r="D4" s="588"/>
      <c r="E4" s="8" t="s">
        <v>291</v>
      </c>
      <c r="F4" s="7" t="s">
        <v>336</v>
      </c>
      <c r="G4" s="7" t="s">
        <v>377</v>
      </c>
    </row>
    <row r="5" spans="1:8">
      <c r="A5" s="227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8" ht="3.75" customHeight="1">
      <c r="A6" s="41"/>
      <c r="B6" s="7"/>
      <c r="C6" s="7"/>
      <c r="D6" s="7"/>
      <c r="E6" s="303"/>
      <c r="F6" s="304"/>
      <c r="G6" s="304"/>
    </row>
    <row r="7" spans="1:8">
      <c r="A7" s="35" t="s">
        <v>178</v>
      </c>
      <c r="B7" s="145">
        <v>5633</v>
      </c>
      <c r="C7" s="145">
        <v>8005</v>
      </c>
      <c r="D7" s="145">
        <v>7077</v>
      </c>
      <c r="E7" s="19">
        <v>8299</v>
      </c>
      <c r="F7" s="18">
        <v>8376</v>
      </c>
      <c r="G7" s="145">
        <v>8363.1964999999982</v>
      </c>
    </row>
    <row r="8" spans="1:8">
      <c r="A8" s="41" t="s">
        <v>402</v>
      </c>
      <c r="B8" s="187">
        <v>95</v>
      </c>
      <c r="C8" s="39">
        <v>0</v>
      </c>
      <c r="D8" s="145">
        <v>62.144000000000005</v>
      </c>
      <c r="E8" s="19">
        <v>34.244</v>
      </c>
      <c r="F8" s="18">
        <v>25.515000000000001</v>
      </c>
      <c r="G8" s="145">
        <v>-4.7480000000000002</v>
      </c>
    </row>
    <row r="9" spans="1:8">
      <c r="A9" s="35" t="s">
        <v>179</v>
      </c>
      <c r="B9" s="207">
        <v>0</v>
      </c>
      <c r="C9" s="21">
        <v>-800</v>
      </c>
      <c r="D9" s="21">
        <v>-800</v>
      </c>
      <c r="E9" s="60">
        <v>-800</v>
      </c>
      <c r="F9" s="21">
        <v>-800</v>
      </c>
      <c r="G9" s="207">
        <v>-800</v>
      </c>
    </row>
    <row r="10" spans="1:8">
      <c r="A10" s="35" t="s">
        <v>180</v>
      </c>
      <c r="B10" s="34">
        <v>5728</v>
      </c>
      <c r="C10" s="23">
        <v>7205</v>
      </c>
      <c r="D10" s="23">
        <v>6339.1440000000002</v>
      </c>
      <c r="E10" s="19">
        <v>7533.2440000000006</v>
      </c>
      <c r="F10" s="23">
        <v>7601.5149999999994</v>
      </c>
      <c r="G10" s="34">
        <v>7558.4484999999986</v>
      </c>
    </row>
    <row r="11" spans="1:8" ht="3.75" customHeight="1">
      <c r="A11" s="35"/>
      <c r="B11" s="145"/>
      <c r="C11" s="23"/>
      <c r="D11" s="23"/>
      <c r="E11" s="19"/>
      <c r="F11" s="18"/>
      <c r="G11" s="18"/>
    </row>
    <row r="12" spans="1:8">
      <c r="A12" s="35" t="s">
        <v>181</v>
      </c>
      <c r="B12" s="145"/>
      <c r="C12" s="23"/>
      <c r="D12" s="23"/>
      <c r="E12" s="19"/>
      <c r="F12" s="18"/>
      <c r="G12" s="18"/>
    </row>
    <row r="13" spans="1:8">
      <c r="A13" s="55" t="s">
        <v>403</v>
      </c>
      <c r="B13" s="145">
        <v>848</v>
      </c>
      <c r="C13" s="18">
        <v>1031</v>
      </c>
      <c r="D13" s="18">
        <v>902.4</v>
      </c>
      <c r="E13" s="19">
        <v>1184.6999999999998</v>
      </c>
      <c r="F13" s="18">
        <v>967.8</v>
      </c>
      <c r="G13" s="18">
        <v>980.19999999999993</v>
      </c>
      <c r="H13" s="18"/>
    </row>
    <row r="14" spans="1:8">
      <c r="A14" s="55" t="s">
        <v>404</v>
      </c>
      <c r="B14" s="145">
        <v>16</v>
      </c>
      <c r="C14" s="18">
        <v>35</v>
      </c>
      <c r="D14" s="18">
        <v>28.577999999999999</v>
      </c>
      <c r="E14" s="19">
        <v>34.969000000000001</v>
      </c>
      <c r="F14" s="18">
        <v>35.625</v>
      </c>
      <c r="G14" s="18">
        <v>16.274999999999999</v>
      </c>
      <c r="H14" s="18"/>
    </row>
    <row r="15" spans="1:8">
      <c r="A15" s="305" t="s">
        <v>182</v>
      </c>
      <c r="B15" s="145">
        <v>716</v>
      </c>
      <c r="C15" s="18">
        <v>625</v>
      </c>
      <c r="D15" s="18">
        <v>539.00800000000004</v>
      </c>
      <c r="E15" s="19">
        <v>508</v>
      </c>
      <c r="F15" s="18">
        <v>487.18600000000004</v>
      </c>
      <c r="G15" s="18">
        <v>489.12</v>
      </c>
      <c r="H15" s="18"/>
    </row>
    <row r="16" spans="1:8">
      <c r="A16" s="55" t="s">
        <v>148</v>
      </c>
      <c r="B16" s="145">
        <v>50</v>
      </c>
      <c r="C16" s="18">
        <v>63</v>
      </c>
      <c r="D16" s="18">
        <v>37</v>
      </c>
      <c r="E16" s="19">
        <v>63</v>
      </c>
      <c r="F16" s="18">
        <v>63</v>
      </c>
      <c r="G16" s="145">
        <v>63</v>
      </c>
      <c r="H16" s="18"/>
    </row>
    <row r="17" spans="1:8">
      <c r="A17" s="305" t="s">
        <v>56</v>
      </c>
      <c r="B17" s="145">
        <v>52</v>
      </c>
      <c r="C17" s="18">
        <v>64</v>
      </c>
      <c r="D17" s="18">
        <v>64</v>
      </c>
      <c r="E17" s="19">
        <v>1</v>
      </c>
      <c r="F17" s="18">
        <v>0</v>
      </c>
      <c r="G17" s="145">
        <v>0</v>
      </c>
      <c r="H17" s="18"/>
    </row>
    <row r="18" spans="1:8">
      <c r="A18" s="55" t="s">
        <v>443</v>
      </c>
      <c r="B18" s="145">
        <v>4046</v>
      </c>
      <c r="C18" s="18">
        <v>5387</v>
      </c>
      <c r="D18" s="18">
        <v>4831</v>
      </c>
      <c r="E18" s="19">
        <v>5743</v>
      </c>
      <c r="F18" s="18">
        <v>6048</v>
      </c>
      <c r="G18" s="145">
        <v>6010</v>
      </c>
      <c r="H18" s="18"/>
    </row>
    <row r="19" spans="1:8" ht="15" customHeight="1" thickBot="1">
      <c r="A19" s="208" t="s">
        <v>183</v>
      </c>
      <c r="B19" s="280">
        <v>5728</v>
      </c>
      <c r="C19" s="280">
        <v>7205</v>
      </c>
      <c r="D19" s="306">
        <v>6401.9859999999999</v>
      </c>
      <c r="E19" s="279">
        <v>7534.6689999999999</v>
      </c>
      <c r="F19" s="306">
        <v>7601.6109999999999</v>
      </c>
      <c r="G19" s="280">
        <v>7557.5949999999993</v>
      </c>
      <c r="H19" s="18"/>
    </row>
    <row r="20" spans="1:8">
      <c r="C20" t="s">
        <v>184</v>
      </c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92D050"/>
    <pageSetUpPr fitToPage="1"/>
  </sheetPr>
  <dimension ref="A1:G11"/>
  <sheetViews>
    <sheetView showGridLines="0" zoomScaleNormal="100" workbookViewId="0"/>
  </sheetViews>
  <sheetFormatPr defaultColWidth="8.5703125" defaultRowHeight="12"/>
  <cols>
    <col min="1" max="1" width="51.7109375" customWidth="1"/>
    <col min="2" max="7" width="8" customWidth="1"/>
  </cols>
  <sheetData>
    <row r="1" spans="1:7" ht="15.75">
      <c r="A1" s="195" t="s">
        <v>373</v>
      </c>
    </row>
    <row r="2" spans="1:7">
      <c r="A2" s="4" t="s">
        <v>1</v>
      </c>
      <c r="B2" s="233"/>
      <c r="C2" s="233"/>
      <c r="D2" s="233"/>
    </row>
    <row r="3" spans="1:7">
      <c r="A3" s="4"/>
      <c r="B3" s="233"/>
      <c r="C3" s="233"/>
      <c r="D3" s="233"/>
    </row>
    <row r="4" spans="1:7">
      <c r="A4" s="227"/>
      <c r="B4" s="11" t="s">
        <v>5</v>
      </c>
      <c r="C4" s="11" t="s">
        <v>6</v>
      </c>
      <c r="D4" s="12" t="s">
        <v>291</v>
      </c>
      <c r="E4" s="11" t="s">
        <v>336</v>
      </c>
      <c r="F4" s="11" t="s">
        <v>377</v>
      </c>
      <c r="G4" s="11" t="s">
        <v>378</v>
      </c>
    </row>
    <row r="5" spans="1:7" ht="15" customHeight="1">
      <c r="A5" s="41" t="s">
        <v>376</v>
      </c>
      <c r="B5" s="39">
        <v>5292</v>
      </c>
      <c r="C5" s="39">
        <v>7522</v>
      </c>
      <c r="D5" s="24">
        <v>5971</v>
      </c>
      <c r="E5" s="39">
        <v>13199</v>
      </c>
      <c r="F5" s="39">
        <v>5825</v>
      </c>
      <c r="G5" s="39">
        <v>7320</v>
      </c>
    </row>
    <row r="6" spans="1:7">
      <c r="A6" s="41" t="s">
        <v>375</v>
      </c>
      <c r="B6" s="18">
        <v>8062</v>
      </c>
      <c r="C6" s="18">
        <v>2364</v>
      </c>
      <c r="D6" s="19">
        <v>0</v>
      </c>
      <c r="E6" s="18">
        <v>0</v>
      </c>
      <c r="F6" s="18">
        <v>0</v>
      </c>
      <c r="G6" s="18">
        <v>0</v>
      </c>
    </row>
    <row r="7" spans="1:7" ht="15" customHeight="1" thickBot="1">
      <c r="A7" s="208" t="s">
        <v>374</v>
      </c>
      <c r="B7" s="278">
        <v>13354</v>
      </c>
      <c r="C7" s="278">
        <v>9886</v>
      </c>
      <c r="D7" s="307">
        <v>5971</v>
      </c>
      <c r="E7" s="278">
        <v>13199</v>
      </c>
      <c r="F7" s="209">
        <v>5825</v>
      </c>
      <c r="G7" s="209">
        <v>7320</v>
      </c>
    </row>
    <row r="10" spans="1:7">
      <c r="A10" s="41"/>
    </row>
    <row r="11" spans="1:7">
      <c r="E11" s="36"/>
    </row>
  </sheetData>
  <pageMargins left="0.74803149606299213" right="0.74803149606299213" top="0.74803149606299213" bottom="0.74803149606299213" header="0.31496062992125984" footer="0.31496062992125984"/>
  <pageSetup fitToHeight="0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92D050"/>
    <pageSetUpPr fitToPage="1"/>
  </sheetPr>
  <dimension ref="A1:M10"/>
  <sheetViews>
    <sheetView showGridLines="0" zoomScaleNormal="100" workbookViewId="0"/>
  </sheetViews>
  <sheetFormatPr defaultColWidth="9" defaultRowHeight="12"/>
  <cols>
    <col min="1" max="1" width="51.7109375" style="173" customWidth="1"/>
    <col min="2" max="7" width="8" style="173" customWidth="1"/>
    <col min="8" max="9" width="8.5703125" style="173" customWidth="1"/>
    <col min="10" max="16384" width="9" style="173"/>
  </cols>
  <sheetData>
    <row r="1" spans="1:13" ht="15.75">
      <c r="A1" s="308" t="s">
        <v>185</v>
      </c>
      <c r="B1" s="308"/>
      <c r="C1" s="309"/>
      <c r="D1" s="309"/>
      <c r="E1" s="309"/>
      <c r="F1" s="309"/>
      <c r="G1" s="309"/>
    </row>
    <row r="2" spans="1:13" ht="12" customHeight="1">
      <c r="A2" s="4" t="s">
        <v>1</v>
      </c>
      <c r="B2" s="4"/>
      <c r="C2" s="309"/>
      <c r="D2" s="309"/>
      <c r="E2" s="309"/>
      <c r="F2" s="309"/>
      <c r="G2" s="309"/>
    </row>
    <row r="3" spans="1:13">
      <c r="B3" s="170" t="s">
        <v>5</v>
      </c>
      <c r="C3" s="595" t="s">
        <v>6</v>
      </c>
      <c r="D3" s="595"/>
      <c r="E3" s="8" t="s">
        <v>291</v>
      </c>
      <c r="F3" s="7" t="s">
        <v>336</v>
      </c>
      <c r="G3" s="7" t="s">
        <v>377</v>
      </c>
    </row>
    <row r="4" spans="1:13">
      <c r="A4" s="310"/>
      <c r="B4" s="559" t="s">
        <v>7</v>
      </c>
      <c r="C4" s="559" t="s">
        <v>8</v>
      </c>
      <c r="D4" s="559" t="s">
        <v>9</v>
      </c>
      <c r="E4" s="12" t="s">
        <v>10</v>
      </c>
      <c r="F4" s="11" t="s">
        <v>11</v>
      </c>
      <c r="G4" s="11" t="s">
        <v>11</v>
      </c>
    </row>
    <row r="5" spans="1:13" ht="15" customHeight="1">
      <c r="A5" s="515" t="s">
        <v>372</v>
      </c>
      <c r="B5" s="311">
        <v>0</v>
      </c>
      <c r="C5" s="313">
        <v>5464</v>
      </c>
      <c r="D5" s="313">
        <v>7330</v>
      </c>
      <c r="E5" s="314">
        <v>7289</v>
      </c>
      <c r="F5" s="313">
        <v>3571</v>
      </c>
      <c r="G5" s="311">
        <v>6853</v>
      </c>
      <c r="J5" s="311"/>
    </row>
    <row r="6" spans="1:13" ht="13.5" customHeight="1">
      <c r="A6" s="312" t="s">
        <v>319</v>
      </c>
      <c r="B6" s="311">
        <v>2251</v>
      </c>
      <c r="C6" s="313">
        <v>469</v>
      </c>
      <c r="D6" s="313">
        <v>525</v>
      </c>
      <c r="E6" s="314">
        <v>503</v>
      </c>
      <c r="F6" s="313">
        <v>455</v>
      </c>
      <c r="G6" s="311">
        <v>459</v>
      </c>
    </row>
    <row r="7" spans="1:13" ht="13.5" customHeight="1">
      <c r="A7" s="312" t="s">
        <v>186</v>
      </c>
      <c r="B7" s="316">
        <v>1003</v>
      </c>
      <c r="C7" s="580">
        <v>733</v>
      </c>
      <c r="D7" s="580">
        <v>2913</v>
      </c>
      <c r="E7" s="581">
        <v>408</v>
      </c>
      <c r="F7" s="580">
        <v>350</v>
      </c>
      <c r="G7" s="316">
        <v>700</v>
      </c>
      <c r="J7"/>
      <c r="K7"/>
      <c r="L7"/>
      <c r="M7"/>
    </row>
    <row r="8" spans="1:13" s="584" customFormat="1" ht="13.5" customHeight="1">
      <c r="A8" s="582" t="s">
        <v>445</v>
      </c>
      <c r="B8" s="583">
        <v>3254</v>
      </c>
      <c r="C8" s="583">
        <v>6666</v>
      </c>
      <c r="D8" s="583">
        <v>10768</v>
      </c>
      <c r="E8" s="314">
        <v>8200</v>
      </c>
      <c r="F8" s="315">
        <v>4376</v>
      </c>
      <c r="G8" s="583">
        <v>8012</v>
      </c>
      <c r="J8" s="205"/>
      <c r="K8" s="205"/>
      <c r="L8" s="205"/>
      <c r="M8" s="205"/>
    </row>
    <row r="9" spans="1:13" ht="13.5" customHeight="1">
      <c r="A9" s="312" t="s">
        <v>446</v>
      </c>
      <c r="B9" s="311">
        <v>0</v>
      </c>
      <c r="C9" s="313">
        <v>0</v>
      </c>
      <c r="D9" s="313">
        <v>3000</v>
      </c>
      <c r="E9" s="314">
        <v>11600</v>
      </c>
      <c r="F9" s="313">
        <v>0</v>
      </c>
      <c r="G9" s="311">
        <v>0</v>
      </c>
      <c r="J9"/>
      <c r="K9"/>
      <c r="L9"/>
      <c r="M9"/>
    </row>
    <row r="10" spans="1:13" ht="15" customHeight="1" thickBot="1">
      <c r="A10" s="208" t="s">
        <v>187</v>
      </c>
      <c r="B10" s="278">
        <v>3254</v>
      </c>
      <c r="C10" s="278">
        <v>6666</v>
      </c>
      <c r="D10" s="278">
        <v>13768</v>
      </c>
      <c r="E10" s="307">
        <v>19800</v>
      </c>
      <c r="F10" s="278">
        <v>4376</v>
      </c>
      <c r="G10" s="278">
        <v>8012</v>
      </c>
      <c r="H10"/>
      <c r="J10"/>
      <c r="K10"/>
      <c r="L10"/>
      <c r="M10"/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fitToHeight="0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rgb="FF92D050"/>
    <pageSetUpPr fitToPage="1"/>
  </sheetPr>
  <dimension ref="A1:M51"/>
  <sheetViews>
    <sheetView showGridLines="0" zoomScaleNormal="100" workbookViewId="0"/>
  </sheetViews>
  <sheetFormatPr defaultColWidth="9" defaultRowHeight="12"/>
  <cols>
    <col min="1" max="1" width="51.7109375" style="173" customWidth="1"/>
    <col min="2" max="7" width="8" style="173" customWidth="1"/>
    <col min="8" max="9" width="8.5703125" style="173" customWidth="1"/>
    <col min="10" max="16384" width="9" style="173"/>
  </cols>
  <sheetData>
    <row r="1" spans="1:13" ht="18.75" customHeight="1">
      <c r="A1" s="308" t="s">
        <v>190</v>
      </c>
      <c r="B1" s="308"/>
      <c r="C1" s="309"/>
      <c r="D1" s="309"/>
      <c r="E1" s="309"/>
      <c r="F1" s="309"/>
      <c r="G1" s="309"/>
    </row>
    <row r="2" spans="1:13" ht="12" customHeight="1">
      <c r="A2" s="4" t="s">
        <v>1</v>
      </c>
      <c r="B2" s="4"/>
      <c r="C2" s="309"/>
      <c r="D2" s="309"/>
      <c r="E2" s="309"/>
      <c r="F2" s="309"/>
      <c r="G2" s="309"/>
    </row>
    <row r="3" spans="1:13" ht="12" customHeight="1">
      <c r="B3" s="7" t="s">
        <v>5</v>
      </c>
      <c r="C3" s="588" t="s">
        <v>6</v>
      </c>
      <c r="D3" s="588"/>
      <c r="E3" s="8" t="s">
        <v>291</v>
      </c>
      <c r="F3" s="7" t="s">
        <v>336</v>
      </c>
      <c r="G3" s="7" t="s">
        <v>377</v>
      </c>
    </row>
    <row r="4" spans="1:13" ht="12" customHeight="1">
      <c r="A4" s="310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</row>
    <row r="5" spans="1:13" ht="15" customHeight="1">
      <c r="A5" s="488" t="s">
        <v>191</v>
      </c>
      <c r="B5" s="489">
        <v>782</v>
      </c>
      <c r="C5" s="489">
        <v>0</v>
      </c>
      <c r="D5" s="489">
        <v>9279</v>
      </c>
      <c r="E5" s="490">
        <v>2000</v>
      </c>
      <c r="F5" s="579">
        <v>1500</v>
      </c>
      <c r="G5" s="489">
        <v>1500</v>
      </c>
    </row>
    <row r="6" spans="1:13" s="320" customFormat="1" ht="12.75" customHeight="1">
      <c r="A6" s="312" t="s">
        <v>192</v>
      </c>
      <c r="B6" s="311">
        <v>56</v>
      </c>
      <c r="C6" s="311">
        <v>64</v>
      </c>
      <c r="D6" s="311">
        <v>0</v>
      </c>
      <c r="E6" s="314">
        <v>120</v>
      </c>
      <c r="F6" s="313">
        <v>0</v>
      </c>
      <c r="G6" s="311">
        <v>0</v>
      </c>
      <c r="L6" s="321"/>
    </row>
    <row r="7" spans="1:13" ht="12.75" customHeight="1">
      <c r="A7" s="312" t="s">
        <v>193</v>
      </c>
      <c r="B7" s="311">
        <v>2416</v>
      </c>
      <c r="C7" s="311">
        <v>6602</v>
      </c>
      <c r="D7" s="311">
        <v>4489</v>
      </c>
      <c r="E7" s="314">
        <v>17680</v>
      </c>
      <c r="F7" s="313">
        <v>2876</v>
      </c>
      <c r="G7" s="311">
        <v>6512</v>
      </c>
    </row>
    <row r="8" spans="1:13" ht="15" customHeight="1" thickBot="1">
      <c r="A8" s="208" t="s">
        <v>194</v>
      </c>
      <c r="B8" s="209">
        <v>3254</v>
      </c>
      <c r="C8" s="209">
        <v>6666</v>
      </c>
      <c r="D8" s="209">
        <v>13768</v>
      </c>
      <c r="E8" s="307">
        <v>19800</v>
      </c>
      <c r="F8" s="278">
        <v>4376</v>
      </c>
      <c r="G8" s="278">
        <v>8012</v>
      </c>
      <c r="H8"/>
    </row>
    <row r="9" spans="1:13" ht="13.5" customHeight="1"/>
    <row r="10" spans="1:13" ht="13.5" customHeight="1"/>
    <row r="11" spans="1:13" ht="13.5" customHeight="1"/>
    <row r="12" spans="1:13" ht="13.5" customHeight="1"/>
    <row r="13" spans="1:13" ht="13.5" customHeight="1"/>
    <row r="14" spans="1:13" ht="13.5" customHeight="1"/>
    <row r="15" spans="1:13" s="320" customFormat="1" ht="15" customHeight="1">
      <c r="L15" s="321"/>
      <c r="M15" s="321"/>
    </row>
    <row r="16" spans="1:13">
      <c r="C16" s="175"/>
      <c r="D16" s="175"/>
    </row>
    <row r="19" spans="1:9">
      <c r="C19" s="282"/>
      <c r="D19" s="282"/>
      <c r="E19" s="282"/>
      <c r="F19" s="282"/>
      <c r="G19" s="282"/>
      <c r="H19" s="282"/>
      <c r="I19" s="282"/>
    </row>
    <row r="20" spans="1:9">
      <c r="A20" s="596"/>
      <c r="B20" s="596"/>
      <c r="C20" s="596"/>
      <c r="D20" s="596"/>
      <c r="E20" s="596"/>
      <c r="F20" s="596"/>
      <c r="G20" s="596"/>
      <c r="H20" s="596"/>
      <c r="I20" s="596"/>
    </row>
    <row r="22" spans="1:9">
      <c r="A22"/>
      <c r="B22"/>
      <c r="C22"/>
      <c r="D22"/>
      <c r="E22"/>
      <c r="F22"/>
      <c r="G22"/>
      <c r="H22"/>
      <c r="I22"/>
    </row>
    <row r="23" spans="1:9">
      <c r="A23"/>
      <c r="B23"/>
      <c r="C23"/>
      <c r="D23"/>
      <c r="E23"/>
      <c r="F23"/>
      <c r="G23"/>
      <c r="H23"/>
      <c r="I23"/>
    </row>
    <row r="24" spans="1:9">
      <c r="A24"/>
      <c r="B24"/>
      <c r="C24"/>
      <c r="D24"/>
      <c r="E24"/>
      <c r="F24"/>
      <c r="G24"/>
      <c r="H24"/>
      <c r="I24"/>
    </row>
    <row r="25" spans="1:9">
      <c r="A25"/>
      <c r="B25"/>
      <c r="C25"/>
      <c r="D25"/>
      <c r="E25"/>
      <c r="F25"/>
      <c r="G25"/>
      <c r="H25"/>
      <c r="I25"/>
    </row>
    <row r="26" spans="1:9">
      <c r="A26"/>
      <c r="B26"/>
      <c r="C26"/>
      <c r="D26"/>
      <c r="E26"/>
      <c r="F26"/>
      <c r="G26"/>
      <c r="H26"/>
      <c r="I26"/>
    </row>
    <row r="27" spans="1:9">
      <c r="A27"/>
      <c r="B27"/>
      <c r="C27"/>
      <c r="D27"/>
      <c r="E27"/>
      <c r="F27"/>
      <c r="G27"/>
      <c r="H27"/>
      <c r="I27"/>
    </row>
    <row r="28" spans="1:9">
      <c r="A28"/>
      <c r="B28"/>
      <c r="C28"/>
      <c r="D28"/>
      <c r="E28"/>
      <c r="F28"/>
      <c r="G28"/>
      <c r="H28"/>
      <c r="I28"/>
    </row>
    <row r="29" spans="1:9">
      <c r="A29"/>
      <c r="B29"/>
      <c r="C29"/>
      <c r="D29"/>
      <c r="E29"/>
      <c r="F29"/>
      <c r="G29"/>
      <c r="H29"/>
      <c r="I29"/>
    </row>
    <row r="30" spans="1:9">
      <c r="A30"/>
      <c r="B30"/>
      <c r="C30"/>
      <c r="D30"/>
      <c r="E30"/>
      <c r="F30"/>
      <c r="G30"/>
      <c r="H30"/>
      <c r="I30"/>
    </row>
    <row r="31" spans="1:9">
      <c r="A31"/>
      <c r="B31"/>
      <c r="C31"/>
      <c r="D31"/>
      <c r="E31"/>
      <c r="F31"/>
      <c r="G31"/>
      <c r="H31"/>
      <c r="I31"/>
    </row>
    <row r="32" spans="1:9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</sheetData>
  <mergeCells count="2">
    <mergeCell ref="C3:D3"/>
    <mergeCell ref="A20:I20"/>
  </mergeCells>
  <pageMargins left="0.74803149606299213" right="0.74803149606299213" top="0.74803149606299213" bottom="0.74803149606299213" header="0.31496062992125984" footer="0.31496062992125984"/>
  <pageSetup fitToHeight="0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>
    <tabColor rgb="FF92D050"/>
    <pageSetUpPr fitToPage="1"/>
  </sheetPr>
  <dimension ref="A1:E104"/>
  <sheetViews>
    <sheetView showGridLines="0" zoomScaleNormal="100" zoomScaleSheetLayoutView="100" workbookViewId="0"/>
  </sheetViews>
  <sheetFormatPr defaultColWidth="9" defaultRowHeight="11.25"/>
  <cols>
    <col min="1" max="1" width="36.85546875" style="41" customWidth="1"/>
    <col min="2" max="2" width="9.140625" style="376" customWidth="1"/>
    <col min="3" max="3" width="10.140625" style="376" customWidth="1"/>
    <col min="4" max="4" width="34.85546875" style="40" customWidth="1"/>
    <col min="5" max="5" width="9.140625" style="40" customWidth="1"/>
    <col min="6" max="16384" width="9" style="40"/>
  </cols>
  <sheetData>
    <row r="1" spans="1:5" ht="15.75">
      <c r="A1" s="1" t="s">
        <v>449</v>
      </c>
    </row>
    <row r="2" spans="1:5" s="172" customFormat="1" ht="12.75" customHeight="1">
      <c r="A2" s="206" t="s">
        <v>248</v>
      </c>
      <c r="B2" s="377"/>
      <c r="C2" s="377"/>
    </row>
    <row r="3" spans="1:5" s="172" customFormat="1" ht="10.5" customHeight="1">
      <c r="B3" s="387"/>
      <c r="C3" s="384"/>
    </row>
    <row r="4" spans="1:5" s="194" customFormat="1" ht="15" customHeight="1">
      <c r="A4" s="378" t="s">
        <v>249</v>
      </c>
      <c r="B4" s="493">
        <v>1486900</v>
      </c>
      <c r="C4" s="379"/>
      <c r="D4" s="380"/>
      <c r="E4" s="380"/>
    </row>
    <row r="5" spans="1:5" s="194" customFormat="1" ht="15" customHeight="1">
      <c r="A5" s="263" t="s">
        <v>340</v>
      </c>
      <c r="B5" s="382"/>
      <c r="C5" s="383"/>
      <c r="D5" s="263" t="s">
        <v>388</v>
      </c>
      <c r="E5" s="53"/>
    </row>
    <row r="6" spans="1:5" s="194" customFormat="1" ht="12.75" customHeight="1">
      <c r="A6" s="344" t="s">
        <v>381</v>
      </c>
      <c r="B6" s="53">
        <v>11910</v>
      </c>
      <c r="C6" s="384"/>
      <c r="D6" s="344" t="s">
        <v>258</v>
      </c>
      <c r="E6" s="53">
        <v>4574</v>
      </c>
    </row>
    <row r="7" spans="1:5" s="194" customFormat="1" ht="12.75" customHeight="1">
      <c r="A7" s="344" t="s">
        <v>382</v>
      </c>
      <c r="B7" s="53">
        <v>13765</v>
      </c>
      <c r="C7" s="384"/>
    </row>
    <row r="8" spans="1:5" s="194" customFormat="1" ht="12.75" customHeight="1">
      <c r="A8" s="344"/>
      <c r="B8" s="53"/>
      <c r="C8" s="384"/>
      <c r="D8" s="381" t="s">
        <v>101</v>
      </c>
    </row>
    <row r="9" spans="1:5" s="194" customFormat="1" ht="12.75" customHeight="1">
      <c r="A9" s="50" t="s">
        <v>394</v>
      </c>
      <c r="B9" s="53"/>
      <c r="C9" s="384"/>
      <c r="D9" s="344" t="s">
        <v>255</v>
      </c>
      <c r="E9" s="53">
        <v>200</v>
      </c>
    </row>
    <row r="10" spans="1:5" s="194" customFormat="1" ht="12.75" customHeight="1">
      <c r="A10" s="344" t="s">
        <v>257</v>
      </c>
      <c r="B10" s="176">
        <v>30085</v>
      </c>
      <c r="C10" s="384"/>
      <c r="D10" s="344" t="s">
        <v>256</v>
      </c>
      <c r="E10" s="53">
        <v>141800</v>
      </c>
    </row>
    <row r="11" spans="1:5" s="194" customFormat="1" ht="12.75" customHeight="1">
      <c r="A11" s="344" t="s">
        <v>335</v>
      </c>
      <c r="B11" s="176">
        <v>1705</v>
      </c>
      <c r="C11" s="384"/>
    </row>
    <row r="12" spans="1:5" s="194" customFormat="1" ht="12.75" customHeight="1">
      <c r="A12" s="344" t="s">
        <v>260</v>
      </c>
      <c r="B12" s="176">
        <v>50000</v>
      </c>
      <c r="C12" s="384"/>
      <c r="D12" s="194" t="s">
        <v>389</v>
      </c>
      <c r="E12" s="53"/>
    </row>
    <row r="13" spans="1:5" s="194" customFormat="1" ht="12.75" customHeight="1">
      <c r="A13" s="344" t="s">
        <v>261</v>
      </c>
      <c r="B13" s="176">
        <v>16025</v>
      </c>
      <c r="C13" s="384"/>
      <c r="D13" s="344" t="s">
        <v>259</v>
      </c>
      <c r="E13" s="53">
        <v>400</v>
      </c>
    </row>
    <row r="14" spans="1:5" s="194" customFormat="1" ht="12.75" customHeight="1">
      <c r="A14" s="55" t="s">
        <v>263</v>
      </c>
      <c r="B14" s="176">
        <v>1450</v>
      </c>
      <c r="C14" s="384"/>
    </row>
    <row r="15" spans="1:5" s="194" customFormat="1" ht="12.75" customHeight="1">
      <c r="A15" s="344" t="s">
        <v>264</v>
      </c>
      <c r="B15" s="176">
        <v>2950</v>
      </c>
      <c r="C15" s="384"/>
      <c r="D15" s="194" t="s">
        <v>341</v>
      </c>
      <c r="E15" s="53"/>
    </row>
    <row r="16" spans="1:5" s="194" customFormat="1" ht="12.75" customHeight="1">
      <c r="A16" s="344"/>
      <c r="B16" s="176"/>
      <c r="C16" s="384"/>
      <c r="D16" s="344" t="s">
        <v>253</v>
      </c>
      <c r="E16" s="53">
        <v>52000</v>
      </c>
    </row>
    <row r="17" spans="1:5" s="194" customFormat="1" ht="12.75" customHeight="1">
      <c r="A17" s="194" t="s">
        <v>385</v>
      </c>
      <c r="B17" s="23"/>
      <c r="C17" s="384"/>
      <c r="D17" s="344" t="s">
        <v>254</v>
      </c>
      <c r="E17" s="53">
        <v>12000</v>
      </c>
    </row>
    <row r="18" spans="1:5" s="172" customFormat="1" ht="12.75" customHeight="1">
      <c r="A18" s="55" t="s">
        <v>251</v>
      </c>
      <c r="B18" s="18">
        <v>6500</v>
      </c>
      <c r="C18" s="384"/>
      <c r="E18" s="53"/>
    </row>
    <row r="19" spans="1:5" s="194" customFormat="1" ht="12.75" customHeight="1">
      <c r="B19" s="23"/>
      <c r="C19" s="384"/>
      <c r="D19" s="263" t="s">
        <v>346</v>
      </c>
      <c r="E19" s="53"/>
    </row>
    <row r="20" spans="1:5" s="194" customFormat="1" ht="12.75" customHeight="1">
      <c r="A20" s="50" t="s">
        <v>98</v>
      </c>
      <c r="B20" s="53"/>
      <c r="C20" s="384"/>
      <c r="D20" s="35" t="s">
        <v>332</v>
      </c>
      <c r="E20" s="53">
        <v>200</v>
      </c>
    </row>
    <row r="21" spans="1:5" s="194" customFormat="1" ht="12.75" customHeight="1">
      <c r="A21" s="344" t="s">
        <v>267</v>
      </c>
      <c r="B21" s="53">
        <v>150000</v>
      </c>
      <c r="C21" s="384"/>
      <c r="D21" s="172" t="s">
        <v>265</v>
      </c>
      <c r="E21" s="53">
        <v>2600</v>
      </c>
    </row>
    <row r="22" spans="1:5" s="194" customFormat="1" ht="12.75" customHeight="1">
      <c r="A22" s="344" t="s">
        <v>104</v>
      </c>
      <c r="B22" s="53">
        <v>150000</v>
      </c>
      <c r="C22" s="384"/>
      <c r="D22" s="172" t="s">
        <v>266</v>
      </c>
      <c r="E22" s="53">
        <v>42850</v>
      </c>
    </row>
    <row r="23" spans="1:5" s="194" customFormat="1" ht="12.75" customHeight="1">
      <c r="A23" s="172"/>
      <c r="B23" s="53"/>
      <c r="C23" s="384"/>
      <c r="D23" s="172"/>
      <c r="E23" s="172"/>
    </row>
    <row r="24" spans="1:5" s="172" customFormat="1" ht="12.75" customHeight="1">
      <c r="A24" s="263" t="s">
        <v>342</v>
      </c>
      <c r="B24" s="53"/>
      <c r="C24" s="384"/>
      <c r="D24" s="194" t="s">
        <v>390</v>
      </c>
      <c r="E24" s="53"/>
    </row>
    <row r="25" spans="1:5" s="172" customFormat="1" ht="12.75" customHeight="1">
      <c r="A25" s="385" t="s">
        <v>250</v>
      </c>
      <c r="B25" s="53">
        <v>500</v>
      </c>
      <c r="D25" s="344" t="s">
        <v>431</v>
      </c>
      <c r="E25" s="176">
        <v>36782</v>
      </c>
    </row>
    <row r="26" spans="1:5" s="172" customFormat="1" ht="12.75" customHeight="1">
      <c r="B26" s="53"/>
      <c r="D26" s="344"/>
      <c r="E26" s="53"/>
    </row>
    <row r="27" spans="1:5" s="172" customFormat="1" ht="12.75" customHeight="1">
      <c r="A27" s="263" t="s">
        <v>100</v>
      </c>
      <c r="B27" s="53"/>
      <c r="C27" s="384"/>
      <c r="D27" s="194" t="s">
        <v>104</v>
      </c>
      <c r="E27" s="53"/>
    </row>
    <row r="28" spans="1:5" s="172" customFormat="1" ht="12.75" customHeight="1">
      <c r="A28" s="344" t="s">
        <v>252</v>
      </c>
      <c r="B28" s="53">
        <v>718604</v>
      </c>
      <c r="C28" s="384"/>
      <c r="D28" s="344" t="s">
        <v>262</v>
      </c>
      <c r="E28" s="53">
        <v>40000</v>
      </c>
    </row>
    <row r="29" spans="1:5" s="172" customFormat="1" ht="12.75" customHeight="1">
      <c r="C29" s="384"/>
    </row>
    <row r="30" spans="1:5" s="172" customFormat="1" ht="12.75" customHeight="1" thickBot="1">
      <c r="A30" s="560"/>
      <c r="B30" s="561"/>
      <c r="C30" s="562"/>
      <c r="D30" s="563" t="s">
        <v>268</v>
      </c>
      <c r="E30" s="564">
        <v>1486900</v>
      </c>
    </row>
    <row r="31" spans="1:5" s="172" customFormat="1" ht="12.75" customHeight="1">
      <c r="B31" s="194"/>
      <c r="C31" s="194"/>
    </row>
    <row r="32" spans="1:5" s="172" customFormat="1" ht="10.5" customHeight="1">
      <c r="B32" s="384"/>
      <c r="C32" s="388"/>
    </row>
    <row r="33" spans="2:3" s="172" customFormat="1" ht="12.75" customHeight="1">
      <c r="B33" s="384"/>
      <c r="C33" s="388"/>
    </row>
    <row r="34" spans="2:3" s="172" customFormat="1" ht="12.75" customHeight="1">
      <c r="B34" s="384"/>
      <c r="C34" s="388"/>
    </row>
    <row r="35" spans="2:3" s="172" customFormat="1" ht="12.75" customHeight="1">
      <c r="B35" s="384"/>
      <c r="C35" s="39"/>
    </row>
    <row r="36" spans="2:3" s="172" customFormat="1" ht="10.5" customHeight="1">
      <c r="B36" s="384"/>
      <c r="C36" s="39"/>
    </row>
    <row r="37" spans="2:3" s="172" customFormat="1" ht="12.75" customHeight="1">
      <c r="B37" s="384"/>
      <c r="C37" s="39"/>
    </row>
    <row r="38" spans="2:3" s="172" customFormat="1" ht="12.75" customHeight="1">
      <c r="B38" s="384"/>
      <c r="C38" s="39"/>
    </row>
    <row r="39" spans="2:3" s="172" customFormat="1" ht="12.75" customHeight="1">
      <c r="B39" s="384"/>
      <c r="C39" s="39"/>
    </row>
    <row r="40" spans="2:3" s="172" customFormat="1" ht="10.5" customHeight="1"/>
    <row r="41" spans="2:3" s="172" customFormat="1" ht="12.75" customHeight="1">
      <c r="B41" s="384"/>
    </row>
    <row r="42" spans="2:3" s="172" customFormat="1" ht="12.75" customHeight="1">
      <c r="B42" s="384"/>
    </row>
    <row r="43" spans="2:3" s="172" customFormat="1" ht="10.5" customHeight="1">
      <c r="B43" s="384"/>
    </row>
    <row r="44" spans="2:3" s="172" customFormat="1" ht="12.75" customHeight="1">
      <c r="B44" s="384"/>
    </row>
    <row r="45" spans="2:3" s="172" customFormat="1" ht="12.75" customHeight="1">
      <c r="B45" s="384"/>
    </row>
    <row r="46" spans="2:3" s="172" customFormat="1" ht="12.75" customHeight="1">
      <c r="B46" s="384"/>
    </row>
    <row r="47" spans="2:3" s="172" customFormat="1" ht="12.75" customHeight="1">
      <c r="B47" s="384"/>
      <c r="C47" s="39"/>
    </row>
    <row r="48" spans="2:3" s="172" customFormat="1" ht="12.75" customHeight="1">
      <c r="B48" s="388"/>
      <c r="C48" s="388"/>
    </row>
    <row r="49" spans="1:5" s="172" customFormat="1" ht="12.75" customHeight="1">
      <c r="B49" s="388"/>
      <c r="C49" s="388"/>
      <c r="D49" s="127"/>
      <c r="E49" s="127"/>
    </row>
    <row r="50" spans="1:5" s="172" customFormat="1" ht="12.75" customHeight="1">
      <c r="B50" s="388"/>
      <c r="C50" s="388"/>
    </row>
    <row r="51" spans="1:5" s="172" customFormat="1" ht="12.75" customHeight="1">
      <c r="A51" s="389"/>
      <c r="B51" s="388"/>
      <c r="C51" s="388"/>
    </row>
    <row r="52" spans="1:5" s="172" customFormat="1" ht="12.75" customHeight="1">
      <c r="B52" s="388"/>
      <c r="C52" s="388"/>
    </row>
    <row r="53" spans="1:5" s="172" customFormat="1" ht="12.75" customHeight="1">
      <c r="A53" s="40"/>
    </row>
    <row r="54" spans="1:5" s="172" customFormat="1" ht="12.75" customHeight="1">
      <c r="A54" s="40"/>
    </row>
    <row r="55" spans="1:5" s="172" customFormat="1" ht="12.75" customHeight="1">
      <c r="A55" s="40"/>
    </row>
    <row r="56" spans="1:5" s="172" customFormat="1" ht="12.75" customHeight="1">
      <c r="A56" s="40"/>
    </row>
    <row r="57" spans="1:5" s="172" customFormat="1" ht="12.75" customHeight="1">
      <c r="A57" s="40"/>
      <c r="D57" s="390"/>
      <c r="E57" s="390"/>
    </row>
    <row r="58" spans="1:5" s="172" customFormat="1" ht="12.75" customHeight="1">
      <c r="A58" s="40"/>
      <c r="D58" s="390"/>
      <c r="E58" s="390"/>
    </row>
    <row r="59" spans="1:5" s="172" customFormat="1" ht="12.75" customHeight="1">
      <c r="A59" s="390"/>
      <c r="D59" s="391"/>
      <c r="E59" s="391"/>
    </row>
    <row r="60" spans="1:5" s="172" customFormat="1" ht="12.75" customHeight="1">
      <c r="A60" s="40"/>
      <c r="D60" s="390"/>
      <c r="E60" s="390"/>
    </row>
    <row r="61" spans="1:5" s="172" customFormat="1" ht="12.75" customHeight="1">
      <c r="A61" s="40"/>
      <c r="B61" s="388"/>
      <c r="C61" s="388"/>
    </row>
    <row r="62" spans="1:5" s="172" customFormat="1" ht="12.75" customHeight="1">
      <c r="A62" s="40"/>
      <c r="B62" s="388"/>
      <c r="C62" s="388"/>
    </row>
    <row r="63" spans="1:5" s="172" customFormat="1" ht="12.75" customHeight="1">
      <c r="A63" s="40"/>
      <c r="B63" s="388"/>
      <c r="C63" s="388"/>
      <c r="D63" s="390"/>
      <c r="E63" s="390"/>
    </row>
    <row r="64" spans="1:5" s="172" customFormat="1" ht="12.75" customHeight="1">
      <c r="A64" s="40"/>
      <c r="B64" s="388"/>
      <c r="C64" s="388"/>
      <c r="D64" s="390"/>
      <c r="E64" s="390"/>
    </row>
    <row r="65" spans="1:5" s="172" customFormat="1" ht="12.75" customHeight="1">
      <c r="A65" s="40"/>
      <c r="B65" s="384"/>
      <c r="C65" s="384"/>
      <c r="D65" s="390"/>
      <c r="E65" s="390"/>
    </row>
    <row r="66" spans="1:5" s="172" customFormat="1" ht="12.75" customHeight="1">
      <c r="A66" s="40"/>
      <c r="B66" s="384"/>
      <c r="C66" s="384"/>
      <c r="D66" s="390"/>
      <c r="E66" s="390"/>
    </row>
    <row r="67" spans="1:5" s="172" customFormat="1" ht="12.75" customHeight="1">
      <c r="A67" s="40"/>
    </row>
    <row r="68" spans="1:5" ht="12" customHeight="1">
      <c r="A68" s="40"/>
      <c r="B68" s="172"/>
      <c r="C68" s="172"/>
      <c r="D68" s="172"/>
      <c r="E68" s="172"/>
    </row>
    <row r="69" spans="1:5" ht="12" customHeight="1">
      <c r="A69" s="40"/>
      <c r="B69" s="40"/>
      <c r="C69" s="40"/>
      <c r="D69" s="172"/>
      <c r="E69" s="172"/>
    </row>
    <row r="70" spans="1:5" ht="12" customHeight="1">
      <c r="A70" s="40"/>
      <c r="B70" s="40"/>
      <c r="C70" s="40"/>
      <c r="D70" s="172"/>
      <c r="E70" s="172"/>
    </row>
    <row r="71" spans="1:5" ht="12" customHeight="1">
      <c r="A71" s="40"/>
      <c r="B71" s="40"/>
      <c r="C71" s="40"/>
      <c r="D71" s="172"/>
      <c r="E71" s="172"/>
    </row>
    <row r="72" spans="1:5" ht="12" customHeight="1">
      <c r="A72" s="40"/>
      <c r="B72" s="40"/>
      <c r="C72" s="40"/>
      <c r="D72" s="172"/>
      <c r="E72" s="172"/>
    </row>
    <row r="73" spans="1:5" ht="12" customHeight="1">
      <c r="A73" s="40"/>
      <c r="B73" s="40"/>
      <c r="C73" s="40"/>
    </row>
    <row r="74" spans="1:5" ht="12" customHeight="1">
      <c r="A74" s="40"/>
      <c r="B74" s="40"/>
      <c r="C74" s="40"/>
    </row>
    <row r="75" spans="1:5" ht="12" customHeight="1">
      <c r="A75" s="40"/>
      <c r="B75" s="40"/>
      <c r="C75" s="40"/>
    </row>
    <row r="76" spans="1:5" ht="12" customHeight="1">
      <c r="A76" s="40"/>
      <c r="B76" s="40"/>
      <c r="C76" s="40"/>
    </row>
    <row r="77" spans="1:5" ht="12" customHeight="1">
      <c r="A77" s="40"/>
      <c r="B77" s="40"/>
      <c r="C77" s="40"/>
    </row>
    <row r="78" spans="1:5" ht="12" customHeight="1">
      <c r="A78" s="40"/>
      <c r="B78" s="40"/>
      <c r="C78" s="40"/>
    </row>
    <row r="79" spans="1:5" ht="12" customHeight="1">
      <c r="A79" s="40"/>
      <c r="B79" s="40"/>
      <c r="C79" s="40"/>
    </row>
    <row r="80" spans="1:5" ht="12" customHeight="1">
      <c r="A80" s="40"/>
      <c r="B80" s="40"/>
      <c r="C80" s="40"/>
    </row>
    <row r="81" s="40" customFormat="1" ht="12" customHeight="1"/>
    <row r="82" s="40" customFormat="1" ht="12" customHeight="1"/>
    <row r="83" s="40" customFormat="1" ht="12" customHeight="1"/>
    <row r="84" s="40" customFormat="1" ht="12" customHeight="1"/>
    <row r="85" s="40" customFormat="1" ht="12" customHeight="1"/>
    <row r="86" s="40" customFormat="1" ht="12" customHeight="1"/>
    <row r="87" s="40" customFormat="1" ht="12" customHeight="1"/>
    <row r="88" s="40" customFormat="1" ht="12" customHeight="1"/>
    <row r="89" s="40" customFormat="1" ht="12" customHeight="1"/>
    <row r="90" s="40" customFormat="1" ht="12" customHeight="1"/>
    <row r="91" s="40" customFormat="1" ht="12" customHeight="1"/>
    <row r="92" s="40" customFormat="1" ht="12" customHeight="1"/>
    <row r="93" s="40" customFormat="1" ht="12" customHeight="1"/>
    <row r="94" s="40" customFormat="1" ht="12" customHeight="1"/>
    <row r="95" s="40" customFormat="1" ht="12" customHeight="1"/>
    <row r="96" s="40" customFormat="1" ht="12" customHeight="1"/>
    <row r="97" spans="1:5" ht="12" customHeight="1">
      <c r="A97" s="40"/>
      <c r="B97" s="40"/>
      <c r="C97" s="40"/>
    </row>
    <row r="98" spans="1:5" s="263" customFormat="1" ht="15" customHeight="1">
      <c r="A98" s="40"/>
      <c r="B98" s="40"/>
      <c r="C98" s="40"/>
      <c r="D98" s="40"/>
      <c r="E98" s="40"/>
    </row>
    <row r="99" spans="1:5" ht="12" customHeight="1">
      <c r="A99" s="263"/>
      <c r="B99" s="263"/>
      <c r="C99" s="263"/>
    </row>
    <row r="100" spans="1:5">
      <c r="A100" s="40"/>
      <c r="B100" s="40"/>
      <c r="C100" s="40"/>
    </row>
    <row r="101" spans="1:5">
      <c r="A101" s="40"/>
      <c r="B101" s="40"/>
      <c r="C101" s="40"/>
    </row>
    <row r="102" spans="1:5">
      <c r="A102" s="40"/>
      <c r="B102" s="40"/>
      <c r="C102" s="40"/>
    </row>
    <row r="103" spans="1:5">
      <c r="A103" s="40"/>
      <c r="B103" s="40"/>
      <c r="C103" s="40"/>
    </row>
    <row r="104" spans="1:5">
      <c r="A104" s="40"/>
      <c r="B104" s="40"/>
      <c r="C104" s="40"/>
    </row>
  </sheetData>
  <pageMargins left="0.74803149606299213" right="0.74803149606299213" top="0.74803149606299213" bottom="0.74803149606299213" header="0.31496062992125984" footer="0.31496062992125984"/>
  <pageSetup scale="99" fitToHeight="0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>
    <tabColor rgb="FF92D050"/>
    <pageSetUpPr fitToPage="1"/>
  </sheetPr>
  <dimension ref="A1:E15"/>
  <sheetViews>
    <sheetView showGridLines="0" zoomScaleNormal="100" workbookViewId="0"/>
  </sheetViews>
  <sheetFormatPr defaultColWidth="9" defaultRowHeight="12.75"/>
  <cols>
    <col min="1" max="1" width="70.7109375" style="425" customWidth="1"/>
    <col min="2" max="3" width="11.42578125" style="425" customWidth="1"/>
    <col min="4" max="4" width="9" style="425"/>
    <col min="5" max="5" width="14.5703125" style="426" customWidth="1"/>
    <col min="6" max="6" width="18.5703125" style="425" customWidth="1"/>
    <col min="7" max="7" width="10.5703125" style="425" customWidth="1"/>
    <col min="8" max="8" width="19.5703125" style="425" customWidth="1"/>
    <col min="9" max="16384" width="9" style="425"/>
  </cols>
  <sheetData>
    <row r="1" spans="1:4" ht="15.75">
      <c r="A1" s="424" t="s">
        <v>288</v>
      </c>
    </row>
    <row r="2" spans="1:4" ht="18.75" customHeight="1">
      <c r="A2" s="427" t="s">
        <v>289</v>
      </c>
    </row>
    <row r="3" spans="1:4">
      <c r="A3" s="428" t="s">
        <v>290</v>
      </c>
      <c r="B3" s="429" t="s">
        <v>6</v>
      </c>
      <c r="C3" s="429" t="s">
        <v>291</v>
      </c>
      <c r="D3" s="426"/>
    </row>
    <row r="4" spans="1:4" ht="3.75" customHeight="1">
      <c r="A4" s="430"/>
      <c r="B4" s="431"/>
      <c r="C4" s="431"/>
      <c r="D4" s="426"/>
    </row>
    <row r="5" spans="1:4">
      <c r="A5" s="432" t="s">
        <v>432</v>
      </c>
      <c r="B5" s="434"/>
      <c r="C5" s="433"/>
    </row>
    <row r="6" spans="1:4">
      <c r="A6" s="127" t="s">
        <v>433</v>
      </c>
      <c r="B6" s="434"/>
      <c r="C6" s="433"/>
    </row>
    <row r="7" spans="1:4">
      <c r="A7" s="174" t="s">
        <v>434</v>
      </c>
      <c r="B7" s="434">
        <v>200</v>
      </c>
      <c r="C7" s="433">
        <v>260</v>
      </c>
    </row>
    <row r="8" spans="1:4">
      <c r="A8" s="174" t="s">
        <v>435</v>
      </c>
      <c r="B8" s="434">
        <v>100</v>
      </c>
      <c r="C8" s="433">
        <v>130</v>
      </c>
    </row>
    <row r="9" spans="1:4">
      <c r="A9" s="174" t="s">
        <v>436</v>
      </c>
      <c r="B9" s="434">
        <v>100</v>
      </c>
      <c r="C9" s="433">
        <v>160</v>
      </c>
    </row>
    <row r="10" spans="1:4">
      <c r="A10" s="174" t="s">
        <v>444</v>
      </c>
      <c r="B10" s="434">
        <v>200</v>
      </c>
      <c r="C10" s="433">
        <v>230</v>
      </c>
    </row>
    <row r="11" spans="1:4">
      <c r="A11" s="127" t="s">
        <v>437</v>
      </c>
      <c r="B11" s="434"/>
      <c r="C11" s="433"/>
    </row>
    <row r="12" spans="1:4">
      <c r="A12" s="174" t="s">
        <v>438</v>
      </c>
      <c r="B12" s="434">
        <v>500</v>
      </c>
      <c r="C12" s="433">
        <v>840</v>
      </c>
    </row>
    <row r="13" spans="1:4">
      <c r="A13" s="435" t="s">
        <v>439</v>
      </c>
      <c r="B13" s="436">
        <v>100</v>
      </c>
      <c r="C13" s="437">
        <v>250</v>
      </c>
    </row>
    <row r="14" spans="1:4">
      <c r="A14" s="435" t="s">
        <v>440</v>
      </c>
      <c r="B14" s="436">
        <v>100</v>
      </c>
      <c r="C14" s="437">
        <v>150</v>
      </c>
    </row>
    <row r="15" spans="1:4" ht="5.0999999999999996" customHeight="1" thickBot="1">
      <c r="A15" s="438"/>
      <c r="B15" s="439"/>
      <c r="C15" s="440"/>
      <c r="D15" s="426"/>
    </row>
  </sheetData>
  <pageMargins left="0.74803149606299213" right="0.74803149606299213" top="0.74803149606299213" bottom="0.74803149606299213" header="0.31496062992125984" footer="0.31496062992125984"/>
  <pageSetup fitToHeight="0"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tabColor rgb="FF92D050"/>
    <pageSetUpPr fitToPage="1"/>
  </sheetPr>
  <dimension ref="A1:K79"/>
  <sheetViews>
    <sheetView showGridLines="0" zoomScaleNormal="100" workbookViewId="0">
      <selection activeCell="K24" sqref="K24"/>
    </sheetView>
  </sheetViews>
  <sheetFormatPr defaultColWidth="9" defaultRowHeight="11.25"/>
  <cols>
    <col min="1" max="1" width="70.7109375" style="261" customWidth="1"/>
    <col min="2" max="2" width="9" style="86" customWidth="1"/>
    <col min="3" max="3" width="9" style="323" customWidth="1"/>
    <col min="4" max="4" width="9" style="86" customWidth="1"/>
    <col min="5" max="16384" width="9" style="233"/>
  </cols>
  <sheetData>
    <row r="1" spans="1:4" ht="18.75">
      <c r="A1" s="322" t="s">
        <v>228</v>
      </c>
    </row>
    <row r="2" spans="1:4" s="357" customFormat="1" ht="12.75" customHeight="1">
      <c r="A2" s="261"/>
      <c r="B2" s="268" t="s">
        <v>6</v>
      </c>
      <c r="C2" s="356" t="s">
        <v>291</v>
      </c>
      <c r="D2" s="95"/>
    </row>
    <row r="3" spans="1:4" s="357" customFormat="1" ht="12.75" customHeight="1">
      <c r="A3" s="358"/>
      <c r="B3" s="359" t="s">
        <v>8</v>
      </c>
      <c r="C3" s="360" t="s">
        <v>10</v>
      </c>
      <c r="D3" s="361" t="s">
        <v>188</v>
      </c>
    </row>
    <row r="4" spans="1:4" s="357" customFormat="1" ht="12.75" customHeight="1">
      <c r="A4" s="362" t="s">
        <v>229</v>
      </c>
      <c r="B4" s="363"/>
      <c r="C4" s="356"/>
      <c r="D4" s="268"/>
    </row>
    <row r="5" spans="1:4" s="266" customFormat="1" ht="11.85" customHeight="1">
      <c r="A5" s="217" t="s">
        <v>97</v>
      </c>
      <c r="B5" s="171">
        <v>512</v>
      </c>
      <c r="C5" s="356">
        <v>538</v>
      </c>
      <c r="D5" s="48">
        <v>26</v>
      </c>
    </row>
    <row r="6" spans="1:4" s="266" customFormat="1" ht="11.85" customHeight="1">
      <c r="A6" s="217" t="s">
        <v>339</v>
      </c>
      <c r="B6" s="171">
        <v>86</v>
      </c>
      <c r="C6" s="356">
        <v>112</v>
      </c>
      <c r="D6" s="48">
        <v>26</v>
      </c>
    </row>
    <row r="7" spans="1:4" s="266" customFormat="1" ht="11.85" customHeight="1">
      <c r="A7" s="217" t="s">
        <v>340</v>
      </c>
      <c r="B7" s="171">
        <v>625</v>
      </c>
      <c r="C7" s="356">
        <v>633</v>
      </c>
      <c r="D7" s="48">
        <v>8</v>
      </c>
    </row>
    <row r="8" spans="1:4" s="266" customFormat="1" ht="11.85" customHeight="1">
      <c r="A8" s="217" t="s">
        <v>394</v>
      </c>
      <c r="B8" s="171">
        <v>460</v>
      </c>
      <c r="C8" s="356">
        <v>460</v>
      </c>
      <c r="D8" s="48">
        <v>0</v>
      </c>
    </row>
    <row r="9" spans="1:4" s="266" customFormat="1" ht="11.85" customHeight="1">
      <c r="A9" s="217" t="s">
        <v>385</v>
      </c>
      <c r="B9" s="171">
        <v>2734</v>
      </c>
      <c r="C9" s="356">
        <v>2734</v>
      </c>
      <c r="D9" s="48">
        <v>0</v>
      </c>
    </row>
    <row r="10" spans="1:4" s="266" customFormat="1" ht="11.85" customHeight="1">
      <c r="A10" s="217" t="s">
        <v>98</v>
      </c>
      <c r="B10" s="171">
        <v>566</v>
      </c>
      <c r="C10" s="356">
        <v>572</v>
      </c>
      <c r="D10" s="171">
        <v>6</v>
      </c>
    </row>
    <row r="11" spans="1:4" s="266" customFormat="1" ht="11.85" customHeight="1">
      <c r="A11" s="217" t="s">
        <v>386</v>
      </c>
      <c r="B11" s="171">
        <v>451</v>
      </c>
      <c r="C11" s="356">
        <v>483</v>
      </c>
      <c r="D11" s="171">
        <v>32</v>
      </c>
    </row>
    <row r="12" spans="1:4" s="266" customFormat="1" ht="11.85" customHeight="1">
      <c r="A12" s="217" t="s">
        <v>342</v>
      </c>
      <c r="B12" s="171">
        <v>1176</v>
      </c>
      <c r="C12" s="356">
        <v>1229</v>
      </c>
      <c r="D12" s="48">
        <v>53</v>
      </c>
    </row>
    <row r="13" spans="1:4" s="266" customFormat="1" ht="11.85" customHeight="1">
      <c r="A13" s="217" t="s">
        <v>99</v>
      </c>
      <c r="B13" s="171">
        <v>173</v>
      </c>
      <c r="C13" s="356">
        <v>176</v>
      </c>
      <c r="D13" s="48">
        <v>3</v>
      </c>
    </row>
    <row r="14" spans="1:4" s="266" customFormat="1" ht="11.85" customHeight="1">
      <c r="A14" s="217" t="s">
        <v>387</v>
      </c>
      <c r="B14" s="171">
        <v>1691</v>
      </c>
      <c r="C14" s="356">
        <v>1883</v>
      </c>
      <c r="D14" s="48">
        <v>192</v>
      </c>
    </row>
    <row r="15" spans="1:4" s="266" customFormat="1" ht="11.85" customHeight="1">
      <c r="A15" s="217" t="s">
        <v>100</v>
      </c>
      <c r="B15" s="171">
        <v>1114</v>
      </c>
      <c r="C15" s="356">
        <v>1156</v>
      </c>
      <c r="D15" s="48">
        <v>42</v>
      </c>
    </row>
    <row r="16" spans="1:4" s="266" customFormat="1" ht="11.85" customHeight="1">
      <c r="A16" s="217" t="s">
        <v>388</v>
      </c>
      <c r="B16" s="171">
        <v>168</v>
      </c>
      <c r="C16" s="356">
        <v>190</v>
      </c>
      <c r="D16" s="171">
        <v>22</v>
      </c>
    </row>
    <row r="17" spans="1:4" s="266" customFormat="1" ht="11.85" customHeight="1">
      <c r="A17" s="217" t="s">
        <v>101</v>
      </c>
      <c r="B17" s="171">
        <v>176</v>
      </c>
      <c r="C17" s="356">
        <v>176</v>
      </c>
      <c r="D17" s="171">
        <v>0</v>
      </c>
    </row>
    <row r="18" spans="1:4" s="266" customFormat="1" ht="11.85" customHeight="1">
      <c r="A18" s="217" t="s">
        <v>102</v>
      </c>
      <c r="B18" s="171">
        <v>826</v>
      </c>
      <c r="C18" s="356">
        <v>842</v>
      </c>
      <c r="D18" s="171">
        <v>16</v>
      </c>
    </row>
    <row r="19" spans="1:4" s="266" customFormat="1" ht="11.85" customHeight="1">
      <c r="A19" s="217" t="s">
        <v>389</v>
      </c>
      <c r="B19" s="171">
        <v>1244</v>
      </c>
      <c r="C19" s="356">
        <v>1301</v>
      </c>
      <c r="D19" s="171">
        <v>57</v>
      </c>
    </row>
    <row r="20" spans="1:4" ht="11.85" customHeight="1">
      <c r="A20" s="217" t="s">
        <v>343</v>
      </c>
      <c r="B20" s="171">
        <v>3180</v>
      </c>
      <c r="C20" s="356">
        <v>3425</v>
      </c>
      <c r="D20" s="48">
        <v>245</v>
      </c>
    </row>
    <row r="21" spans="1:4" s="266" customFormat="1" ht="11.85" customHeight="1">
      <c r="A21" s="217" t="s">
        <v>344</v>
      </c>
      <c r="B21" s="176">
        <v>106</v>
      </c>
      <c r="C21" s="356">
        <v>158</v>
      </c>
      <c r="D21" s="176">
        <v>52</v>
      </c>
    </row>
    <row r="22" spans="1:4" s="266" customFormat="1" ht="11.85" customHeight="1">
      <c r="A22" s="217" t="s">
        <v>103</v>
      </c>
      <c r="B22" s="176">
        <v>441</v>
      </c>
      <c r="C22" s="356">
        <v>441</v>
      </c>
      <c r="D22" s="48">
        <v>0</v>
      </c>
    </row>
    <row r="23" spans="1:4" s="266" customFormat="1" ht="11.85" customHeight="1">
      <c r="A23" s="217" t="s">
        <v>345</v>
      </c>
      <c r="B23" s="176">
        <v>4566</v>
      </c>
      <c r="C23" s="356">
        <v>4638</v>
      </c>
      <c r="D23" s="48">
        <v>72</v>
      </c>
    </row>
    <row r="24" spans="1:4" s="266" customFormat="1" ht="11.85" customHeight="1">
      <c r="A24" s="217" t="s">
        <v>341</v>
      </c>
      <c r="B24" s="171">
        <v>3024</v>
      </c>
      <c r="C24" s="356">
        <v>3024</v>
      </c>
      <c r="D24" s="171">
        <v>0</v>
      </c>
    </row>
    <row r="25" spans="1:4" s="266" customFormat="1" ht="11.85" customHeight="1">
      <c r="A25" s="217" t="s">
        <v>346</v>
      </c>
      <c r="B25" s="171">
        <v>1076</v>
      </c>
      <c r="C25" s="356">
        <v>1085</v>
      </c>
      <c r="D25" s="171">
        <v>9</v>
      </c>
    </row>
    <row r="26" spans="1:4" s="266" customFormat="1" ht="11.85" customHeight="1">
      <c r="A26" s="217" t="s">
        <v>347</v>
      </c>
      <c r="B26" s="171">
        <v>1209</v>
      </c>
      <c r="C26" s="356">
        <v>1282</v>
      </c>
      <c r="D26" s="171">
        <v>73</v>
      </c>
    </row>
    <row r="27" spans="1:4" s="266" customFormat="1" ht="11.85" customHeight="1">
      <c r="A27" s="217" t="s">
        <v>390</v>
      </c>
      <c r="B27" s="171">
        <v>53</v>
      </c>
      <c r="C27" s="356">
        <v>60</v>
      </c>
      <c r="D27" s="171">
        <v>7</v>
      </c>
    </row>
    <row r="28" spans="1:4" s="266" customFormat="1" ht="11.85" customHeight="1">
      <c r="A28" s="217" t="s">
        <v>348</v>
      </c>
      <c r="B28" s="176">
        <v>742</v>
      </c>
      <c r="C28" s="356">
        <v>742</v>
      </c>
      <c r="D28" s="176">
        <v>0</v>
      </c>
    </row>
    <row r="29" spans="1:4" s="266" customFormat="1" ht="11.85" customHeight="1">
      <c r="A29" s="217" t="s">
        <v>230</v>
      </c>
      <c r="B29" s="176">
        <v>587</v>
      </c>
      <c r="C29" s="356">
        <v>596</v>
      </c>
      <c r="D29" s="176">
        <v>9</v>
      </c>
    </row>
    <row r="30" spans="1:4" s="266" customFormat="1" ht="11.85" customHeight="1">
      <c r="A30" s="217" t="s">
        <v>231</v>
      </c>
      <c r="B30" s="176">
        <v>271</v>
      </c>
      <c r="C30" s="356">
        <v>271</v>
      </c>
      <c r="D30" s="176">
        <v>0</v>
      </c>
    </row>
    <row r="31" spans="1:4" ht="11.85" customHeight="1">
      <c r="A31" s="217" t="s">
        <v>232</v>
      </c>
      <c r="B31" s="176">
        <v>627</v>
      </c>
      <c r="C31" s="356">
        <v>627</v>
      </c>
      <c r="D31" s="176">
        <v>0</v>
      </c>
    </row>
    <row r="32" spans="1:4" ht="12.75" customHeight="1">
      <c r="A32" s="218" t="s">
        <v>229</v>
      </c>
      <c r="B32" s="318">
        <v>27884</v>
      </c>
      <c r="C32" s="364">
        <v>28834</v>
      </c>
      <c r="D32" s="317">
        <v>950</v>
      </c>
    </row>
    <row r="33" spans="1:11" ht="4.5" customHeight="1">
      <c r="A33" s="365"/>
      <c r="B33" s="526"/>
      <c r="C33" s="366"/>
      <c r="D33" s="319"/>
    </row>
    <row r="34" spans="1:11" ht="12.75" customHeight="1">
      <c r="A34" s="362" t="s">
        <v>233</v>
      </c>
      <c r="B34" s="171"/>
      <c r="C34" s="356"/>
      <c r="D34" s="48"/>
    </row>
    <row r="35" spans="1:11" s="266" customFormat="1" ht="11.85" customHeight="1">
      <c r="A35" s="217" t="s">
        <v>234</v>
      </c>
      <c r="B35" s="171">
        <v>32403</v>
      </c>
      <c r="C35" s="356">
        <v>33114</v>
      </c>
      <c r="D35" s="48">
        <v>711</v>
      </c>
    </row>
    <row r="36" spans="1:11" s="266" customFormat="1" ht="11.85" customHeight="1">
      <c r="A36" s="217" t="s">
        <v>366</v>
      </c>
      <c r="B36" s="171">
        <v>132</v>
      </c>
      <c r="C36" s="356">
        <v>132</v>
      </c>
      <c r="D36" s="48">
        <v>0</v>
      </c>
    </row>
    <row r="37" spans="1:11" s="266" customFormat="1" ht="11.85" customHeight="1">
      <c r="A37" s="217" t="s">
        <v>367</v>
      </c>
      <c r="B37" s="171">
        <v>570</v>
      </c>
      <c r="C37" s="356">
        <v>570</v>
      </c>
      <c r="D37" s="48">
        <v>0</v>
      </c>
    </row>
    <row r="38" spans="1:11" s="266" customFormat="1" ht="11.85" customHeight="1">
      <c r="A38" s="217" t="s">
        <v>235</v>
      </c>
      <c r="B38" s="171"/>
      <c r="C38" s="356"/>
      <c r="D38" s="48"/>
      <c r="K38" s="266" t="s">
        <v>184</v>
      </c>
    </row>
    <row r="39" spans="1:11" s="266" customFormat="1" ht="11.85" customHeight="1">
      <c r="A39" s="217" t="s">
        <v>236</v>
      </c>
      <c r="B39" s="171">
        <v>38188</v>
      </c>
      <c r="C39" s="356">
        <v>38988</v>
      </c>
      <c r="D39" s="48">
        <v>800</v>
      </c>
    </row>
    <row r="40" spans="1:11" s="266" customFormat="1" ht="11.85" customHeight="1">
      <c r="A40" s="217" t="s">
        <v>237</v>
      </c>
      <c r="B40" s="171">
        <v>27475</v>
      </c>
      <c r="C40" s="356">
        <v>28350</v>
      </c>
      <c r="D40" s="48">
        <v>875</v>
      </c>
    </row>
    <row r="41" spans="1:11" s="266" customFormat="1" ht="11.85" customHeight="1">
      <c r="A41" s="217" t="s">
        <v>391</v>
      </c>
      <c r="B41" s="171">
        <v>1048</v>
      </c>
      <c r="C41" s="356">
        <v>1077</v>
      </c>
      <c r="D41" s="48">
        <v>29</v>
      </c>
    </row>
    <row r="42" spans="1:11" s="266" customFormat="1" ht="11.85" customHeight="1">
      <c r="A42" s="217" t="s">
        <v>392</v>
      </c>
      <c r="B42" s="171">
        <v>10</v>
      </c>
      <c r="C42" s="356">
        <v>10</v>
      </c>
      <c r="D42" s="48">
        <v>0</v>
      </c>
    </row>
    <row r="43" spans="1:11" s="266" customFormat="1" ht="11.85" customHeight="1">
      <c r="A43" s="217" t="s">
        <v>368</v>
      </c>
      <c r="B43" s="171">
        <v>34</v>
      </c>
      <c r="C43" s="356">
        <v>34</v>
      </c>
      <c r="D43" s="48">
        <v>0</v>
      </c>
    </row>
    <row r="44" spans="1:11" s="266" customFormat="1" ht="11.85" customHeight="1">
      <c r="A44" s="217" t="s">
        <v>427</v>
      </c>
      <c r="B44" s="171">
        <v>50</v>
      </c>
      <c r="C44" s="356">
        <v>50</v>
      </c>
      <c r="D44" s="48">
        <v>0</v>
      </c>
    </row>
    <row r="45" spans="1:11" s="266" customFormat="1" ht="11.85" customHeight="1">
      <c r="A45" s="217" t="s">
        <v>238</v>
      </c>
      <c r="B45" s="171">
        <v>87618</v>
      </c>
      <c r="C45" s="356">
        <v>88448</v>
      </c>
      <c r="D45" s="48">
        <v>830</v>
      </c>
    </row>
    <row r="46" spans="1:11" s="266" customFormat="1" ht="11.85" customHeight="1">
      <c r="A46" s="217" t="s">
        <v>239</v>
      </c>
      <c r="B46" s="171">
        <v>45</v>
      </c>
      <c r="C46" s="356">
        <v>45</v>
      </c>
      <c r="D46" s="48">
        <v>0</v>
      </c>
    </row>
    <row r="47" spans="1:11" s="266" customFormat="1" ht="11.85" customHeight="1">
      <c r="A47" s="217" t="s">
        <v>240</v>
      </c>
      <c r="B47" s="171">
        <v>15</v>
      </c>
      <c r="C47" s="356">
        <v>19</v>
      </c>
      <c r="D47" s="48">
        <v>4</v>
      </c>
    </row>
    <row r="48" spans="1:11" s="266" customFormat="1" ht="11.85" customHeight="1">
      <c r="A48" s="217" t="s">
        <v>241</v>
      </c>
      <c r="B48" s="171">
        <v>60</v>
      </c>
      <c r="C48" s="356">
        <v>60</v>
      </c>
      <c r="D48" s="48">
        <v>0</v>
      </c>
    </row>
    <row r="49" spans="1:4" s="266" customFormat="1" ht="11.85" customHeight="1">
      <c r="A49" s="217" t="s">
        <v>369</v>
      </c>
      <c r="B49" s="171">
        <v>54</v>
      </c>
      <c r="C49" s="356">
        <v>54</v>
      </c>
      <c r="D49" s="48">
        <v>0</v>
      </c>
    </row>
    <row r="50" spans="1:4" s="266" customFormat="1" ht="11.85" customHeight="1">
      <c r="A50" s="217" t="s">
        <v>370</v>
      </c>
      <c r="B50" s="171">
        <v>12</v>
      </c>
      <c r="C50" s="356">
        <v>13</v>
      </c>
      <c r="D50" s="48">
        <v>1</v>
      </c>
    </row>
    <row r="51" spans="1:4" s="266" customFormat="1" ht="11.85" customHeight="1">
      <c r="A51" s="217" t="s">
        <v>371</v>
      </c>
      <c r="B51" s="171">
        <v>596</v>
      </c>
      <c r="C51" s="356">
        <v>603</v>
      </c>
      <c r="D51" s="48">
        <v>7</v>
      </c>
    </row>
    <row r="52" spans="1:4" s="266" customFormat="1" ht="11.85" customHeight="1">
      <c r="A52" s="217" t="s">
        <v>428</v>
      </c>
      <c r="B52" s="171">
        <v>80</v>
      </c>
      <c r="C52" s="356">
        <v>80</v>
      </c>
      <c r="D52" s="48">
        <v>0</v>
      </c>
    </row>
    <row r="53" spans="1:4" s="266" customFormat="1" ht="11.85" customHeight="1">
      <c r="A53" s="217" t="s">
        <v>242</v>
      </c>
      <c r="B53" s="171">
        <v>24</v>
      </c>
      <c r="C53" s="356">
        <v>24</v>
      </c>
      <c r="D53" s="48">
        <v>0</v>
      </c>
    </row>
    <row r="54" spans="1:4" s="266" customFormat="1" ht="11.85" customHeight="1">
      <c r="A54" s="217" t="s">
        <v>243</v>
      </c>
      <c r="B54" s="171">
        <v>697</v>
      </c>
      <c r="C54" s="356">
        <v>737</v>
      </c>
      <c r="D54" s="48">
        <v>40</v>
      </c>
    </row>
    <row r="55" spans="1:4" s="266" customFormat="1" ht="11.85" customHeight="1">
      <c r="A55" s="217" t="s">
        <v>244</v>
      </c>
      <c r="B55" s="171">
        <v>346</v>
      </c>
      <c r="C55" s="356">
        <v>365</v>
      </c>
      <c r="D55" s="48">
        <v>19</v>
      </c>
    </row>
    <row r="56" spans="1:4" s="266" customFormat="1" ht="11.85" customHeight="1">
      <c r="A56" s="217" t="s">
        <v>245</v>
      </c>
      <c r="B56" s="176">
        <v>253</v>
      </c>
      <c r="C56" s="356">
        <v>272</v>
      </c>
      <c r="D56" s="53">
        <v>19</v>
      </c>
    </row>
    <row r="57" spans="1:4" s="266" customFormat="1" ht="11.85" customHeight="1">
      <c r="A57" s="367" t="s">
        <v>106</v>
      </c>
      <c r="B57" s="192">
        <v>763</v>
      </c>
      <c r="C57" s="368">
        <v>777</v>
      </c>
      <c r="D57" s="191">
        <v>14</v>
      </c>
    </row>
    <row r="58" spans="1:4" ht="12.75" customHeight="1">
      <c r="A58" s="218" t="s">
        <v>246</v>
      </c>
      <c r="B58" s="318">
        <v>190473</v>
      </c>
      <c r="C58" s="364">
        <v>193822</v>
      </c>
      <c r="D58" s="317">
        <v>3349</v>
      </c>
    </row>
    <row r="59" spans="1:4" ht="4.5" customHeight="1">
      <c r="A59" s="369"/>
      <c r="B59" s="527"/>
      <c r="C59" s="371"/>
      <c r="D59" s="370"/>
    </row>
    <row r="60" spans="1:4" ht="12.75" customHeight="1" thickBot="1">
      <c r="A60" s="372" t="s">
        <v>247</v>
      </c>
      <c r="B60" s="528">
        <v>218357</v>
      </c>
      <c r="C60" s="374">
        <v>222656</v>
      </c>
      <c r="D60" s="373">
        <v>4299</v>
      </c>
    </row>
    <row r="61" spans="1:4">
      <c r="A61" s="265"/>
    </row>
    <row r="62" spans="1:4">
      <c r="A62" s="265"/>
    </row>
    <row r="63" spans="1:4" s="86" customFormat="1">
      <c r="A63" s="265"/>
      <c r="C63" s="323"/>
    </row>
    <row r="64" spans="1:4" s="86" customFormat="1">
      <c r="A64" s="265"/>
      <c r="C64" s="323"/>
    </row>
    <row r="65" spans="1:3" s="86" customFormat="1">
      <c r="A65" s="265"/>
      <c r="C65" s="323"/>
    </row>
    <row r="66" spans="1:3" s="86" customFormat="1">
      <c r="A66" s="261"/>
      <c r="C66" s="323"/>
    </row>
    <row r="67" spans="1:3" s="86" customFormat="1">
      <c r="A67" s="362"/>
      <c r="C67" s="323"/>
    </row>
    <row r="68" spans="1:3">
      <c r="A68" s="266"/>
    </row>
    <row r="69" spans="1:3" s="86" customFormat="1">
      <c r="A69" s="265"/>
      <c r="C69" s="323"/>
    </row>
    <row r="70" spans="1:3" s="86" customFormat="1">
      <c r="A70" s="265"/>
      <c r="C70" s="323"/>
    </row>
    <row r="71" spans="1:3" s="86" customFormat="1">
      <c r="A71" s="265"/>
      <c r="C71" s="323"/>
    </row>
    <row r="72" spans="1:3" s="86" customFormat="1">
      <c r="A72" s="261"/>
      <c r="C72" s="323"/>
    </row>
    <row r="73" spans="1:3" s="86" customFormat="1">
      <c r="A73" s="265"/>
      <c r="C73" s="323"/>
    </row>
    <row r="74" spans="1:3">
      <c r="A74" s="266"/>
    </row>
    <row r="75" spans="1:3" s="86" customFormat="1">
      <c r="A75" s="375"/>
      <c r="C75" s="323"/>
    </row>
    <row r="76" spans="1:3" s="86" customFormat="1">
      <c r="A76" s="266"/>
      <c r="C76" s="323"/>
    </row>
    <row r="77" spans="1:3" s="86" customFormat="1">
      <c r="A77" s="265"/>
      <c r="C77" s="323"/>
    </row>
    <row r="78" spans="1:3" s="86" customFormat="1">
      <c r="A78" s="261"/>
      <c r="C78" s="323"/>
    </row>
    <row r="79" spans="1:3" s="86" customFormat="1">
      <c r="A79" s="261"/>
      <c r="C79" s="323"/>
    </row>
  </sheetData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tabColor rgb="FF92D050"/>
    <pageSetUpPr fitToPage="1"/>
  </sheetPr>
  <dimension ref="A1:K51"/>
  <sheetViews>
    <sheetView showGridLines="0" zoomScaleNormal="100" workbookViewId="0"/>
  </sheetViews>
  <sheetFormatPr defaultColWidth="10.42578125" defaultRowHeight="11.25"/>
  <cols>
    <col min="1" max="1" width="51.7109375" style="265" customWidth="1"/>
    <col min="2" max="10" width="7.42578125" style="393" customWidth="1"/>
    <col min="11" max="11" width="7.5703125" style="393" customWidth="1"/>
    <col min="12" max="246" width="10.42578125" style="267"/>
    <col min="247" max="247" width="57.42578125" style="267" customWidth="1"/>
    <col min="248" max="257" width="6.5703125" style="267" customWidth="1"/>
    <col min="258" max="261" width="10.42578125" style="267" customWidth="1"/>
    <col min="262" max="262" width="12" style="267" customWidth="1"/>
    <col min="263" max="263" width="12.42578125" style="267" customWidth="1"/>
    <col min="264" max="502" width="10.42578125" style="267"/>
    <col min="503" max="503" width="57.42578125" style="267" customWidth="1"/>
    <col min="504" max="513" width="6.5703125" style="267" customWidth="1"/>
    <col min="514" max="517" width="10.42578125" style="267" customWidth="1"/>
    <col min="518" max="518" width="12" style="267" customWidth="1"/>
    <col min="519" max="519" width="12.42578125" style="267" customWidth="1"/>
    <col min="520" max="758" width="10.42578125" style="267"/>
    <col min="759" max="759" width="57.42578125" style="267" customWidth="1"/>
    <col min="760" max="769" width="6.5703125" style="267" customWidth="1"/>
    <col min="770" max="773" width="10.42578125" style="267" customWidth="1"/>
    <col min="774" max="774" width="12" style="267" customWidth="1"/>
    <col min="775" max="775" width="12.42578125" style="267" customWidth="1"/>
    <col min="776" max="1014" width="10.42578125" style="267"/>
    <col min="1015" max="1015" width="57.42578125" style="267" customWidth="1"/>
    <col min="1016" max="1025" width="6.5703125" style="267" customWidth="1"/>
    <col min="1026" max="1029" width="10.42578125" style="267" customWidth="1"/>
    <col min="1030" max="1030" width="12" style="267" customWidth="1"/>
    <col min="1031" max="1031" width="12.42578125" style="267" customWidth="1"/>
    <col min="1032" max="1270" width="10.42578125" style="267"/>
    <col min="1271" max="1271" width="57.42578125" style="267" customWidth="1"/>
    <col min="1272" max="1281" width="6.5703125" style="267" customWidth="1"/>
    <col min="1282" max="1285" width="10.42578125" style="267" customWidth="1"/>
    <col min="1286" max="1286" width="12" style="267" customWidth="1"/>
    <col min="1287" max="1287" width="12.42578125" style="267" customWidth="1"/>
    <col min="1288" max="1526" width="10.42578125" style="267"/>
    <col min="1527" max="1527" width="57.42578125" style="267" customWidth="1"/>
    <col min="1528" max="1537" width="6.5703125" style="267" customWidth="1"/>
    <col min="1538" max="1541" width="10.42578125" style="267" customWidth="1"/>
    <col min="1542" max="1542" width="12" style="267" customWidth="1"/>
    <col min="1543" max="1543" width="12.42578125" style="267" customWidth="1"/>
    <col min="1544" max="1782" width="10.42578125" style="267"/>
    <col min="1783" max="1783" width="57.42578125" style="267" customWidth="1"/>
    <col min="1784" max="1793" width="6.5703125" style="267" customWidth="1"/>
    <col min="1794" max="1797" width="10.42578125" style="267" customWidth="1"/>
    <col min="1798" max="1798" width="12" style="267" customWidth="1"/>
    <col min="1799" max="1799" width="12.42578125" style="267" customWidth="1"/>
    <col min="1800" max="2038" width="10.42578125" style="267"/>
    <col min="2039" max="2039" width="57.42578125" style="267" customWidth="1"/>
    <col min="2040" max="2049" width="6.5703125" style="267" customWidth="1"/>
    <col min="2050" max="2053" width="10.42578125" style="267" customWidth="1"/>
    <col min="2054" max="2054" width="12" style="267" customWidth="1"/>
    <col min="2055" max="2055" width="12.42578125" style="267" customWidth="1"/>
    <col min="2056" max="2294" width="10.42578125" style="267"/>
    <col min="2295" max="2295" width="57.42578125" style="267" customWidth="1"/>
    <col min="2296" max="2305" width="6.5703125" style="267" customWidth="1"/>
    <col min="2306" max="2309" width="10.42578125" style="267" customWidth="1"/>
    <col min="2310" max="2310" width="12" style="267" customWidth="1"/>
    <col min="2311" max="2311" width="12.42578125" style="267" customWidth="1"/>
    <col min="2312" max="2550" width="10.42578125" style="267"/>
    <col min="2551" max="2551" width="57.42578125" style="267" customWidth="1"/>
    <col min="2552" max="2561" width="6.5703125" style="267" customWidth="1"/>
    <col min="2562" max="2565" width="10.42578125" style="267" customWidth="1"/>
    <col min="2566" max="2566" width="12" style="267" customWidth="1"/>
    <col min="2567" max="2567" width="12.42578125" style="267" customWidth="1"/>
    <col min="2568" max="2806" width="10.42578125" style="267"/>
    <col min="2807" max="2807" width="57.42578125" style="267" customWidth="1"/>
    <col min="2808" max="2817" width="6.5703125" style="267" customWidth="1"/>
    <col min="2818" max="2821" width="10.42578125" style="267" customWidth="1"/>
    <col min="2822" max="2822" width="12" style="267" customWidth="1"/>
    <col min="2823" max="2823" width="12.42578125" style="267" customWidth="1"/>
    <col min="2824" max="3062" width="10.42578125" style="267"/>
    <col min="3063" max="3063" width="57.42578125" style="267" customWidth="1"/>
    <col min="3064" max="3073" width="6.5703125" style="267" customWidth="1"/>
    <col min="3074" max="3077" width="10.42578125" style="267" customWidth="1"/>
    <col min="3078" max="3078" width="12" style="267" customWidth="1"/>
    <col min="3079" max="3079" width="12.42578125" style="267" customWidth="1"/>
    <col min="3080" max="3318" width="10.42578125" style="267"/>
    <col min="3319" max="3319" width="57.42578125" style="267" customWidth="1"/>
    <col min="3320" max="3329" width="6.5703125" style="267" customWidth="1"/>
    <col min="3330" max="3333" width="10.42578125" style="267" customWidth="1"/>
    <col min="3334" max="3334" width="12" style="267" customWidth="1"/>
    <col min="3335" max="3335" width="12.42578125" style="267" customWidth="1"/>
    <col min="3336" max="3574" width="10.42578125" style="267"/>
    <col min="3575" max="3575" width="57.42578125" style="267" customWidth="1"/>
    <col min="3576" max="3585" width="6.5703125" style="267" customWidth="1"/>
    <col min="3586" max="3589" width="10.42578125" style="267" customWidth="1"/>
    <col min="3590" max="3590" width="12" style="267" customWidth="1"/>
    <col min="3591" max="3591" width="12.42578125" style="267" customWidth="1"/>
    <col min="3592" max="3830" width="10.42578125" style="267"/>
    <col min="3831" max="3831" width="57.42578125" style="267" customWidth="1"/>
    <col min="3832" max="3841" width="6.5703125" style="267" customWidth="1"/>
    <col min="3842" max="3845" width="10.42578125" style="267" customWidth="1"/>
    <col min="3846" max="3846" width="12" style="267" customWidth="1"/>
    <col min="3847" max="3847" width="12.42578125" style="267" customWidth="1"/>
    <col min="3848" max="4086" width="10.42578125" style="267"/>
    <col min="4087" max="4087" width="57.42578125" style="267" customWidth="1"/>
    <col min="4088" max="4097" width="6.5703125" style="267" customWidth="1"/>
    <col min="4098" max="4101" width="10.42578125" style="267" customWidth="1"/>
    <col min="4102" max="4102" width="12" style="267" customWidth="1"/>
    <col min="4103" max="4103" width="12.42578125" style="267" customWidth="1"/>
    <col min="4104" max="4342" width="10.42578125" style="267"/>
    <col min="4343" max="4343" width="57.42578125" style="267" customWidth="1"/>
    <col min="4344" max="4353" width="6.5703125" style="267" customWidth="1"/>
    <col min="4354" max="4357" width="10.42578125" style="267" customWidth="1"/>
    <col min="4358" max="4358" width="12" style="267" customWidth="1"/>
    <col min="4359" max="4359" width="12.42578125" style="267" customWidth="1"/>
    <col min="4360" max="4598" width="10.42578125" style="267"/>
    <col min="4599" max="4599" width="57.42578125" style="267" customWidth="1"/>
    <col min="4600" max="4609" width="6.5703125" style="267" customWidth="1"/>
    <col min="4610" max="4613" width="10.42578125" style="267" customWidth="1"/>
    <col min="4614" max="4614" width="12" style="267" customWidth="1"/>
    <col min="4615" max="4615" width="12.42578125" style="267" customWidth="1"/>
    <col min="4616" max="4854" width="10.42578125" style="267"/>
    <col min="4855" max="4855" width="57.42578125" style="267" customWidth="1"/>
    <col min="4856" max="4865" width="6.5703125" style="267" customWidth="1"/>
    <col min="4866" max="4869" width="10.42578125" style="267" customWidth="1"/>
    <col min="4870" max="4870" width="12" style="267" customWidth="1"/>
    <col min="4871" max="4871" width="12.42578125" style="267" customWidth="1"/>
    <col min="4872" max="5110" width="10.42578125" style="267"/>
    <col min="5111" max="5111" width="57.42578125" style="267" customWidth="1"/>
    <col min="5112" max="5121" width="6.5703125" style="267" customWidth="1"/>
    <col min="5122" max="5125" width="10.42578125" style="267" customWidth="1"/>
    <col min="5126" max="5126" width="12" style="267" customWidth="1"/>
    <col min="5127" max="5127" width="12.42578125" style="267" customWidth="1"/>
    <col min="5128" max="5366" width="10.42578125" style="267"/>
    <col min="5367" max="5367" width="57.42578125" style="267" customWidth="1"/>
    <col min="5368" max="5377" width="6.5703125" style="267" customWidth="1"/>
    <col min="5378" max="5381" width="10.42578125" style="267" customWidth="1"/>
    <col min="5382" max="5382" width="12" style="267" customWidth="1"/>
    <col min="5383" max="5383" width="12.42578125" style="267" customWidth="1"/>
    <col min="5384" max="5622" width="10.42578125" style="267"/>
    <col min="5623" max="5623" width="57.42578125" style="267" customWidth="1"/>
    <col min="5624" max="5633" width="6.5703125" style="267" customWidth="1"/>
    <col min="5634" max="5637" width="10.42578125" style="267" customWidth="1"/>
    <col min="5638" max="5638" width="12" style="267" customWidth="1"/>
    <col min="5639" max="5639" width="12.42578125" style="267" customWidth="1"/>
    <col min="5640" max="5878" width="10.42578125" style="267"/>
    <col min="5879" max="5879" width="57.42578125" style="267" customWidth="1"/>
    <col min="5880" max="5889" width="6.5703125" style="267" customWidth="1"/>
    <col min="5890" max="5893" width="10.42578125" style="267" customWidth="1"/>
    <col min="5894" max="5894" width="12" style="267" customWidth="1"/>
    <col min="5895" max="5895" width="12.42578125" style="267" customWidth="1"/>
    <col min="5896" max="6134" width="10.42578125" style="267"/>
    <col min="6135" max="6135" width="57.42578125" style="267" customWidth="1"/>
    <col min="6136" max="6145" width="6.5703125" style="267" customWidth="1"/>
    <col min="6146" max="6149" width="10.42578125" style="267" customWidth="1"/>
    <col min="6150" max="6150" width="12" style="267" customWidth="1"/>
    <col min="6151" max="6151" width="12.42578125" style="267" customWidth="1"/>
    <col min="6152" max="6390" width="10.42578125" style="267"/>
    <col min="6391" max="6391" width="57.42578125" style="267" customWidth="1"/>
    <col min="6392" max="6401" width="6.5703125" style="267" customWidth="1"/>
    <col min="6402" max="6405" width="10.42578125" style="267" customWidth="1"/>
    <col min="6406" max="6406" width="12" style="267" customWidth="1"/>
    <col min="6407" max="6407" width="12.42578125" style="267" customWidth="1"/>
    <col min="6408" max="6646" width="10.42578125" style="267"/>
    <col min="6647" max="6647" width="57.42578125" style="267" customWidth="1"/>
    <col min="6648" max="6657" width="6.5703125" style="267" customWidth="1"/>
    <col min="6658" max="6661" width="10.42578125" style="267" customWidth="1"/>
    <col min="6662" max="6662" width="12" style="267" customWidth="1"/>
    <col min="6663" max="6663" width="12.42578125" style="267" customWidth="1"/>
    <col min="6664" max="6902" width="10.42578125" style="267"/>
    <col min="6903" max="6903" width="57.42578125" style="267" customWidth="1"/>
    <col min="6904" max="6913" width="6.5703125" style="267" customWidth="1"/>
    <col min="6914" max="6917" width="10.42578125" style="267" customWidth="1"/>
    <col min="6918" max="6918" width="12" style="267" customWidth="1"/>
    <col min="6919" max="6919" width="12.42578125" style="267" customWidth="1"/>
    <col min="6920" max="7158" width="10.42578125" style="267"/>
    <col min="7159" max="7159" width="57.42578125" style="267" customWidth="1"/>
    <col min="7160" max="7169" width="6.5703125" style="267" customWidth="1"/>
    <col min="7170" max="7173" width="10.42578125" style="267" customWidth="1"/>
    <col min="7174" max="7174" width="12" style="267" customWidth="1"/>
    <col min="7175" max="7175" width="12.42578125" style="267" customWidth="1"/>
    <col min="7176" max="7414" width="10.42578125" style="267"/>
    <col min="7415" max="7415" width="57.42578125" style="267" customWidth="1"/>
    <col min="7416" max="7425" width="6.5703125" style="267" customWidth="1"/>
    <col min="7426" max="7429" width="10.42578125" style="267" customWidth="1"/>
    <col min="7430" max="7430" width="12" style="267" customWidth="1"/>
    <col min="7431" max="7431" width="12.42578125" style="267" customWidth="1"/>
    <col min="7432" max="7670" width="10.42578125" style="267"/>
    <col min="7671" max="7671" width="57.42578125" style="267" customWidth="1"/>
    <col min="7672" max="7681" width="6.5703125" style="267" customWidth="1"/>
    <col min="7682" max="7685" width="10.42578125" style="267" customWidth="1"/>
    <col min="7686" max="7686" width="12" style="267" customWidth="1"/>
    <col min="7687" max="7687" width="12.42578125" style="267" customWidth="1"/>
    <col min="7688" max="7926" width="10.42578125" style="267"/>
    <col min="7927" max="7927" width="57.42578125" style="267" customWidth="1"/>
    <col min="7928" max="7937" width="6.5703125" style="267" customWidth="1"/>
    <col min="7938" max="7941" width="10.42578125" style="267" customWidth="1"/>
    <col min="7942" max="7942" width="12" style="267" customWidth="1"/>
    <col min="7943" max="7943" width="12.42578125" style="267" customWidth="1"/>
    <col min="7944" max="8182" width="10.42578125" style="267"/>
    <col min="8183" max="8183" width="57.42578125" style="267" customWidth="1"/>
    <col min="8184" max="8193" width="6.5703125" style="267" customWidth="1"/>
    <col min="8194" max="8197" width="10.42578125" style="267" customWidth="1"/>
    <col min="8198" max="8198" width="12" style="267" customWidth="1"/>
    <col min="8199" max="8199" width="12.42578125" style="267" customWidth="1"/>
    <col min="8200" max="8438" width="10.42578125" style="267"/>
    <col min="8439" max="8439" width="57.42578125" style="267" customWidth="1"/>
    <col min="8440" max="8449" width="6.5703125" style="267" customWidth="1"/>
    <col min="8450" max="8453" width="10.42578125" style="267" customWidth="1"/>
    <col min="8454" max="8454" width="12" style="267" customWidth="1"/>
    <col min="8455" max="8455" width="12.42578125" style="267" customWidth="1"/>
    <col min="8456" max="8694" width="10.42578125" style="267"/>
    <col min="8695" max="8695" width="57.42578125" style="267" customWidth="1"/>
    <col min="8696" max="8705" width="6.5703125" style="267" customWidth="1"/>
    <col min="8706" max="8709" width="10.42578125" style="267" customWidth="1"/>
    <col min="8710" max="8710" width="12" style="267" customWidth="1"/>
    <col min="8711" max="8711" width="12.42578125" style="267" customWidth="1"/>
    <col min="8712" max="8950" width="10.42578125" style="267"/>
    <col min="8951" max="8951" width="57.42578125" style="267" customWidth="1"/>
    <col min="8952" max="8961" width="6.5703125" style="267" customWidth="1"/>
    <col min="8962" max="8965" width="10.42578125" style="267" customWidth="1"/>
    <col min="8966" max="8966" width="12" style="267" customWidth="1"/>
    <col min="8967" max="8967" width="12.42578125" style="267" customWidth="1"/>
    <col min="8968" max="9206" width="10.42578125" style="267"/>
    <col min="9207" max="9207" width="57.42578125" style="267" customWidth="1"/>
    <col min="9208" max="9217" width="6.5703125" style="267" customWidth="1"/>
    <col min="9218" max="9221" width="10.42578125" style="267" customWidth="1"/>
    <col min="9222" max="9222" width="12" style="267" customWidth="1"/>
    <col min="9223" max="9223" width="12.42578125" style="267" customWidth="1"/>
    <col min="9224" max="9462" width="10.42578125" style="267"/>
    <col min="9463" max="9463" width="57.42578125" style="267" customWidth="1"/>
    <col min="9464" max="9473" width="6.5703125" style="267" customWidth="1"/>
    <col min="9474" max="9477" width="10.42578125" style="267" customWidth="1"/>
    <col min="9478" max="9478" width="12" style="267" customWidth="1"/>
    <col min="9479" max="9479" width="12.42578125" style="267" customWidth="1"/>
    <col min="9480" max="9718" width="10.42578125" style="267"/>
    <col min="9719" max="9719" width="57.42578125" style="267" customWidth="1"/>
    <col min="9720" max="9729" width="6.5703125" style="267" customWidth="1"/>
    <col min="9730" max="9733" width="10.42578125" style="267" customWidth="1"/>
    <col min="9734" max="9734" width="12" style="267" customWidth="1"/>
    <col min="9735" max="9735" width="12.42578125" style="267" customWidth="1"/>
    <col min="9736" max="9974" width="10.42578125" style="267"/>
    <col min="9975" max="9975" width="57.42578125" style="267" customWidth="1"/>
    <col min="9976" max="9985" width="6.5703125" style="267" customWidth="1"/>
    <col min="9986" max="9989" width="10.42578125" style="267" customWidth="1"/>
    <col min="9990" max="9990" width="12" style="267" customWidth="1"/>
    <col min="9991" max="9991" width="12.42578125" style="267" customWidth="1"/>
    <col min="9992" max="10230" width="10.42578125" style="267"/>
    <col min="10231" max="10231" width="57.42578125" style="267" customWidth="1"/>
    <col min="10232" max="10241" width="6.5703125" style="267" customWidth="1"/>
    <col min="10242" max="10245" width="10.42578125" style="267" customWidth="1"/>
    <col min="10246" max="10246" width="12" style="267" customWidth="1"/>
    <col min="10247" max="10247" width="12.42578125" style="267" customWidth="1"/>
    <col min="10248" max="10486" width="10.42578125" style="267"/>
    <col min="10487" max="10487" width="57.42578125" style="267" customWidth="1"/>
    <col min="10488" max="10497" width="6.5703125" style="267" customWidth="1"/>
    <col min="10498" max="10501" width="10.42578125" style="267" customWidth="1"/>
    <col min="10502" max="10502" width="12" style="267" customWidth="1"/>
    <col min="10503" max="10503" width="12.42578125" style="267" customWidth="1"/>
    <col min="10504" max="10742" width="10.42578125" style="267"/>
    <col min="10743" max="10743" width="57.42578125" style="267" customWidth="1"/>
    <col min="10744" max="10753" width="6.5703125" style="267" customWidth="1"/>
    <col min="10754" max="10757" width="10.42578125" style="267" customWidth="1"/>
    <col min="10758" max="10758" width="12" style="267" customWidth="1"/>
    <col min="10759" max="10759" width="12.42578125" style="267" customWidth="1"/>
    <col min="10760" max="10998" width="10.42578125" style="267"/>
    <col min="10999" max="10999" width="57.42578125" style="267" customWidth="1"/>
    <col min="11000" max="11009" width="6.5703125" style="267" customWidth="1"/>
    <col min="11010" max="11013" width="10.42578125" style="267" customWidth="1"/>
    <col min="11014" max="11014" width="12" style="267" customWidth="1"/>
    <col min="11015" max="11015" width="12.42578125" style="267" customWidth="1"/>
    <col min="11016" max="11254" width="10.42578125" style="267"/>
    <col min="11255" max="11255" width="57.42578125" style="267" customWidth="1"/>
    <col min="11256" max="11265" width="6.5703125" style="267" customWidth="1"/>
    <col min="11266" max="11269" width="10.42578125" style="267" customWidth="1"/>
    <col min="11270" max="11270" width="12" style="267" customWidth="1"/>
    <col min="11271" max="11271" width="12.42578125" style="267" customWidth="1"/>
    <col min="11272" max="11510" width="10.42578125" style="267"/>
    <col min="11511" max="11511" width="57.42578125" style="267" customWidth="1"/>
    <col min="11512" max="11521" width="6.5703125" style="267" customWidth="1"/>
    <col min="11522" max="11525" width="10.42578125" style="267" customWidth="1"/>
    <col min="11526" max="11526" width="12" style="267" customWidth="1"/>
    <col min="11527" max="11527" width="12.42578125" style="267" customWidth="1"/>
    <col min="11528" max="11766" width="10.42578125" style="267"/>
    <col min="11767" max="11767" width="57.42578125" style="267" customWidth="1"/>
    <col min="11768" max="11777" width="6.5703125" style="267" customWidth="1"/>
    <col min="11778" max="11781" width="10.42578125" style="267" customWidth="1"/>
    <col min="11782" max="11782" width="12" style="267" customWidth="1"/>
    <col min="11783" max="11783" width="12.42578125" style="267" customWidth="1"/>
    <col min="11784" max="12022" width="10.42578125" style="267"/>
    <col min="12023" max="12023" width="57.42578125" style="267" customWidth="1"/>
    <col min="12024" max="12033" width="6.5703125" style="267" customWidth="1"/>
    <col min="12034" max="12037" width="10.42578125" style="267" customWidth="1"/>
    <col min="12038" max="12038" width="12" style="267" customWidth="1"/>
    <col min="12039" max="12039" width="12.42578125" style="267" customWidth="1"/>
    <col min="12040" max="12278" width="10.42578125" style="267"/>
    <col min="12279" max="12279" width="57.42578125" style="267" customWidth="1"/>
    <col min="12280" max="12289" width="6.5703125" style="267" customWidth="1"/>
    <col min="12290" max="12293" width="10.42578125" style="267" customWidth="1"/>
    <col min="12294" max="12294" width="12" style="267" customWidth="1"/>
    <col min="12295" max="12295" width="12.42578125" style="267" customWidth="1"/>
    <col min="12296" max="12534" width="10.42578125" style="267"/>
    <col min="12535" max="12535" width="57.42578125" style="267" customWidth="1"/>
    <col min="12536" max="12545" width="6.5703125" style="267" customWidth="1"/>
    <col min="12546" max="12549" width="10.42578125" style="267" customWidth="1"/>
    <col min="12550" max="12550" width="12" style="267" customWidth="1"/>
    <col min="12551" max="12551" width="12.42578125" style="267" customWidth="1"/>
    <col min="12552" max="12790" width="10.42578125" style="267"/>
    <col min="12791" max="12791" width="57.42578125" style="267" customWidth="1"/>
    <col min="12792" max="12801" width="6.5703125" style="267" customWidth="1"/>
    <col min="12802" max="12805" width="10.42578125" style="267" customWidth="1"/>
    <col min="12806" max="12806" width="12" style="267" customWidth="1"/>
    <col min="12807" max="12807" width="12.42578125" style="267" customWidth="1"/>
    <col min="12808" max="13046" width="10.42578125" style="267"/>
    <col min="13047" max="13047" width="57.42578125" style="267" customWidth="1"/>
    <col min="13048" max="13057" width="6.5703125" style="267" customWidth="1"/>
    <col min="13058" max="13061" width="10.42578125" style="267" customWidth="1"/>
    <col min="13062" max="13062" width="12" style="267" customWidth="1"/>
    <col min="13063" max="13063" width="12.42578125" style="267" customWidth="1"/>
    <col min="13064" max="13302" width="10.42578125" style="267"/>
    <col min="13303" max="13303" width="57.42578125" style="267" customWidth="1"/>
    <col min="13304" max="13313" width="6.5703125" style="267" customWidth="1"/>
    <col min="13314" max="13317" width="10.42578125" style="267" customWidth="1"/>
    <col min="13318" max="13318" width="12" style="267" customWidth="1"/>
    <col min="13319" max="13319" width="12.42578125" style="267" customWidth="1"/>
    <col min="13320" max="13558" width="10.42578125" style="267"/>
    <col min="13559" max="13559" width="57.42578125" style="267" customWidth="1"/>
    <col min="13560" max="13569" width="6.5703125" style="267" customWidth="1"/>
    <col min="13570" max="13573" width="10.42578125" style="267" customWidth="1"/>
    <col min="13574" max="13574" width="12" style="267" customWidth="1"/>
    <col min="13575" max="13575" width="12.42578125" style="267" customWidth="1"/>
    <col min="13576" max="13814" width="10.42578125" style="267"/>
    <col min="13815" max="13815" width="57.42578125" style="267" customWidth="1"/>
    <col min="13816" max="13825" width="6.5703125" style="267" customWidth="1"/>
    <col min="13826" max="13829" width="10.42578125" style="267" customWidth="1"/>
    <col min="13830" max="13830" width="12" style="267" customWidth="1"/>
    <col min="13831" max="13831" width="12.42578125" style="267" customWidth="1"/>
    <col min="13832" max="14070" width="10.42578125" style="267"/>
    <col min="14071" max="14071" width="57.42578125" style="267" customWidth="1"/>
    <col min="14072" max="14081" width="6.5703125" style="267" customWidth="1"/>
    <col min="14082" max="14085" width="10.42578125" style="267" customWidth="1"/>
    <col min="14086" max="14086" width="12" style="267" customWidth="1"/>
    <col min="14087" max="14087" width="12.42578125" style="267" customWidth="1"/>
    <col min="14088" max="14326" width="10.42578125" style="267"/>
    <col min="14327" max="14327" width="57.42578125" style="267" customWidth="1"/>
    <col min="14328" max="14337" width="6.5703125" style="267" customWidth="1"/>
    <col min="14338" max="14341" width="10.42578125" style="267" customWidth="1"/>
    <col min="14342" max="14342" width="12" style="267" customWidth="1"/>
    <col min="14343" max="14343" width="12.42578125" style="267" customWidth="1"/>
    <col min="14344" max="14582" width="10.42578125" style="267"/>
    <col min="14583" max="14583" width="57.42578125" style="267" customWidth="1"/>
    <col min="14584" max="14593" width="6.5703125" style="267" customWidth="1"/>
    <col min="14594" max="14597" width="10.42578125" style="267" customWidth="1"/>
    <col min="14598" max="14598" width="12" style="267" customWidth="1"/>
    <col min="14599" max="14599" width="12.42578125" style="267" customWidth="1"/>
    <col min="14600" max="14838" width="10.42578125" style="267"/>
    <col min="14839" max="14839" width="57.42578125" style="267" customWidth="1"/>
    <col min="14840" max="14849" width="6.5703125" style="267" customWidth="1"/>
    <col min="14850" max="14853" width="10.42578125" style="267" customWidth="1"/>
    <col min="14854" max="14854" width="12" style="267" customWidth="1"/>
    <col min="14855" max="14855" width="12.42578125" style="267" customWidth="1"/>
    <col min="14856" max="15094" width="10.42578125" style="267"/>
    <col min="15095" max="15095" width="57.42578125" style="267" customWidth="1"/>
    <col min="15096" max="15105" width="6.5703125" style="267" customWidth="1"/>
    <col min="15106" max="15109" width="10.42578125" style="267" customWidth="1"/>
    <col min="15110" max="15110" width="12" style="267" customWidth="1"/>
    <col min="15111" max="15111" width="12.42578125" style="267" customWidth="1"/>
    <col min="15112" max="15350" width="10.42578125" style="267"/>
    <col min="15351" max="15351" width="57.42578125" style="267" customWidth="1"/>
    <col min="15352" max="15361" width="6.5703125" style="267" customWidth="1"/>
    <col min="15362" max="15365" width="10.42578125" style="267" customWidth="1"/>
    <col min="15366" max="15366" width="12" style="267" customWidth="1"/>
    <col min="15367" max="15367" width="12.42578125" style="267" customWidth="1"/>
    <col min="15368" max="15606" width="10.42578125" style="267"/>
    <col min="15607" max="15607" width="57.42578125" style="267" customWidth="1"/>
    <col min="15608" max="15617" width="6.5703125" style="267" customWidth="1"/>
    <col min="15618" max="15621" width="10.42578125" style="267" customWidth="1"/>
    <col min="15622" max="15622" width="12" style="267" customWidth="1"/>
    <col min="15623" max="15623" width="12.42578125" style="267" customWidth="1"/>
    <col min="15624" max="15862" width="10.42578125" style="267"/>
    <col min="15863" max="15863" width="57.42578125" style="267" customWidth="1"/>
    <col min="15864" max="15873" width="6.5703125" style="267" customWidth="1"/>
    <col min="15874" max="15877" width="10.42578125" style="267" customWidth="1"/>
    <col min="15878" max="15878" width="12" style="267" customWidth="1"/>
    <col min="15879" max="15879" width="12.42578125" style="267" customWidth="1"/>
    <col min="15880" max="16118" width="10.42578125" style="267"/>
    <col min="16119" max="16119" width="57.42578125" style="267" customWidth="1"/>
    <col min="16120" max="16129" width="6.5703125" style="267" customWidth="1"/>
    <col min="16130" max="16133" width="10.42578125" style="267" customWidth="1"/>
    <col min="16134" max="16134" width="12" style="267" customWidth="1"/>
    <col min="16135" max="16135" width="12.42578125" style="267" customWidth="1"/>
    <col min="16136" max="16384" width="10.42578125" style="267"/>
  </cols>
  <sheetData>
    <row r="1" spans="1:11" ht="15.75">
      <c r="A1" s="392" t="s">
        <v>280</v>
      </c>
    </row>
    <row r="2" spans="1:11">
      <c r="A2" s="4" t="s">
        <v>1</v>
      </c>
    </row>
    <row r="3" spans="1:11" s="396" customFormat="1" ht="12.75" customHeight="1">
      <c r="A3" s="394"/>
      <c r="B3" s="600" t="s">
        <v>281</v>
      </c>
      <c r="C3" s="598" t="s">
        <v>282</v>
      </c>
      <c r="D3" s="597" t="s">
        <v>283</v>
      </c>
      <c r="E3" s="598" t="s">
        <v>173</v>
      </c>
      <c r="F3" s="597" t="s">
        <v>284</v>
      </c>
      <c r="G3" s="598" t="s">
        <v>285</v>
      </c>
      <c r="H3" s="597" t="s">
        <v>286</v>
      </c>
      <c r="I3" s="598" t="s">
        <v>279</v>
      </c>
      <c r="J3" s="597" t="s">
        <v>287</v>
      </c>
      <c r="K3" s="599" t="s">
        <v>383</v>
      </c>
    </row>
    <row r="4" spans="1:11" s="396" customFormat="1">
      <c r="A4" s="417"/>
      <c r="B4" s="601"/>
      <c r="C4" s="602"/>
      <c r="D4" s="603"/>
      <c r="E4" s="602"/>
      <c r="F4" s="601"/>
      <c r="G4" s="598"/>
      <c r="H4" s="597"/>
      <c r="I4" s="598"/>
      <c r="J4" s="597"/>
      <c r="K4" s="599"/>
    </row>
    <row r="5" spans="1:11" s="396" customFormat="1" ht="12">
      <c r="A5" s="394"/>
      <c r="B5" s="601"/>
      <c r="C5" s="602"/>
      <c r="D5" s="603"/>
      <c r="E5" s="602"/>
      <c r="F5" s="601"/>
      <c r="G5" s="598"/>
      <c r="H5" s="597"/>
      <c r="I5" s="598"/>
      <c r="J5" s="597"/>
      <c r="K5" s="599"/>
    </row>
    <row r="6" spans="1:11" s="396" customFormat="1" ht="12" customHeight="1">
      <c r="A6" s="394"/>
      <c r="B6" s="601"/>
      <c r="C6" s="602"/>
      <c r="D6" s="603"/>
      <c r="E6" s="602"/>
      <c r="F6" s="601"/>
      <c r="G6" s="598"/>
      <c r="H6" s="597"/>
      <c r="I6" s="598"/>
      <c r="J6" s="597"/>
      <c r="K6" s="599"/>
    </row>
    <row r="7" spans="1:11" s="396" customFormat="1" ht="12">
      <c r="A7" s="394"/>
      <c r="B7" s="601"/>
      <c r="C7" s="602"/>
      <c r="D7" s="603"/>
      <c r="E7" s="602"/>
      <c r="F7" s="601"/>
      <c r="G7" s="598"/>
      <c r="H7" s="597"/>
      <c r="I7" s="598"/>
      <c r="J7" s="597"/>
      <c r="K7" s="599"/>
    </row>
    <row r="8" spans="1:11" s="398" customFormat="1" ht="11.25" customHeight="1">
      <c r="B8" s="601"/>
      <c r="C8" s="602"/>
      <c r="D8" s="603"/>
      <c r="E8" s="602"/>
      <c r="F8" s="601"/>
      <c r="G8" s="598"/>
      <c r="H8" s="597"/>
      <c r="I8" s="598"/>
      <c r="J8" s="597"/>
      <c r="K8" s="599"/>
    </row>
    <row r="9" spans="1:11" s="398" customFormat="1" ht="12">
      <c r="B9" s="601"/>
      <c r="C9" s="602"/>
      <c r="D9" s="603"/>
      <c r="E9" s="602"/>
      <c r="F9" s="601"/>
      <c r="G9" s="598"/>
      <c r="H9" s="597"/>
      <c r="I9" s="598"/>
      <c r="J9" s="597"/>
      <c r="K9" s="599"/>
    </row>
    <row r="10" spans="1:11" s="398" customFormat="1" ht="12">
      <c r="B10" s="601"/>
      <c r="C10" s="602"/>
      <c r="D10" s="603"/>
      <c r="E10" s="602"/>
      <c r="F10" s="601"/>
      <c r="G10" s="598"/>
      <c r="H10" s="597"/>
      <c r="I10" s="598"/>
      <c r="J10" s="597"/>
      <c r="K10" s="599"/>
    </row>
    <row r="11" spans="1:11" s="398" customFormat="1" ht="12">
      <c r="B11" s="601"/>
      <c r="C11" s="602"/>
      <c r="D11" s="603"/>
      <c r="E11" s="602"/>
      <c r="F11" s="601"/>
      <c r="G11" s="598"/>
      <c r="H11" s="597"/>
      <c r="I11" s="598"/>
      <c r="J11" s="597"/>
      <c r="K11" s="599"/>
    </row>
    <row r="12" spans="1:11" s="398" customFormat="1" ht="12">
      <c r="B12" s="601"/>
      <c r="C12" s="602"/>
      <c r="D12" s="603"/>
      <c r="E12" s="602"/>
      <c r="F12" s="601"/>
      <c r="G12" s="598"/>
      <c r="H12" s="597"/>
      <c r="I12" s="598"/>
      <c r="J12" s="597"/>
      <c r="K12" s="599"/>
    </row>
    <row r="13" spans="1:11" s="398" customFormat="1" ht="5.25" customHeight="1">
      <c r="A13" s="418"/>
      <c r="B13" s="419"/>
      <c r="C13" s="418"/>
      <c r="D13" s="403"/>
      <c r="E13" s="402"/>
      <c r="F13" s="403"/>
      <c r="G13" s="402"/>
      <c r="H13" s="403"/>
      <c r="I13" s="402"/>
      <c r="J13" s="420"/>
      <c r="K13" s="402"/>
    </row>
    <row r="14" spans="1:11" ht="12" customHeight="1">
      <c r="A14" s="265" t="s">
        <v>172</v>
      </c>
      <c r="B14" s="405">
        <v>91</v>
      </c>
      <c r="C14" s="404">
        <v>49</v>
      </c>
      <c r="D14" s="405">
        <v>0</v>
      </c>
      <c r="E14" s="404">
        <v>0</v>
      </c>
      <c r="F14" s="405">
        <v>2</v>
      </c>
      <c r="G14" s="404">
        <v>0</v>
      </c>
      <c r="H14" s="405">
        <v>0</v>
      </c>
      <c r="I14" s="404">
        <v>0</v>
      </c>
      <c r="J14" s="405">
        <v>15</v>
      </c>
      <c r="K14" s="406">
        <v>158</v>
      </c>
    </row>
    <row r="15" spans="1:11" ht="6" customHeight="1">
      <c r="B15" s="405"/>
      <c r="C15" s="404"/>
      <c r="D15" s="405"/>
      <c r="E15" s="404"/>
      <c r="F15" s="405"/>
      <c r="G15" s="404"/>
      <c r="H15" s="405"/>
      <c r="I15" s="404"/>
      <c r="J15" s="405"/>
      <c r="K15" s="406"/>
    </row>
    <row r="16" spans="1:11" ht="12" customHeight="1">
      <c r="A16" s="265" t="s">
        <v>97</v>
      </c>
      <c r="B16" s="405">
        <v>4019</v>
      </c>
      <c r="C16" s="404">
        <v>1419</v>
      </c>
      <c r="D16" s="405">
        <v>675</v>
      </c>
      <c r="E16" s="404">
        <v>0</v>
      </c>
      <c r="F16" s="405">
        <v>548</v>
      </c>
      <c r="G16" s="404">
        <v>196</v>
      </c>
      <c r="H16" s="405">
        <v>-47</v>
      </c>
      <c r="I16" s="404">
        <v>0</v>
      </c>
      <c r="J16" s="405">
        <v>192</v>
      </c>
      <c r="K16" s="406">
        <v>7003</v>
      </c>
    </row>
    <row r="17" spans="1:11" ht="12" customHeight="1">
      <c r="A17" s="265" t="s">
        <v>339</v>
      </c>
      <c r="B17" s="405">
        <v>40</v>
      </c>
      <c r="C17" s="404">
        <v>13</v>
      </c>
      <c r="D17" s="405">
        <v>15</v>
      </c>
      <c r="E17" s="404">
        <v>6</v>
      </c>
      <c r="F17" s="405">
        <v>2</v>
      </c>
      <c r="G17" s="404">
        <v>0</v>
      </c>
      <c r="H17" s="405">
        <v>0</v>
      </c>
      <c r="I17" s="404">
        <v>0</v>
      </c>
      <c r="J17" s="405">
        <v>16</v>
      </c>
      <c r="K17" s="406">
        <v>92</v>
      </c>
    </row>
    <row r="18" spans="1:11" ht="12" customHeight="1">
      <c r="A18" s="267" t="s">
        <v>340</v>
      </c>
      <c r="B18" s="405">
        <v>133</v>
      </c>
      <c r="C18" s="404">
        <v>611</v>
      </c>
      <c r="D18" s="405">
        <v>116</v>
      </c>
      <c r="E18" s="404">
        <v>87</v>
      </c>
      <c r="F18" s="405">
        <v>37</v>
      </c>
      <c r="G18" s="404">
        <v>0</v>
      </c>
      <c r="H18" s="405">
        <v>0</v>
      </c>
      <c r="I18" s="404">
        <v>0</v>
      </c>
      <c r="J18" s="405">
        <v>9</v>
      </c>
      <c r="K18" s="406">
        <v>993</v>
      </c>
    </row>
    <row r="19" spans="1:11" ht="12" customHeight="1">
      <c r="A19" s="265" t="s">
        <v>384</v>
      </c>
      <c r="B19" s="405">
        <v>53</v>
      </c>
      <c r="C19" s="404">
        <v>30</v>
      </c>
      <c r="D19" s="405">
        <v>72</v>
      </c>
      <c r="E19" s="404">
        <v>95</v>
      </c>
      <c r="F19" s="405">
        <v>7</v>
      </c>
      <c r="G19" s="404">
        <v>1</v>
      </c>
      <c r="H19" s="405">
        <v>0</v>
      </c>
      <c r="I19" s="404">
        <v>0</v>
      </c>
      <c r="J19" s="405">
        <v>1</v>
      </c>
      <c r="K19" s="406">
        <v>260</v>
      </c>
    </row>
    <row r="20" spans="1:11" ht="12" customHeight="1">
      <c r="A20" s="265" t="s">
        <v>385</v>
      </c>
      <c r="B20" s="405">
        <v>308</v>
      </c>
      <c r="C20" s="404">
        <v>635</v>
      </c>
      <c r="D20" s="405">
        <v>555</v>
      </c>
      <c r="E20" s="404">
        <v>0</v>
      </c>
      <c r="F20" s="405">
        <v>0</v>
      </c>
      <c r="G20" s="404">
        <v>0</v>
      </c>
      <c r="H20" s="405">
        <v>0</v>
      </c>
      <c r="I20" s="404">
        <v>0</v>
      </c>
      <c r="J20" s="405">
        <v>0</v>
      </c>
      <c r="K20" s="406">
        <v>1498</v>
      </c>
    </row>
    <row r="21" spans="1:11" ht="12" customHeight="1">
      <c r="A21" s="265" t="s">
        <v>98</v>
      </c>
      <c r="B21" s="405">
        <v>7041</v>
      </c>
      <c r="C21" s="404">
        <v>1748</v>
      </c>
      <c r="D21" s="405">
        <v>463</v>
      </c>
      <c r="E21" s="404">
        <v>26</v>
      </c>
      <c r="F21" s="405">
        <v>484</v>
      </c>
      <c r="G21" s="404">
        <v>0</v>
      </c>
      <c r="H21" s="405">
        <v>0</v>
      </c>
      <c r="I21" s="404">
        <v>35</v>
      </c>
      <c r="J21" s="405">
        <v>1</v>
      </c>
      <c r="K21" s="406">
        <v>9798</v>
      </c>
    </row>
    <row r="22" spans="1:11" ht="12" customHeight="1">
      <c r="A22" s="265" t="s">
        <v>386</v>
      </c>
      <c r="B22" s="405">
        <v>222</v>
      </c>
      <c r="C22" s="404">
        <v>601</v>
      </c>
      <c r="D22" s="405">
        <v>0</v>
      </c>
      <c r="E22" s="404">
        <v>212</v>
      </c>
      <c r="F22" s="405">
        <v>13</v>
      </c>
      <c r="G22" s="404">
        <v>0</v>
      </c>
      <c r="H22" s="405">
        <v>0</v>
      </c>
      <c r="I22" s="404">
        <v>0</v>
      </c>
      <c r="J22" s="405">
        <v>0</v>
      </c>
      <c r="K22" s="406">
        <v>1048</v>
      </c>
    </row>
    <row r="23" spans="1:11" ht="12" customHeight="1">
      <c r="A23" s="265" t="s">
        <v>342</v>
      </c>
      <c r="B23" s="405">
        <v>147</v>
      </c>
      <c r="C23" s="404">
        <v>130</v>
      </c>
      <c r="D23" s="405">
        <v>235</v>
      </c>
      <c r="E23" s="404">
        <v>41</v>
      </c>
      <c r="F23" s="405">
        <v>4</v>
      </c>
      <c r="G23" s="404">
        <v>0</v>
      </c>
      <c r="H23" s="405">
        <v>0</v>
      </c>
      <c r="I23" s="404">
        <v>0</v>
      </c>
      <c r="J23" s="405">
        <v>1</v>
      </c>
      <c r="K23" s="406">
        <v>557</v>
      </c>
    </row>
    <row r="24" spans="1:11" ht="12" customHeight="1">
      <c r="A24" s="265" t="s">
        <v>99</v>
      </c>
      <c r="B24" s="405">
        <v>34</v>
      </c>
      <c r="C24" s="404">
        <v>22</v>
      </c>
      <c r="D24" s="405">
        <v>0</v>
      </c>
      <c r="E24" s="404">
        <v>0</v>
      </c>
      <c r="F24" s="405">
        <v>0</v>
      </c>
      <c r="G24" s="404">
        <v>0</v>
      </c>
      <c r="H24" s="405">
        <v>0</v>
      </c>
      <c r="I24" s="404">
        <v>0</v>
      </c>
      <c r="J24" s="405">
        <v>0</v>
      </c>
      <c r="K24" s="406">
        <v>56</v>
      </c>
    </row>
    <row r="25" spans="1:11" ht="12" customHeight="1">
      <c r="A25" s="267" t="s">
        <v>387</v>
      </c>
      <c r="B25" s="405">
        <v>176</v>
      </c>
      <c r="C25" s="404">
        <v>145</v>
      </c>
      <c r="D25" s="405">
        <v>30</v>
      </c>
      <c r="E25" s="404">
        <v>12</v>
      </c>
      <c r="F25" s="405">
        <v>46</v>
      </c>
      <c r="G25" s="404">
        <v>1</v>
      </c>
      <c r="H25" s="405">
        <v>0</v>
      </c>
      <c r="I25" s="404">
        <v>0</v>
      </c>
      <c r="J25" s="405">
        <v>0</v>
      </c>
      <c r="K25" s="406">
        <v>410</v>
      </c>
    </row>
    <row r="26" spans="1:11" ht="12" customHeight="1">
      <c r="A26" s="265" t="s">
        <v>100</v>
      </c>
      <c r="B26" s="405">
        <v>10099</v>
      </c>
      <c r="C26" s="404">
        <v>7543</v>
      </c>
      <c r="D26" s="405">
        <v>8564</v>
      </c>
      <c r="E26" s="404">
        <v>242</v>
      </c>
      <c r="F26" s="405">
        <v>580</v>
      </c>
      <c r="G26" s="404">
        <v>1344</v>
      </c>
      <c r="H26" s="405">
        <v>0</v>
      </c>
      <c r="I26" s="404">
        <v>0</v>
      </c>
      <c r="J26" s="405">
        <v>2</v>
      </c>
      <c r="K26" s="406">
        <v>28373</v>
      </c>
    </row>
    <row r="27" spans="1:11" ht="12" customHeight="1">
      <c r="A27" s="265" t="s">
        <v>388</v>
      </c>
      <c r="B27" s="405">
        <v>22</v>
      </c>
      <c r="C27" s="404">
        <v>3</v>
      </c>
      <c r="D27" s="405">
        <v>16</v>
      </c>
      <c r="E27" s="404">
        <v>0</v>
      </c>
      <c r="F27" s="405">
        <v>0</v>
      </c>
      <c r="G27" s="404">
        <v>0</v>
      </c>
      <c r="H27" s="405">
        <v>0</v>
      </c>
      <c r="I27" s="404">
        <v>0</v>
      </c>
      <c r="J27" s="405">
        <v>0</v>
      </c>
      <c r="K27" s="406">
        <v>42</v>
      </c>
    </row>
    <row r="28" spans="1:11" ht="12" customHeight="1">
      <c r="A28" s="265" t="s">
        <v>101</v>
      </c>
      <c r="B28" s="405">
        <v>26</v>
      </c>
      <c r="C28" s="404">
        <v>11</v>
      </c>
      <c r="D28" s="405">
        <v>174</v>
      </c>
      <c r="E28" s="404">
        <v>10</v>
      </c>
      <c r="F28" s="405">
        <v>0</v>
      </c>
      <c r="G28" s="404">
        <v>0</v>
      </c>
      <c r="H28" s="405">
        <v>0</v>
      </c>
      <c r="I28" s="404">
        <v>0</v>
      </c>
      <c r="J28" s="405">
        <v>0</v>
      </c>
      <c r="K28" s="406">
        <v>220</v>
      </c>
    </row>
    <row r="29" spans="1:11" ht="12" customHeight="1">
      <c r="A29" s="265" t="s">
        <v>102</v>
      </c>
      <c r="B29" s="405">
        <v>65</v>
      </c>
      <c r="C29" s="404">
        <v>412</v>
      </c>
      <c r="D29" s="405">
        <v>0</v>
      </c>
      <c r="E29" s="404">
        <v>0</v>
      </c>
      <c r="F29" s="405">
        <v>160</v>
      </c>
      <c r="G29" s="404">
        <v>2</v>
      </c>
      <c r="H29" s="405">
        <v>0</v>
      </c>
      <c r="I29" s="404">
        <v>0</v>
      </c>
      <c r="J29" s="405">
        <v>11</v>
      </c>
      <c r="K29" s="406">
        <v>650</v>
      </c>
    </row>
    <row r="30" spans="1:11" ht="12" customHeight="1">
      <c r="A30" s="265" t="s">
        <v>389</v>
      </c>
      <c r="B30" s="405">
        <v>157</v>
      </c>
      <c r="C30" s="404">
        <v>105</v>
      </c>
      <c r="D30" s="405">
        <v>1588</v>
      </c>
      <c r="E30" s="404">
        <v>10</v>
      </c>
      <c r="F30" s="405">
        <v>2</v>
      </c>
      <c r="G30" s="404">
        <v>0</v>
      </c>
      <c r="H30" s="405">
        <v>0</v>
      </c>
      <c r="I30" s="404">
        <v>0</v>
      </c>
      <c r="J30" s="405">
        <v>0</v>
      </c>
      <c r="K30" s="406">
        <v>1862</v>
      </c>
    </row>
    <row r="31" spans="1:11" ht="12" customHeight="1">
      <c r="A31" s="266" t="s">
        <v>343</v>
      </c>
      <c r="B31" s="405">
        <v>489</v>
      </c>
      <c r="C31" s="404">
        <v>67</v>
      </c>
      <c r="D31" s="405">
        <v>119</v>
      </c>
      <c r="E31" s="404">
        <v>0</v>
      </c>
      <c r="F31" s="405">
        <v>4</v>
      </c>
      <c r="G31" s="404">
        <v>0</v>
      </c>
      <c r="H31" s="405">
        <v>0</v>
      </c>
      <c r="I31" s="404">
        <v>0</v>
      </c>
      <c r="J31" s="405">
        <v>6</v>
      </c>
      <c r="K31" s="406">
        <v>685</v>
      </c>
    </row>
    <row r="32" spans="1:11" ht="12" customHeight="1">
      <c r="A32" s="265" t="s">
        <v>344</v>
      </c>
      <c r="B32" s="405">
        <v>19</v>
      </c>
      <c r="C32" s="404">
        <v>14</v>
      </c>
      <c r="D32" s="405">
        <v>138</v>
      </c>
      <c r="E32" s="404">
        <v>135</v>
      </c>
      <c r="F32" s="405">
        <v>0</v>
      </c>
      <c r="G32" s="404">
        <v>0</v>
      </c>
      <c r="H32" s="405">
        <v>0</v>
      </c>
      <c r="I32" s="404">
        <v>0</v>
      </c>
      <c r="J32" s="405">
        <v>0</v>
      </c>
      <c r="K32" s="406">
        <v>306</v>
      </c>
    </row>
    <row r="33" spans="1:11" ht="12" customHeight="1">
      <c r="A33" s="267" t="s">
        <v>103</v>
      </c>
      <c r="B33" s="405">
        <v>57</v>
      </c>
      <c r="C33" s="404">
        <v>29</v>
      </c>
      <c r="D33" s="405">
        <v>148</v>
      </c>
      <c r="E33" s="404">
        <v>1049</v>
      </c>
      <c r="F33" s="405">
        <v>4</v>
      </c>
      <c r="G33" s="404">
        <v>0</v>
      </c>
      <c r="H33" s="405">
        <v>0</v>
      </c>
      <c r="I33" s="404">
        <v>0</v>
      </c>
      <c r="J33" s="405">
        <v>0</v>
      </c>
      <c r="K33" s="406">
        <v>1287</v>
      </c>
    </row>
    <row r="34" spans="1:11" ht="12" customHeight="1">
      <c r="A34" s="477" t="s">
        <v>345</v>
      </c>
      <c r="B34" s="478">
        <v>492</v>
      </c>
      <c r="C34" s="479">
        <v>512</v>
      </c>
      <c r="D34" s="478">
        <v>245</v>
      </c>
      <c r="E34" s="479">
        <v>0</v>
      </c>
      <c r="F34" s="478">
        <v>29</v>
      </c>
      <c r="G34" s="479">
        <v>1</v>
      </c>
      <c r="H34" s="478">
        <v>0</v>
      </c>
      <c r="I34" s="479">
        <v>0</v>
      </c>
      <c r="J34" s="478">
        <v>0</v>
      </c>
      <c r="K34" s="406">
        <v>1279</v>
      </c>
    </row>
    <row r="35" spans="1:11" ht="12" customHeight="1">
      <c r="A35" s="267" t="s">
        <v>341</v>
      </c>
      <c r="B35" s="405">
        <v>306</v>
      </c>
      <c r="C35" s="404">
        <v>1201</v>
      </c>
      <c r="D35" s="405">
        <v>3722</v>
      </c>
      <c r="E35" s="404">
        <v>162</v>
      </c>
      <c r="F35" s="405">
        <v>52</v>
      </c>
      <c r="G35" s="404">
        <v>0</v>
      </c>
      <c r="H35" s="405">
        <v>0</v>
      </c>
      <c r="I35" s="404">
        <v>0</v>
      </c>
      <c r="J35" s="405">
        <v>5</v>
      </c>
      <c r="K35" s="406">
        <v>5447</v>
      </c>
    </row>
    <row r="36" spans="1:11" ht="12" customHeight="1">
      <c r="A36" s="267" t="s">
        <v>346</v>
      </c>
      <c r="B36" s="405">
        <v>100</v>
      </c>
      <c r="C36" s="404">
        <v>34</v>
      </c>
      <c r="D36" s="405">
        <v>45</v>
      </c>
      <c r="E36" s="404">
        <v>0</v>
      </c>
      <c r="F36" s="405">
        <v>18</v>
      </c>
      <c r="G36" s="404">
        <v>6</v>
      </c>
      <c r="H36" s="405">
        <v>0</v>
      </c>
      <c r="I36" s="404">
        <v>0</v>
      </c>
      <c r="J36" s="405">
        <v>1</v>
      </c>
      <c r="K36" s="406">
        <v>203</v>
      </c>
    </row>
    <row r="37" spans="1:11" ht="12" customHeight="1">
      <c r="A37" s="267" t="s">
        <v>347</v>
      </c>
      <c r="B37" s="405">
        <v>228</v>
      </c>
      <c r="C37" s="404">
        <v>365</v>
      </c>
      <c r="D37" s="405">
        <v>166</v>
      </c>
      <c r="E37" s="404">
        <v>98</v>
      </c>
      <c r="F37" s="405">
        <v>80</v>
      </c>
      <c r="G37" s="404">
        <v>0</v>
      </c>
      <c r="H37" s="405">
        <v>0</v>
      </c>
      <c r="I37" s="404">
        <v>0</v>
      </c>
      <c r="J37" s="405">
        <v>1</v>
      </c>
      <c r="K37" s="406">
        <v>938</v>
      </c>
    </row>
    <row r="38" spans="1:11" ht="12" customHeight="1">
      <c r="A38" s="265" t="s">
        <v>390</v>
      </c>
      <c r="B38" s="478">
        <v>18</v>
      </c>
      <c r="C38" s="479">
        <v>39</v>
      </c>
      <c r="D38" s="478">
        <v>69</v>
      </c>
      <c r="E38" s="479">
        <v>10</v>
      </c>
      <c r="F38" s="478">
        <v>0</v>
      </c>
      <c r="G38" s="479">
        <v>0</v>
      </c>
      <c r="H38" s="478">
        <v>0</v>
      </c>
      <c r="I38" s="479">
        <v>0</v>
      </c>
      <c r="J38" s="478">
        <v>0</v>
      </c>
      <c r="K38" s="480">
        <v>136</v>
      </c>
    </row>
    <row r="39" spans="1:11" ht="12" customHeight="1">
      <c r="A39" s="267" t="s">
        <v>348</v>
      </c>
      <c r="B39" s="405">
        <v>66</v>
      </c>
      <c r="C39" s="404">
        <v>464</v>
      </c>
      <c r="D39" s="405">
        <v>10</v>
      </c>
      <c r="E39" s="404">
        <v>1273</v>
      </c>
      <c r="F39" s="405">
        <v>861</v>
      </c>
      <c r="G39" s="404">
        <v>65</v>
      </c>
      <c r="H39" s="405">
        <v>0</v>
      </c>
      <c r="I39" s="404">
        <v>97</v>
      </c>
      <c r="J39" s="405">
        <v>9</v>
      </c>
      <c r="K39" s="406">
        <v>2846</v>
      </c>
    </row>
    <row r="40" spans="1:11" ht="12" customHeight="1">
      <c r="A40" s="265" t="s">
        <v>105</v>
      </c>
      <c r="B40" s="405">
        <v>544</v>
      </c>
      <c r="C40" s="404">
        <v>898</v>
      </c>
      <c r="D40" s="405">
        <v>574</v>
      </c>
      <c r="E40" s="404">
        <v>0</v>
      </c>
      <c r="F40" s="405">
        <v>22</v>
      </c>
      <c r="G40" s="404">
        <v>0</v>
      </c>
      <c r="H40" s="405">
        <v>-317</v>
      </c>
      <c r="I40" s="404">
        <v>3232</v>
      </c>
      <c r="J40" s="405">
        <v>70</v>
      </c>
      <c r="K40" s="406">
        <v>5023</v>
      </c>
    </row>
    <row r="41" spans="1:11" ht="12" customHeight="1">
      <c r="A41" s="407" t="s">
        <v>380</v>
      </c>
      <c r="B41" s="409">
        <v>0</v>
      </c>
      <c r="C41" s="408">
        <v>0</v>
      </c>
      <c r="D41" s="409">
        <v>0</v>
      </c>
      <c r="E41" s="408">
        <v>0</v>
      </c>
      <c r="F41" s="409">
        <v>0</v>
      </c>
      <c r="G41" s="408">
        <v>0</v>
      </c>
      <c r="H41" s="409">
        <v>0</v>
      </c>
      <c r="I41" s="408">
        <v>0</v>
      </c>
      <c r="J41" s="409">
        <v>2000</v>
      </c>
      <c r="K41" s="410">
        <v>2000</v>
      </c>
    </row>
    <row r="42" spans="1:11" ht="15" customHeight="1" thickBot="1">
      <c r="A42" s="411" t="s">
        <v>383</v>
      </c>
      <c r="B42" s="421">
        <v>24952</v>
      </c>
      <c r="C42" s="422">
        <v>17099</v>
      </c>
      <c r="D42" s="421">
        <v>17738</v>
      </c>
      <c r="E42" s="422">
        <v>3469</v>
      </c>
      <c r="F42" s="421">
        <v>2955</v>
      </c>
      <c r="G42" s="422">
        <v>1616</v>
      </c>
      <c r="H42" s="421">
        <v>-364</v>
      </c>
      <c r="I42" s="422">
        <v>3365</v>
      </c>
      <c r="J42" s="421">
        <v>2341</v>
      </c>
      <c r="K42" s="422">
        <v>73170</v>
      </c>
    </row>
    <row r="43" spans="1:11">
      <c r="B43" s="414"/>
      <c r="C43" s="414"/>
      <c r="D43" s="414"/>
      <c r="E43" s="414"/>
      <c r="F43" s="414"/>
      <c r="G43" s="414"/>
      <c r="H43" s="414"/>
      <c r="I43" s="414"/>
      <c r="J43" s="414"/>
      <c r="K43" s="415"/>
    </row>
    <row r="44" spans="1:11" ht="12">
      <c r="B44"/>
      <c r="C44"/>
      <c r="D44"/>
      <c r="E44"/>
      <c r="F44"/>
      <c r="G44"/>
      <c r="H44"/>
      <c r="I44"/>
      <c r="K44" s="415"/>
    </row>
    <row r="45" spans="1:11" ht="12">
      <c r="A45" s="494"/>
      <c r="B45"/>
      <c r="C45"/>
      <c r="D45"/>
      <c r="E45"/>
      <c r="F45"/>
      <c r="G45"/>
      <c r="H45"/>
      <c r="I45"/>
      <c r="K45" s="415"/>
    </row>
    <row r="46" spans="1:11" ht="12">
      <c r="B46"/>
      <c r="C46"/>
      <c r="D46"/>
      <c r="E46"/>
      <c r="F46"/>
      <c r="G46"/>
      <c r="H46"/>
      <c r="I46"/>
    </row>
    <row r="47" spans="1:11" ht="12">
      <c r="A47" s="423"/>
      <c r="B47"/>
      <c r="C47"/>
      <c r="D47"/>
      <c r="E47"/>
      <c r="F47"/>
      <c r="G47"/>
      <c r="H47"/>
      <c r="I47"/>
    </row>
    <row r="48" spans="1:11" ht="12">
      <c r="B48"/>
      <c r="C48"/>
      <c r="D48"/>
      <c r="E48"/>
      <c r="F48"/>
      <c r="G48"/>
      <c r="H48"/>
      <c r="I48"/>
    </row>
    <row r="49" spans="2:10" ht="12">
      <c r="B49"/>
      <c r="C49"/>
      <c r="D49"/>
      <c r="E49"/>
      <c r="F49"/>
      <c r="G49"/>
      <c r="H49"/>
      <c r="I49"/>
    </row>
    <row r="50" spans="2:10" ht="12">
      <c r="B50" s="226"/>
      <c r="C50" s="226"/>
      <c r="D50" s="226"/>
      <c r="E50" s="226"/>
      <c r="F50" s="226"/>
      <c r="G50" s="226"/>
      <c r="H50" s="226"/>
      <c r="I50" s="226"/>
      <c r="J50" s="226"/>
    </row>
    <row r="51" spans="2:10" ht="12">
      <c r="B51"/>
      <c r="C51"/>
      <c r="D51"/>
      <c r="E51"/>
      <c r="F51"/>
      <c r="G51"/>
      <c r="H51"/>
      <c r="I51"/>
    </row>
  </sheetData>
  <mergeCells count="10">
    <mergeCell ref="H3:H12"/>
    <mergeCell ref="I3:I12"/>
    <mergeCell ref="J3:J12"/>
    <mergeCell ref="K3:K12"/>
    <mergeCell ref="B3:B12"/>
    <mergeCell ref="C3:C12"/>
    <mergeCell ref="D3:D12"/>
    <mergeCell ref="E3:E12"/>
    <mergeCell ref="F3:F12"/>
    <mergeCell ref="G3:G12"/>
  </mergeCells>
  <pageMargins left="0.74803149606299213" right="0.74803149606299213" top="0.74803149606299213" bottom="0.74803149606299213" header="0.31496062992125984" footer="0.31496062992125984"/>
  <pageSetup scale="99" orientation="landscape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>
    <tabColor rgb="FF92D050"/>
    <pageSetUpPr fitToPage="1"/>
  </sheetPr>
  <dimension ref="A1:O51"/>
  <sheetViews>
    <sheetView showGridLines="0" zoomScaleNormal="100" workbookViewId="0"/>
  </sheetViews>
  <sheetFormatPr defaultColWidth="10.42578125" defaultRowHeight="11.25"/>
  <cols>
    <col min="1" max="1" width="51.7109375" style="265" customWidth="1"/>
    <col min="2" max="14" width="7" style="393" customWidth="1"/>
    <col min="15" max="15" width="3.42578125" style="267" customWidth="1"/>
    <col min="16" max="237" width="10.42578125" style="267"/>
    <col min="238" max="238" width="39.5703125" style="267" customWidth="1"/>
    <col min="239" max="239" width="7.42578125" style="267" customWidth="1"/>
    <col min="240" max="250" width="6.42578125" style="267" customWidth="1"/>
    <col min="251" max="251" width="6.5703125" style="267" customWidth="1"/>
    <col min="252" max="493" width="10.42578125" style="267"/>
    <col min="494" max="494" width="39.5703125" style="267" customWidth="1"/>
    <col min="495" max="495" width="7.42578125" style="267" customWidth="1"/>
    <col min="496" max="506" width="6.42578125" style="267" customWidth="1"/>
    <col min="507" max="507" width="6.5703125" style="267" customWidth="1"/>
    <col min="508" max="749" width="10.42578125" style="267"/>
    <col min="750" max="750" width="39.5703125" style="267" customWidth="1"/>
    <col min="751" max="751" width="7.42578125" style="267" customWidth="1"/>
    <col min="752" max="762" width="6.42578125" style="267" customWidth="1"/>
    <col min="763" max="763" width="6.5703125" style="267" customWidth="1"/>
    <col min="764" max="1005" width="10.42578125" style="267"/>
    <col min="1006" max="1006" width="39.5703125" style="267" customWidth="1"/>
    <col min="1007" max="1007" width="7.42578125" style="267" customWidth="1"/>
    <col min="1008" max="1018" width="6.42578125" style="267" customWidth="1"/>
    <col min="1019" max="1019" width="6.5703125" style="267" customWidth="1"/>
    <col min="1020" max="1261" width="10.42578125" style="267"/>
    <col min="1262" max="1262" width="39.5703125" style="267" customWidth="1"/>
    <col min="1263" max="1263" width="7.42578125" style="267" customWidth="1"/>
    <col min="1264" max="1274" width="6.42578125" style="267" customWidth="1"/>
    <col min="1275" max="1275" width="6.5703125" style="267" customWidth="1"/>
    <col min="1276" max="1517" width="10.42578125" style="267"/>
    <col min="1518" max="1518" width="39.5703125" style="267" customWidth="1"/>
    <col min="1519" max="1519" width="7.42578125" style="267" customWidth="1"/>
    <col min="1520" max="1530" width="6.42578125" style="267" customWidth="1"/>
    <col min="1531" max="1531" width="6.5703125" style="267" customWidth="1"/>
    <col min="1532" max="1773" width="10.42578125" style="267"/>
    <col min="1774" max="1774" width="39.5703125" style="267" customWidth="1"/>
    <col min="1775" max="1775" width="7.42578125" style="267" customWidth="1"/>
    <col min="1776" max="1786" width="6.42578125" style="267" customWidth="1"/>
    <col min="1787" max="1787" width="6.5703125" style="267" customWidth="1"/>
    <col min="1788" max="2029" width="10.42578125" style="267"/>
    <col min="2030" max="2030" width="39.5703125" style="267" customWidth="1"/>
    <col min="2031" max="2031" width="7.42578125" style="267" customWidth="1"/>
    <col min="2032" max="2042" width="6.42578125" style="267" customWidth="1"/>
    <col min="2043" max="2043" width="6.5703125" style="267" customWidth="1"/>
    <col min="2044" max="2285" width="10.42578125" style="267"/>
    <col min="2286" max="2286" width="39.5703125" style="267" customWidth="1"/>
    <col min="2287" max="2287" width="7.42578125" style="267" customWidth="1"/>
    <col min="2288" max="2298" width="6.42578125" style="267" customWidth="1"/>
    <col min="2299" max="2299" width="6.5703125" style="267" customWidth="1"/>
    <col min="2300" max="2541" width="10.42578125" style="267"/>
    <col min="2542" max="2542" width="39.5703125" style="267" customWidth="1"/>
    <col min="2543" max="2543" width="7.42578125" style="267" customWidth="1"/>
    <col min="2544" max="2554" width="6.42578125" style="267" customWidth="1"/>
    <col min="2555" max="2555" width="6.5703125" style="267" customWidth="1"/>
    <col min="2556" max="2797" width="10.42578125" style="267"/>
    <col min="2798" max="2798" width="39.5703125" style="267" customWidth="1"/>
    <col min="2799" max="2799" width="7.42578125" style="267" customWidth="1"/>
    <col min="2800" max="2810" width="6.42578125" style="267" customWidth="1"/>
    <col min="2811" max="2811" width="6.5703125" style="267" customWidth="1"/>
    <col min="2812" max="3053" width="10.42578125" style="267"/>
    <col min="3054" max="3054" width="39.5703125" style="267" customWidth="1"/>
    <col min="3055" max="3055" width="7.42578125" style="267" customWidth="1"/>
    <col min="3056" max="3066" width="6.42578125" style="267" customWidth="1"/>
    <col min="3067" max="3067" width="6.5703125" style="267" customWidth="1"/>
    <col min="3068" max="3309" width="10.42578125" style="267"/>
    <col min="3310" max="3310" width="39.5703125" style="267" customWidth="1"/>
    <col min="3311" max="3311" width="7.42578125" style="267" customWidth="1"/>
    <col min="3312" max="3322" width="6.42578125" style="267" customWidth="1"/>
    <col min="3323" max="3323" width="6.5703125" style="267" customWidth="1"/>
    <col min="3324" max="3565" width="10.42578125" style="267"/>
    <col min="3566" max="3566" width="39.5703125" style="267" customWidth="1"/>
    <col min="3567" max="3567" width="7.42578125" style="267" customWidth="1"/>
    <col min="3568" max="3578" width="6.42578125" style="267" customWidth="1"/>
    <col min="3579" max="3579" width="6.5703125" style="267" customWidth="1"/>
    <col min="3580" max="3821" width="10.42578125" style="267"/>
    <col min="3822" max="3822" width="39.5703125" style="267" customWidth="1"/>
    <col min="3823" max="3823" width="7.42578125" style="267" customWidth="1"/>
    <col min="3824" max="3834" width="6.42578125" style="267" customWidth="1"/>
    <col min="3835" max="3835" width="6.5703125" style="267" customWidth="1"/>
    <col min="3836" max="4077" width="10.42578125" style="267"/>
    <col min="4078" max="4078" width="39.5703125" style="267" customWidth="1"/>
    <col min="4079" max="4079" width="7.42578125" style="267" customWidth="1"/>
    <col min="4080" max="4090" width="6.42578125" style="267" customWidth="1"/>
    <col min="4091" max="4091" width="6.5703125" style="267" customWidth="1"/>
    <col min="4092" max="4333" width="10.42578125" style="267"/>
    <col min="4334" max="4334" width="39.5703125" style="267" customWidth="1"/>
    <col min="4335" max="4335" width="7.42578125" style="267" customWidth="1"/>
    <col min="4336" max="4346" width="6.42578125" style="267" customWidth="1"/>
    <col min="4347" max="4347" width="6.5703125" style="267" customWidth="1"/>
    <col min="4348" max="4589" width="10.42578125" style="267"/>
    <col min="4590" max="4590" width="39.5703125" style="267" customWidth="1"/>
    <col min="4591" max="4591" width="7.42578125" style="267" customWidth="1"/>
    <col min="4592" max="4602" width="6.42578125" style="267" customWidth="1"/>
    <col min="4603" max="4603" width="6.5703125" style="267" customWidth="1"/>
    <col min="4604" max="4845" width="10.42578125" style="267"/>
    <col min="4846" max="4846" width="39.5703125" style="267" customWidth="1"/>
    <col min="4847" max="4847" width="7.42578125" style="267" customWidth="1"/>
    <col min="4848" max="4858" width="6.42578125" style="267" customWidth="1"/>
    <col min="4859" max="4859" width="6.5703125" style="267" customWidth="1"/>
    <col min="4860" max="5101" width="10.42578125" style="267"/>
    <col min="5102" max="5102" width="39.5703125" style="267" customWidth="1"/>
    <col min="5103" max="5103" width="7.42578125" style="267" customWidth="1"/>
    <col min="5104" max="5114" width="6.42578125" style="267" customWidth="1"/>
    <col min="5115" max="5115" width="6.5703125" style="267" customWidth="1"/>
    <col min="5116" max="5357" width="10.42578125" style="267"/>
    <col min="5358" max="5358" width="39.5703125" style="267" customWidth="1"/>
    <col min="5359" max="5359" width="7.42578125" style="267" customWidth="1"/>
    <col min="5360" max="5370" width="6.42578125" style="267" customWidth="1"/>
    <col min="5371" max="5371" width="6.5703125" style="267" customWidth="1"/>
    <col min="5372" max="5613" width="10.42578125" style="267"/>
    <col min="5614" max="5614" width="39.5703125" style="267" customWidth="1"/>
    <col min="5615" max="5615" width="7.42578125" style="267" customWidth="1"/>
    <col min="5616" max="5626" width="6.42578125" style="267" customWidth="1"/>
    <col min="5627" max="5627" width="6.5703125" style="267" customWidth="1"/>
    <col min="5628" max="5869" width="10.42578125" style="267"/>
    <col min="5870" max="5870" width="39.5703125" style="267" customWidth="1"/>
    <col min="5871" max="5871" width="7.42578125" style="267" customWidth="1"/>
    <col min="5872" max="5882" width="6.42578125" style="267" customWidth="1"/>
    <col min="5883" max="5883" width="6.5703125" style="267" customWidth="1"/>
    <col min="5884" max="6125" width="10.42578125" style="267"/>
    <col min="6126" max="6126" width="39.5703125" style="267" customWidth="1"/>
    <col min="6127" max="6127" width="7.42578125" style="267" customWidth="1"/>
    <col min="6128" max="6138" width="6.42578125" style="267" customWidth="1"/>
    <col min="6139" max="6139" width="6.5703125" style="267" customWidth="1"/>
    <col min="6140" max="6381" width="10.42578125" style="267"/>
    <col min="6382" max="6382" width="39.5703125" style="267" customWidth="1"/>
    <col min="6383" max="6383" width="7.42578125" style="267" customWidth="1"/>
    <col min="6384" max="6394" width="6.42578125" style="267" customWidth="1"/>
    <col min="6395" max="6395" width="6.5703125" style="267" customWidth="1"/>
    <col min="6396" max="6637" width="10.42578125" style="267"/>
    <col min="6638" max="6638" width="39.5703125" style="267" customWidth="1"/>
    <col min="6639" max="6639" width="7.42578125" style="267" customWidth="1"/>
    <col min="6640" max="6650" width="6.42578125" style="267" customWidth="1"/>
    <col min="6651" max="6651" width="6.5703125" style="267" customWidth="1"/>
    <col min="6652" max="6893" width="10.42578125" style="267"/>
    <col min="6894" max="6894" width="39.5703125" style="267" customWidth="1"/>
    <col min="6895" max="6895" width="7.42578125" style="267" customWidth="1"/>
    <col min="6896" max="6906" width="6.42578125" style="267" customWidth="1"/>
    <col min="6907" max="6907" width="6.5703125" style="267" customWidth="1"/>
    <col min="6908" max="7149" width="10.42578125" style="267"/>
    <col min="7150" max="7150" width="39.5703125" style="267" customWidth="1"/>
    <col min="7151" max="7151" width="7.42578125" style="267" customWidth="1"/>
    <col min="7152" max="7162" width="6.42578125" style="267" customWidth="1"/>
    <col min="7163" max="7163" width="6.5703125" style="267" customWidth="1"/>
    <col min="7164" max="7405" width="10.42578125" style="267"/>
    <col min="7406" max="7406" width="39.5703125" style="267" customWidth="1"/>
    <col min="7407" max="7407" width="7.42578125" style="267" customWidth="1"/>
    <col min="7408" max="7418" width="6.42578125" style="267" customWidth="1"/>
    <col min="7419" max="7419" width="6.5703125" style="267" customWidth="1"/>
    <col min="7420" max="7661" width="10.42578125" style="267"/>
    <col min="7662" max="7662" width="39.5703125" style="267" customWidth="1"/>
    <col min="7663" max="7663" width="7.42578125" style="267" customWidth="1"/>
    <col min="7664" max="7674" width="6.42578125" style="267" customWidth="1"/>
    <col min="7675" max="7675" width="6.5703125" style="267" customWidth="1"/>
    <col min="7676" max="7917" width="10.42578125" style="267"/>
    <col min="7918" max="7918" width="39.5703125" style="267" customWidth="1"/>
    <col min="7919" max="7919" width="7.42578125" style="267" customWidth="1"/>
    <col min="7920" max="7930" width="6.42578125" style="267" customWidth="1"/>
    <col min="7931" max="7931" width="6.5703125" style="267" customWidth="1"/>
    <col min="7932" max="8173" width="10.42578125" style="267"/>
    <col min="8174" max="8174" width="39.5703125" style="267" customWidth="1"/>
    <col min="8175" max="8175" width="7.42578125" style="267" customWidth="1"/>
    <col min="8176" max="8186" width="6.42578125" style="267" customWidth="1"/>
    <col min="8187" max="8187" width="6.5703125" style="267" customWidth="1"/>
    <col min="8188" max="8429" width="10.42578125" style="267"/>
    <col min="8430" max="8430" width="39.5703125" style="267" customWidth="1"/>
    <col min="8431" max="8431" width="7.42578125" style="267" customWidth="1"/>
    <col min="8432" max="8442" width="6.42578125" style="267" customWidth="1"/>
    <col min="8443" max="8443" width="6.5703125" style="267" customWidth="1"/>
    <col min="8444" max="8685" width="10.42578125" style="267"/>
    <col min="8686" max="8686" width="39.5703125" style="267" customWidth="1"/>
    <col min="8687" max="8687" width="7.42578125" style="267" customWidth="1"/>
    <col min="8688" max="8698" width="6.42578125" style="267" customWidth="1"/>
    <col min="8699" max="8699" width="6.5703125" style="267" customWidth="1"/>
    <col min="8700" max="8941" width="10.42578125" style="267"/>
    <col min="8942" max="8942" width="39.5703125" style="267" customWidth="1"/>
    <col min="8943" max="8943" width="7.42578125" style="267" customWidth="1"/>
    <col min="8944" max="8954" width="6.42578125" style="267" customWidth="1"/>
    <col min="8955" max="8955" width="6.5703125" style="267" customWidth="1"/>
    <col min="8956" max="9197" width="10.42578125" style="267"/>
    <col min="9198" max="9198" width="39.5703125" style="267" customWidth="1"/>
    <col min="9199" max="9199" width="7.42578125" style="267" customWidth="1"/>
    <col min="9200" max="9210" width="6.42578125" style="267" customWidth="1"/>
    <col min="9211" max="9211" width="6.5703125" style="267" customWidth="1"/>
    <col min="9212" max="9453" width="10.42578125" style="267"/>
    <col min="9454" max="9454" width="39.5703125" style="267" customWidth="1"/>
    <col min="9455" max="9455" width="7.42578125" style="267" customWidth="1"/>
    <col min="9456" max="9466" width="6.42578125" style="267" customWidth="1"/>
    <col min="9467" max="9467" width="6.5703125" style="267" customWidth="1"/>
    <col min="9468" max="9709" width="10.42578125" style="267"/>
    <col min="9710" max="9710" width="39.5703125" style="267" customWidth="1"/>
    <col min="9711" max="9711" width="7.42578125" style="267" customWidth="1"/>
    <col min="9712" max="9722" width="6.42578125" style="267" customWidth="1"/>
    <col min="9723" max="9723" width="6.5703125" style="267" customWidth="1"/>
    <col min="9724" max="9965" width="10.42578125" style="267"/>
    <col min="9966" max="9966" width="39.5703125" style="267" customWidth="1"/>
    <col min="9967" max="9967" width="7.42578125" style="267" customWidth="1"/>
    <col min="9968" max="9978" width="6.42578125" style="267" customWidth="1"/>
    <col min="9979" max="9979" width="6.5703125" style="267" customWidth="1"/>
    <col min="9980" max="10221" width="10.42578125" style="267"/>
    <col min="10222" max="10222" width="39.5703125" style="267" customWidth="1"/>
    <col min="10223" max="10223" width="7.42578125" style="267" customWidth="1"/>
    <col min="10224" max="10234" width="6.42578125" style="267" customWidth="1"/>
    <col min="10235" max="10235" width="6.5703125" style="267" customWidth="1"/>
    <col min="10236" max="10477" width="10.42578125" style="267"/>
    <col min="10478" max="10478" width="39.5703125" style="267" customWidth="1"/>
    <col min="10479" max="10479" width="7.42578125" style="267" customWidth="1"/>
    <col min="10480" max="10490" width="6.42578125" style="267" customWidth="1"/>
    <col min="10491" max="10491" width="6.5703125" style="267" customWidth="1"/>
    <col min="10492" max="10733" width="10.42578125" style="267"/>
    <col min="10734" max="10734" width="39.5703125" style="267" customWidth="1"/>
    <col min="10735" max="10735" width="7.42578125" style="267" customWidth="1"/>
    <col min="10736" max="10746" width="6.42578125" style="267" customWidth="1"/>
    <col min="10747" max="10747" width="6.5703125" style="267" customWidth="1"/>
    <col min="10748" max="10989" width="10.42578125" style="267"/>
    <col min="10990" max="10990" width="39.5703125" style="267" customWidth="1"/>
    <col min="10991" max="10991" width="7.42578125" style="267" customWidth="1"/>
    <col min="10992" max="11002" width="6.42578125" style="267" customWidth="1"/>
    <col min="11003" max="11003" width="6.5703125" style="267" customWidth="1"/>
    <col min="11004" max="11245" width="10.42578125" style="267"/>
    <col min="11246" max="11246" width="39.5703125" style="267" customWidth="1"/>
    <col min="11247" max="11247" width="7.42578125" style="267" customWidth="1"/>
    <col min="11248" max="11258" width="6.42578125" style="267" customWidth="1"/>
    <col min="11259" max="11259" width="6.5703125" style="267" customWidth="1"/>
    <col min="11260" max="11501" width="10.42578125" style="267"/>
    <col min="11502" max="11502" width="39.5703125" style="267" customWidth="1"/>
    <col min="11503" max="11503" width="7.42578125" style="267" customWidth="1"/>
    <col min="11504" max="11514" width="6.42578125" style="267" customWidth="1"/>
    <col min="11515" max="11515" width="6.5703125" style="267" customWidth="1"/>
    <col min="11516" max="11757" width="10.42578125" style="267"/>
    <col min="11758" max="11758" width="39.5703125" style="267" customWidth="1"/>
    <col min="11759" max="11759" width="7.42578125" style="267" customWidth="1"/>
    <col min="11760" max="11770" width="6.42578125" style="267" customWidth="1"/>
    <col min="11771" max="11771" width="6.5703125" style="267" customWidth="1"/>
    <col min="11772" max="12013" width="10.42578125" style="267"/>
    <col min="12014" max="12014" width="39.5703125" style="267" customWidth="1"/>
    <col min="12015" max="12015" width="7.42578125" style="267" customWidth="1"/>
    <col min="12016" max="12026" width="6.42578125" style="267" customWidth="1"/>
    <col min="12027" max="12027" width="6.5703125" style="267" customWidth="1"/>
    <col min="12028" max="12269" width="10.42578125" style="267"/>
    <col min="12270" max="12270" width="39.5703125" style="267" customWidth="1"/>
    <col min="12271" max="12271" width="7.42578125" style="267" customWidth="1"/>
    <col min="12272" max="12282" width="6.42578125" style="267" customWidth="1"/>
    <col min="12283" max="12283" width="6.5703125" style="267" customWidth="1"/>
    <col min="12284" max="12525" width="10.42578125" style="267"/>
    <col min="12526" max="12526" width="39.5703125" style="267" customWidth="1"/>
    <col min="12527" max="12527" width="7.42578125" style="267" customWidth="1"/>
    <col min="12528" max="12538" width="6.42578125" style="267" customWidth="1"/>
    <col min="12539" max="12539" width="6.5703125" style="267" customWidth="1"/>
    <col min="12540" max="12781" width="10.42578125" style="267"/>
    <col min="12782" max="12782" width="39.5703125" style="267" customWidth="1"/>
    <col min="12783" max="12783" width="7.42578125" style="267" customWidth="1"/>
    <col min="12784" max="12794" width="6.42578125" style="267" customWidth="1"/>
    <col min="12795" max="12795" width="6.5703125" style="267" customWidth="1"/>
    <col min="12796" max="13037" width="10.42578125" style="267"/>
    <col min="13038" max="13038" width="39.5703125" style="267" customWidth="1"/>
    <col min="13039" max="13039" width="7.42578125" style="267" customWidth="1"/>
    <col min="13040" max="13050" width="6.42578125" style="267" customWidth="1"/>
    <col min="13051" max="13051" width="6.5703125" style="267" customWidth="1"/>
    <col min="13052" max="13293" width="10.42578125" style="267"/>
    <col min="13294" max="13294" width="39.5703125" style="267" customWidth="1"/>
    <col min="13295" max="13295" width="7.42578125" style="267" customWidth="1"/>
    <col min="13296" max="13306" width="6.42578125" style="267" customWidth="1"/>
    <col min="13307" max="13307" width="6.5703125" style="267" customWidth="1"/>
    <col min="13308" max="13549" width="10.42578125" style="267"/>
    <col min="13550" max="13550" width="39.5703125" style="267" customWidth="1"/>
    <col min="13551" max="13551" width="7.42578125" style="267" customWidth="1"/>
    <col min="13552" max="13562" width="6.42578125" style="267" customWidth="1"/>
    <col min="13563" max="13563" width="6.5703125" style="267" customWidth="1"/>
    <col min="13564" max="13805" width="10.42578125" style="267"/>
    <col min="13806" max="13806" width="39.5703125" style="267" customWidth="1"/>
    <col min="13807" max="13807" width="7.42578125" style="267" customWidth="1"/>
    <col min="13808" max="13818" width="6.42578125" style="267" customWidth="1"/>
    <col min="13819" max="13819" width="6.5703125" style="267" customWidth="1"/>
    <col min="13820" max="14061" width="10.42578125" style="267"/>
    <col min="14062" max="14062" width="39.5703125" style="267" customWidth="1"/>
    <col min="14063" max="14063" width="7.42578125" style="267" customWidth="1"/>
    <col min="14064" max="14074" width="6.42578125" style="267" customWidth="1"/>
    <col min="14075" max="14075" width="6.5703125" style="267" customWidth="1"/>
    <col min="14076" max="14317" width="10.42578125" style="267"/>
    <col min="14318" max="14318" width="39.5703125" style="267" customWidth="1"/>
    <col min="14319" max="14319" width="7.42578125" style="267" customWidth="1"/>
    <col min="14320" max="14330" width="6.42578125" style="267" customWidth="1"/>
    <col min="14331" max="14331" width="6.5703125" style="267" customWidth="1"/>
    <col min="14332" max="14573" width="10.42578125" style="267"/>
    <col min="14574" max="14574" width="39.5703125" style="267" customWidth="1"/>
    <col min="14575" max="14575" width="7.42578125" style="267" customWidth="1"/>
    <col min="14576" max="14586" width="6.42578125" style="267" customWidth="1"/>
    <col min="14587" max="14587" width="6.5703125" style="267" customWidth="1"/>
    <col min="14588" max="14829" width="10.42578125" style="267"/>
    <col min="14830" max="14830" width="39.5703125" style="267" customWidth="1"/>
    <col min="14831" max="14831" width="7.42578125" style="267" customWidth="1"/>
    <col min="14832" max="14842" width="6.42578125" style="267" customWidth="1"/>
    <col min="14843" max="14843" width="6.5703125" style="267" customWidth="1"/>
    <col min="14844" max="15085" width="10.42578125" style="267"/>
    <col min="15086" max="15086" width="39.5703125" style="267" customWidth="1"/>
    <col min="15087" max="15087" width="7.42578125" style="267" customWidth="1"/>
    <col min="15088" max="15098" width="6.42578125" style="267" customWidth="1"/>
    <col min="15099" max="15099" width="6.5703125" style="267" customWidth="1"/>
    <col min="15100" max="15341" width="10.42578125" style="267"/>
    <col min="15342" max="15342" width="39.5703125" style="267" customWidth="1"/>
    <col min="15343" max="15343" width="7.42578125" style="267" customWidth="1"/>
    <col min="15344" max="15354" width="6.42578125" style="267" customWidth="1"/>
    <col min="15355" max="15355" width="6.5703125" style="267" customWidth="1"/>
    <col min="15356" max="15597" width="10.42578125" style="267"/>
    <col min="15598" max="15598" width="39.5703125" style="267" customWidth="1"/>
    <col min="15599" max="15599" width="7.42578125" style="267" customWidth="1"/>
    <col min="15600" max="15610" width="6.42578125" style="267" customWidth="1"/>
    <col min="15611" max="15611" width="6.5703125" style="267" customWidth="1"/>
    <col min="15612" max="15853" width="10.42578125" style="267"/>
    <col min="15854" max="15854" width="39.5703125" style="267" customWidth="1"/>
    <col min="15855" max="15855" width="7.42578125" style="267" customWidth="1"/>
    <col min="15856" max="15866" width="6.42578125" style="267" customWidth="1"/>
    <col min="15867" max="15867" width="6.5703125" style="267" customWidth="1"/>
    <col min="15868" max="16109" width="10.42578125" style="267"/>
    <col min="16110" max="16110" width="39.5703125" style="267" customWidth="1"/>
    <col min="16111" max="16111" width="7.42578125" style="267" customWidth="1"/>
    <col min="16112" max="16122" width="6.42578125" style="267" customWidth="1"/>
    <col min="16123" max="16123" width="6.5703125" style="267" customWidth="1"/>
    <col min="16124" max="16384" width="10.42578125" style="267"/>
  </cols>
  <sheetData>
    <row r="1" spans="1:14" ht="15.75">
      <c r="A1" s="392" t="s">
        <v>269</v>
      </c>
    </row>
    <row r="2" spans="1:14">
      <c r="A2" s="4" t="s">
        <v>1</v>
      </c>
    </row>
    <row r="3" spans="1:14" s="396" customFormat="1" ht="12.75" customHeight="1">
      <c r="A3" s="394"/>
      <c r="B3" s="606" t="s">
        <v>100</v>
      </c>
      <c r="C3" s="607" t="s">
        <v>98</v>
      </c>
      <c r="D3" s="598" t="s">
        <v>270</v>
      </c>
      <c r="E3" s="609" t="s">
        <v>271</v>
      </c>
      <c r="F3" s="598" t="s">
        <v>272</v>
      </c>
      <c r="G3" s="597" t="s">
        <v>273</v>
      </c>
      <c r="H3" s="598" t="s">
        <v>274</v>
      </c>
      <c r="I3" s="597" t="s">
        <v>275</v>
      </c>
      <c r="J3" s="598" t="s">
        <v>276</v>
      </c>
      <c r="K3" s="597" t="s">
        <v>277</v>
      </c>
      <c r="L3" s="610" t="s">
        <v>278</v>
      </c>
      <c r="M3" s="395"/>
      <c r="N3" s="599" t="s">
        <v>383</v>
      </c>
    </row>
    <row r="4" spans="1:14" s="396" customFormat="1" ht="9.9499999999999993" customHeight="1">
      <c r="A4" s="397"/>
      <c r="B4" s="602"/>
      <c r="C4" s="601"/>
      <c r="D4" s="608"/>
      <c r="E4" s="609"/>
      <c r="F4" s="598"/>
      <c r="G4" s="601"/>
      <c r="H4" s="598"/>
      <c r="I4" s="597"/>
      <c r="J4" s="598"/>
      <c r="K4" s="597"/>
      <c r="L4" s="610"/>
      <c r="M4" s="395"/>
      <c r="N4" s="599"/>
    </row>
    <row r="5" spans="1:14" s="396" customFormat="1" ht="12">
      <c r="A5" s="394"/>
      <c r="B5" s="602"/>
      <c r="C5" s="601"/>
      <c r="D5" s="608"/>
      <c r="E5" s="609"/>
      <c r="F5" s="598"/>
      <c r="G5" s="601"/>
      <c r="H5" s="598"/>
      <c r="I5" s="597"/>
      <c r="J5" s="598"/>
      <c r="K5" s="597"/>
      <c r="L5" s="610"/>
      <c r="M5" s="395"/>
      <c r="N5" s="599"/>
    </row>
    <row r="6" spans="1:14" s="396" customFormat="1" ht="12" customHeight="1">
      <c r="A6" s="394"/>
      <c r="B6" s="602"/>
      <c r="C6" s="601"/>
      <c r="D6" s="608"/>
      <c r="E6" s="609"/>
      <c r="F6" s="598"/>
      <c r="G6" s="601"/>
      <c r="H6" s="598"/>
      <c r="I6" s="597"/>
      <c r="J6" s="598"/>
      <c r="K6" s="597"/>
      <c r="L6" s="610"/>
      <c r="M6" s="604" t="s">
        <v>279</v>
      </c>
      <c r="N6" s="599"/>
    </row>
    <row r="7" spans="1:14" s="396" customFormat="1" ht="12">
      <c r="A7" s="394"/>
      <c r="B7" s="602"/>
      <c r="C7" s="601"/>
      <c r="D7" s="608"/>
      <c r="E7" s="609"/>
      <c r="F7" s="598"/>
      <c r="G7" s="601"/>
      <c r="H7" s="598"/>
      <c r="I7" s="597"/>
      <c r="J7" s="598"/>
      <c r="K7" s="597"/>
      <c r="L7" s="610"/>
      <c r="M7" s="605"/>
      <c r="N7" s="599"/>
    </row>
    <row r="8" spans="1:14" s="398" customFormat="1" ht="11.25" customHeight="1">
      <c r="B8" s="602"/>
      <c r="C8" s="601"/>
      <c r="D8" s="608"/>
      <c r="E8" s="609"/>
      <c r="F8" s="598"/>
      <c r="G8" s="601"/>
      <c r="H8" s="598"/>
      <c r="I8" s="597"/>
      <c r="J8" s="598"/>
      <c r="K8" s="597"/>
      <c r="L8" s="610"/>
      <c r="M8" s="605"/>
      <c r="N8" s="599"/>
    </row>
    <row r="9" spans="1:14" s="398" customFormat="1">
      <c r="A9" s="265"/>
      <c r="B9" s="602"/>
      <c r="C9" s="601"/>
      <c r="D9" s="608"/>
      <c r="E9" s="609"/>
      <c r="F9" s="598"/>
      <c r="G9" s="601"/>
      <c r="H9" s="598"/>
      <c r="I9" s="597"/>
      <c r="J9" s="598"/>
      <c r="K9" s="597"/>
      <c r="L9" s="610"/>
      <c r="M9" s="605"/>
      <c r="N9" s="599"/>
    </row>
    <row r="10" spans="1:14" s="398" customFormat="1" ht="12">
      <c r="B10" s="602"/>
      <c r="C10" s="601"/>
      <c r="D10" s="608"/>
      <c r="E10" s="609"/>
      <c r="F10" s="598"/>
      <c r="G10" s="601"/>
      <c r="H10" s="598"/>
      <c r="I10" s="597"/>
      <c r="J10" s="598"/>
      <c r="K10" s="597"/>
      <c r="L10" s="610"/>
      <c r="M10" s="605"/>
      <c r="N10" s="599"/>
    </row>
    <row r="11" spans="1:14" s="398" customFormat="1" ht="12">
      <c r="B11" s="602"/>
      <c r="C11" s="601"/>
      <c r="D11" s="608"/>
      <c r="E11" s="609"/>
      <c r="F11" s="598"/>
      <c r="G11" s="601"/>
      <c r="H11" s="598"/>
      <c r="I11" s="597"/>
      <c r="J11" s="598"/>
      <c r="K11" s="597"/>
      <c r="L11" s="610"/>
      <c r="M11" s="605"/>
      <c r="N11" s="599"/>
    </row>
    <row r="12" spans="1:14" s="398" customFormat="1" ht="12" customHeight="1">
      <c r="B12" s="602"/>
      <c r="C12" s="601"/>
      <c r="D12" s="608"/>
      <c r="E12" s="609"/>
      <c r="F12" s="598"/>
      <c r="G12" s="601"/>
      <c r="H12" s="598"/>
      <c r="I12" s="597"/>
      <c r="J12" s="598"/>
      <c r="K12" s="597"/>
      <c r="L12" s="610"/>
      <c r="M12" s="605"/>
      <c r="N12" s="599"/>
    </row>
    <row r="13" spans="1:14" s="398" customFormat="1" ht="5.25" customHeight="1">
      <c r="A13" s="399"/>
      <c r="B13" s="400"/>
      <c r="C13" s="401"/>
      <c r="D13" s="402"/>
      <c r="E13" s="403"/>
      <c r="F13" s="402"/>
      <c r="G13" s="403"/>
      <c r="H13" s="402"/>
      <c r="I13" s="403"/>
      <c r="J13" s="402"/>
      <c r="K13" s="403"/>
      <c r="L13" s="402"/>
      <c r="M13" s="403"/>
      <c r="N13" s="402"/>
    </row>
    <row r="14" spans="1:14" ht="12" customHeight="1">
      <c r="A14" s="265" t="s">
        <v>172</v>
      </c>
      <c r="B14" s="404">
        <v>0</v>
      </c>
      <c r="C14" s="405">
        <v>0</v>
      </c>
      <c r="D14" s="404">
        <v>17</v>
      </c>
      <c r="E14" s="405">
        <v>0</v>
      </c>
      <c r="F14" s="404">
        <v>0</v>
      </c>
      <c r="G14" s="405">
        <v>0</v>
      </c>
      <c r="H14" s="404">
        <v>0</v>
      </c>
      <c r="I14" s="405">
        <v>0</v>
      </c>
      <c r="J14" s="404">
        <v>0</v>
      </c>
      <c r="K14" s="405">
        <v>0</v>
      </c>
      <c r="L14" s="404">
        <v>142</v>
      </c>
      <c r="M14" s="405">
        <v>0</v>
      </c>
      <c r="N14" s="406">
        <v>158</v>
      </c>
    </row>
    <row r="15" spans="1:14" ht="6" customHeight="1">
      <c r="B15" s="404"/>
      <c r="C15" s="405"/>
      <c r="D15" s="404"/>
      <c r="E15" s="405"/>
      <c r="F15" s="404"/>
      <c r="G15" s="405"/>
      <c r="H15" s="404"/>
      <c r="I15" s="405"/>
      <c r="J15" s="404"/>
      <c r="K15" s="405"/>
      <c r="L15" s="404"/>
      <c r="M15" s="405"/>
      <c r="N15" s="406"/>
    </row>
    <row r="16" spans="1:14" ht="12" customHeight="1">
      <c r="A16" s="265" t="s">
        <v>97</v>
      </c>
      <c r="B16" s="404">
        <v>0</v>
      </c>
      <c r="C16" s="405">
        <v>7048</v>
      </c>
      <c r="D16" s="404">
        <v>0</v>
      </c>
      <c r="E16" s="405">
        <v>2</v>
      </c>
      <c r="F16" s="404">
        <v>0</v>
      </c>
      <c r="G16" s="405">
        <v>0</v>
      </c>
      <c r="H16" s="404">
        <v>0</v>
      </c>
      <c r="I16" s="405">
        <v>0</v>
      </c>
      <c r="J16" s="404">
        <v>0</v>
      </c>
      <c r="K16" s="405">
        <v>0</v>
      </c>
      <c r="L16" s="404">
        <v>-47</v>
      </c>
      <c r="M16" s="405">
        <v>0</v>
      </c>
      <c r="N16" s="406">
        <v>7003</v>
      </c>
    </row>
    <row r="17" spans="1:14" ht="12" customHeight="1">
      <c r="A17" s="265" t="s">
        <v>339</v>
      </c>
      <c r="B17" s="404">
        <v>0</v>
      </c>
      <c r="C17" s="405">
        <v>0</v>
      </c>
      <c r="D17" s="404">
        <v>0</v>
      </c>
      <c r="E17" s="405">
        <v>16</v>
      </c>
      <c r="F17" s="404">
        <v>8</v>
      </c>
      <c r="G17" s="405">
        <v>34</v>
      </c>
      <c r="H17" s="404">
        <v>0</v>
      </c>
      <c r="I17" s="405">
        <v>29</v>
      </c>
      <c r="J17" s="404">
        <v>0</v>
      </c>
      <c r="K17" s="405">
        <v>0</v>
      </c>
      <c r="L17" s="404">
        <v>5</v>
      </c>
      <c r="M17" s="405">
        <v>0</v>
      </c>
      <c r="N17" s="406">
        <v>92</v>
      </c>
    </row>
    <row r="18" spans="1:14" ht="12" customHeight="1">
      <c r="A18" s="267" t="s">
        <v>340</v>
      </c>
      <c r="B18" s="404">
        <v>0</v>
      </c>
      <c r="C18" s="405">
        <v>0</v>
      </c>
      <c r="D18" s="404">
        <v>0</v>
      </c>
      <c r="E18" s="405">
        <v>928</v>
      </c>
      <c r="F18" s="404">
        <v>0</v>
      </c>
      <c r="G18" s="405">
        <v>0</v>
      </c>
      <c r="H18" s="404">
        <v>0</v>
      </c>
      <c r="I18" s="405">
        <v>65</v>
      </c>
      <c r="J18" s="404">
        <v>0</v>
      </c>
      <c r="K18" s="405">
        <v>0</v>
      </c>
      <c r="L18" s="404">
        <v>0</v>
      </c>
      <c r="M18" s="405">
        <v>0</v>
      </c>
      <c r="N18" s="406">
        <v>993</v>
      </c>
    </row>
    <row r="19" spans="1:14" ht="12" customHeight="1">
      <c r="A19" s="265" t="s">
        <v>384</v>
      </c>
      <c r="B19" s="404">
        <v>0</v>
      </c>
      <c r="C19" s="405">
        <v>0</v>
      </c>
      <c r="D19" s="404">
        <v>0</v>
      </c>
      <c r="E19" s="405">
        <v>36</v>
      </c>
      <c r="F19" s="404">
        <v>0</v>
      </c>
      <c r="G19" s="405">
        <v>0</v>
      </c>
      <c r="H19" s="404">
        <v>0</v>
      </c>
      <c r="I19" s="405">
        <v>0</v>
      </c>
      <c r="J19" s="404">
        <v>224</v>
      </c>
      <c r="K19" s="405">
        <v>0</v>
      </c>
      <c r="L19" s="404">
        <v>0</v>
      </c>
      <c r="M19" s="405">
        <v>0</v>
      </c>
      <c r="N19" s="406">
        <v>260</v>
      </c>
    </row>
    <row r="20" spans="1:14" ht="12" customHeight="1">
      <c r="A20" s="265" t="s">
        <v>385</v>
      </c>
      <c r="B20" s="404">
        <v>0</v>
      </c>
      <c r="C20" s="405">
        <v>0</v>
      </c>
      <c r="D20" s="404">
        <v>1498</v>
      </c>
      <c r="E20" s="405">
        <v>0</v>
      </c>
      <c r="F20" s="404">
        <v>0</v>
      </c>
      <c r="G20" s="405">
        <v>0</v>
      </c>
      <c r="H20" s="404">
        <v>0</v>
      </c>
      <c r="I20" s="405">
        <v>0</v>
      </c>
      <c r="J20" s="404">
        <v>0</v>
      </c>
      <c r="K20" s="405">
        <v>0</v>
      </c>
      <c r="L20" s="404">
        <v>0</v>
      </c>
      <c r="M20" s="405">
        <v>0</v>
      </c>
      <c r="N20" s="406">
        <v>1498</v>
      </c>
    </row>
    <row r="21" spans="1:14" ht="12" customHeight="1">
      <c r="A21" s="265" t="s">
        <v>98</v>
      </c>
      <c r="B21" s="404">
        <v>0</v>
      </c>
      <c r="C21" s="405">
        <v>9762</v>
      </c>
      <c r="D21" s="404">
        <v>0</v>
      </c>
      <c r="E21" s="405">
        <v>0</v>
      </c>
      <c r="F21" s="404">
        <v>0</v>
      </c>
      <c r="G21" s="405">
        <v>0</v>
      </c>
      <c r="H21" s="404">
        <v>0</v>
      </c>
      <c r="I21" s="405">
        <v>0</v>
      </c>
      <c r="J21" s="404">
        <v>0</v>
      </c>
      <c r="K21" s="405">
        <v>0</v>
      </c>
      <c r="L21" s="404">
        <v>0</v>
      </c>
      <c r="M21" s="405">
        <v>35</v>
      </c>
      <c r="N21" s="406">
        <v>9798</v>
      </c>
    </row>
    <row r="22" spans="1:14" ht="12" customHeight="1">
      <c r="A22" s="265" t="s">
        <v>386</v>
      </c>
      <c r="B22" s="404">
        <v>0</v>
      </c>
      <c r="C22" s="405">
        <v>0</v>
      </c>
      <c r="D22" s="404">
        <v>0</v>
      </c>
      <c r="E22" s="405">
        <v>890</v>
      </c>
      <c r="F22" s="404">
        <v>0</v>
      </c>
      <c r="G22" s="405">
        <v>0</v>
      </c>
      <c r="H22" s="404">
        <v>0</v>
      </c>
      <c r="I22" s="405">
        <v>135</v>
      </c>
      <c r="J22" s="404">
        <v>0</v>
      </c>
      <c r="K22" s="405">
        <v>0</v>
      </c>
      <c r="L22" s="404">
        <v>22</v>
      </c>
      <c r="M22" s="405">
        <v>0</v>
      </c>
      <c r="N22" s="406">
        <v>1048</v>
      </c>
    </row>
    <row r="23" spans="1:14" ht="12" customHeight="1">
      <c r="A23" s="265" t="s">
        <v>342</v>
      </c>
      <c r="B23" s="404">
        <v>0</v>
      </c>
      <c r="C23" s="405">
        <v>0</v>
      </c>
      <c r="D23" s="404">
        <v>0</v>
      </c>
      <c r="E23" s="405">
        <v>110</v>
      </c>
      <c r="F23" s="404">
        <v>0</v>
      </c>
      <c r="G23" s="405">
        <v>0</v>
      </c>
      <c r="H23" s="404">
        <v>0</v>
      </c>
      <c r="I23" s="405">
        <v>446</v>
      </c>
      <c r="J23" s="404">
        <v>0</v>
      </c>
      <c r="K23" s="405">
        <v>0</v>
      </c>
      <c r="L23" s="404">
        <v>1</v>
      </c>
      <c r="M23" s="405">
        <v>0</v>
      </c>
      <c r="N23" s="406">
        <v>557</v>
      </c>
    </row>
    <row r="24" spans="1:14" ht="12" customHeight="1">
      <c r="A24" s="265" t="s">
        <v>99</v>
      </c>
      <c r="B24" s="404">
        <v>0</v>
      </c>
      <c r="C24" s="405">
        <v>0</v>
      </c>
      <c r="D24" s="404">
        <v>0</v>
      </c>
      <c r="E24" s="405">
        <v>33</v>
      </c>
      <c r="F24" s="404">
        <v>0</v>
      </c>
      <c r="G24" s="405">
        <v>0</v>
      </c>
      <c r="H24" s="404">
        <v>0</v>
      </c>
      <c r="I24" s="405">
        <v>0</v>
      </c>
      <c r="J24" s="404">
        <v>0</v>
      </c>
      <c r="K24" s="405">
        <v>0</v>
      </c>
      <c r="L24" s="404">
        <v>23</v>
      </c>
      <c r="M24" s="405">
        <v>0</v>
      </c>
      <c r="N24" s="406">
        <v>56</v>
      </c>
    </row>
    <row r="25" spans="1:14" ht="12" customHeight="1">
      <c r="A25" s="267" t="s">
        <v>387</v>
      </c>
      <c r="B25" s="404">
        <v>1</v>
      </c>
      <c r="C25" s="405">
        <v>0</v>
      </c>
      <c r="D25" s="404">
        <v>0</v>
      </c>
      <c r="E25" s="405">
        <v>120</v>
      </c>
      <c r="F25" s="404">
        <v>158</v>
      </c>
      <c r="G25" s="405">
        <v>0</v>
      </c>
      <c r="H25" s="404">
        <v>0</v>
      </c>
      <c r="I25" s="405">
        <v>2</v>
      </c>
      <c r="J25" s="404">
        <v>129</v>
      </c>
      <c r="K25" s="405">
        <v>0</v>
      </c>
      <c r="L25" s="404">
        <v>0</v>
      </c>
      <c r="M25" s="405">
        <v>0</v>
      </c>
      <c r="N25" s="406">
        <v>410</v>
      </c>
    </row>
    <row r="26" spans="1:14" ht="12" customHeight="1">
      <c r="A26" s="265" t="s">
        <v>100</v>
      </c>
      <c r="B26" s="404">
        <v>28373</v>
      </c>
      <c r="C26" s="405">
        <v>0</v>
      </c>
      <c r="D26" s="404">
        <v>0</v>
      </c>
      <c r="E26" s="405">
        <v>0</v>
      </c>
      <c r="F26" s="404">
        <v>0</v>
      </c>
      <c r="G26" s="405">
        <v>0</v>
      </c>
      <c r="H26" s="404">
        <v>0</v>
      </c>
      <c r="I26" s="405">
        <v>0</v>
      </c>
      <c r="J26" s="404">
        <v>0</v>
      </c>
      <c r="K26" s="405">
        <v>0</v>
      </c>
      <c r="L26" s="404">
        <v>0</v>
      </c>
      <c r="M26" s="405">
        <v>0</v>
      </c>
      <c r="N26" s="406">
        <v>28373</v>
      </c>
    </row>
    <row r="27" spans="1:14" ht="12" customHeight="1">
      <c r="A27" s="265" t="s">
        <v>388</v>
      </c>
      <c r="B27" s="404">
        <v>0</v>
      </c>
      <c r="C27" s="405">
        <v>0</v>
      </c>
      <c r="D27" s="404">
        <v>0</v>
      </c>
      <c r="E27" s="405">
        <v>42</v>
      </c>
      <c r="F27" s="404">
        <v>0</v>
      </c>
      <c r="G27" s="405">
        <v>0</v>
      </c>
      <c r="H27" s="404">
        <v>0</v>
      </c>
      <c r="I27" s="405">
        <v>0</v>
      </c>
      <c r="J27" s="404">
        <v>0</v>
      </c>
      <c r="K27" s="405">
        <v>0</v>
      </c>
      <c r="L27" s="404">
        <v>0</v>
      </c>
      <c r="M27" s="405">
        <v>0</v>
      </c>
      <c r="N27" s="406">
        <v>42</v>
      </c>
    </row>
    <row r="28" spans="1:14" ht="12" customHeight="1">
      <c r="A28" s="265" t="s">
        <v>101</v>
      </c>
      <c r="B28" s="404">
        <v>0</v>
      </c>
      <c r="C28" s="405">
        <v>0</v>
      </c>
      <c r="D28" s="404">
        <v>0</v>
      </c>
      <c r="E28" s="405">
        <v>9</v>
      </c>
      <c r="F28" s="404">
        <v>0</v>
      </c>
      <c r="G28" s="405">
        <v>0</v>
      </c>
      <c r="H28" s="404">
        <v>0</v>
      </c>
      <c r="I28" s="405">
        <v>0</v>
      </c>
      <c r="J28" s="404">
        <v>0</v>
      </c>
      <c r="K28" s="405">
        <v>0</v>
      </c>
      <c r="L28" s="404">
        <v>211</v>
      </c>
      <c r="M28" s="405">
        <v>0</v>
      </c>
      <c r="N28" s="406">
        <v>220</v>
      </c>
    </row>
    <row r="29" spans="1:14" ht="12" customHeight="1">
      <c r="A29" s="265" t="s">
        <v>102</v>
      </c>
      <c r="B29" s="404">
        <v>3</v>
      </c>
      <c r="C29" s="405">
        <v>1</v>
      </c>
      <c r="D29" s="404">
        <v>0</v>
      </c>
      <c r="E29" s="405">
        <v>0</v>
      </c>
      <c r="F29" s="404">
        <v>0</v>
      </c>
      <c r="G29" s="405">
        <v>2</v>
      </c>
      <c r="H29" s="404">
        <v>0</v>
      </c>
      <c r="I29" s="405">
        <v>45</v>
      </c>
      <c r="J29" s="404">
        <v>0</v>
      </c>
      <c r="K29" s="405">
        <v>1</v>
      </c>
      <c r="L29" s="404">
        <v>597</v>
      </c>
      <c r="M29" s="405">
        <v>0</v>
      </c>
      <c r="N29" s="406">
        <v>650</v>
      </c>
    </row>
    <row r="30" spans="1:14" ht="12" customHeight="1">
      <c r="A30" s="265" t="s">
        <v>389</v>
      </c>
      <c r="B30" s="404">
        <v>0</v>
      </c>
      <c r="C30" s="405">
        <v>100</v>
      </c>
      <c r="D30" s="404">
        <v>1474</v>
      </c>
      <c r="E30" s="405">
        <v>194</v>
      </c>
      <c r="F30" s="404">
        <v>93</v>
      </c>
      <c r="G30" s="405">
        <v>0</v>
      </c>
      <c r="H30" s="404">
        <v>0</v>
      </c>
      <c r="I30" s="405">
        <v>0</v>
      </c>
      <c r="J30" s="404">
        <v>0</v>
      </c>
      <c r="K30" s="405">
        <v>0</v>
      </c>
      <c r="L30" s="404">
        <v>0</v>
      </c>
      <c r="M30" s="405">
        <v>0</v>
      </c>
      <c r="N30" s="406">
        <v>1862</v>
      </c>
    </row>
    <row r="31" spans="1:14" ht="12" customHeight="1">
      <c r="A31" s="266" t="s">
        <v>343</v>
      </c>
      <c r="B31" s="404">
        <v>0</v>
      </c>
      <c r="C31" s="405">
        <v>0</v>
      </c>
      <c r="D31" s="404">
        <v>110</v>
      </c>
      <c r="E31" s="405">
        <v>0</v>
      </c>
      <c r="F31" s="404">
        <v>575</v>
      </c>
      <c r="G31" s="405">
        <v>0</v>
      </c>
      <c r="H31" s="404">
        <v>0</v>
      </c>
      <c r="I31" s="405">
        <v>0</v>
      </c>
      <c r="J31" s="404">
        <v>0</v>
      </c>
      <c r="K31" s="405">
        <v>0</v>
      </c>
      <c r="L31" s="404">
        <v>0</v>
      </c>
      <c r="M31" s="405">
        <v>0</v>
      </c>
      <c r="N31" s="406">
        <v>685</v>
      </c>
    </row>
    <row r="32" spans="1:14" ht="12" customHeight="1">
      <c r="A32" s="265" t="s">
        <v>344</v>
      </c>
      <c r="B32" s="404">
        <v>306</v>
      </c>
      <c r="C32" s="405">
        <v>0</v>
      </c>
      <c r="D32" s="404">
        <v>0</v>
      </c>
      <c r="E32" s="405">
        <v>0</v>
      </c>
      <c r="F32" s="404">
        <v>0</v>
      </c>
      <c r="G32" s="405">
        <v>0</v>
      </c>
      <c r="H32" s="404">
        <v>0</v>
      </c>
      <c r="I32" s="405">
        <v>0</v>
      </c>
      <c r="J32" s="404">
        <v>0</v>
      </c>
      <c r="K32" s="405">
        <v>0</v>
      </c>
      <c r="L32" s="404">
        <v>0</v>
      </c>
      <c r="M32" s="405">
        <v>0</v>
      </c>
      <c r="N32" s="406">
        <v>306</v>
      </c>
    </row>
    <row r="33" spans="1:15" ht="12" customHeight="1">
      <c r="A33" s="267" t="s">
        <v>103</v>
      </c>
      <c r="B33" s="404">
        <v>0</v>
      </c>
      <c r="C33" s="405">
        <v>0</v>
      </c>
      <c r="D33" s="404">
        <v>0</v>
      </c>
      <c r="E33" s="405">
        <v>0</v>
      </c>
      <c r="F33" s="404">
        <v>29</v>
      </c>
      <c r="G33" s="405">
        <v>0</v>
      </c>
      <c r="H33" s="404">
        <v>1156</v>
      </c>
      <c r="I33" s="405">
        <v>0</v>
      </c>
      <c r="J33" s="404">
        <v>64</v>
      </c>
      <c r="K33" s="405">
        <v>0</v>
      </c>
      <c r="L33" s="404">
        <v>38</v>
      </c>
      <c r="M33" s="405">
        <v>0</v>
      </c>
      <c r="N33" s="406">
        <v>1287</v>
      </c>
    </row>
    <row r="34" spans="1:15" ht="12" customHeight="1">
      <c r="A34" s="267" t="s">
        <v>345</v>
      </c>
      <c r="B34" s="404">
        <v>0</v>
      </c>
      <c r="C34" s="405">
        <v>0</v>
      </c>
      <c r="D34" s="404">
        <v>39</v>
      </c>
      <c r="E34" s="405">
        <v>22</v>
      </c>
      <c r="F34" s="404">
        <v>1219</v>
      </c>
      <c r="G34" s="405">
        <v>0</v>
      </c>
      <c r="H34" s="404">
        <v>0</v>
      </c>
      <c r="I34" s="405">
        <v>0</v>
      </c>
      <c r="J34" s="404">
        <v>0</v>
      </c>
      <c r="K34" s="405">
        <v>0</v>
      </c>
      <c r="L34" s="404">
        <v>0</v>
      </c>
      <c r="M34" s="405">
        <v>0</v>
      </c>
      <c r="N34" s="406">
        <v>1279</v>
      </c>
    </row>
    <row r="35" spans="1:15" ht="12" customHeight="1">
      <c r="A35" s="267" t="s">
        <v>341</v>
      </c>
      <c r="B35" s="404">
        <v>0</v>
      </c>
      <c r="C35" s="405">
        <v>92</v>
      </c>
      <c r="D35" s="404">
        <v>4956</v>
      </c>
      <c r="E35" s="405">
        <v>0</v>
      </c>
      <c r="F35" s="404">
        <v>0</v>
      </c>
      <c r="G35" s="405">
        <v>0</v>
      </c>
      <c r="H35" s="404">
        <v>0</v>
      </c>
      <c r="I35" s="405">
        <v>0</v>
      </c>
      <c r="J35" s="404">
        <v>0</v>
      </c>
      <c r="K35" s="405">
        <v>400</v>
      </c>
      <c r="L35" s="404">
        <v>0</v>
      </c>
      <c r="M35" s="405">
        <v>0</v>
      </c>
      <c r="N35" s="406">
        <v>5447</v>
      </c>
    </row>
    <row r="36" spans="1:15" ht="12" customHeight="1">
      <c r="A36" s="267" t="s">
        <v>346</v>
      </c>
      <c r="B36" s="404">
        <v>0</v>
      </c>
      <c r="C36" s="405">
        <v>0</v>
      </c>
      <c r="D36" s="404">
        <v>0</v>
      </c>
      <c r="E36" s="405">
        <v>43</v>
      </c>
      <c r="F36" s="404">
        <v>99</v>
      </c>
      <c r="G36" s="405">
        <v>0</v>
      </c>
      <c r="H36" s="404">
        <v>0</v>
      </c>
      <c r="I36" s="405">
        <v>0</v>
      </c>
      <c r="J36" s="404">
        <v>3</v>
      </c>
      <c r="K36" s="405">
        <v>0</v>
      </c>
      <c r="L36" s="404">
        <v>59</v>
      </c>
      <c r="M36" s="405">
        <v>0</v>
      </c>
      <c r="N36" s="406">
        <v>203</v>
      </c>
    </row>
    <row r="37" spans="1:15" ht="12" customHeight="1">
      <c r="A37" s="267" t="s">
        <v>347</v>
      </c>
      <c r="B37" s="404">
        <v>48</v>
      </c>
      <c r="C37" s="405">
        <v>0</v>
      </c>
      <c r="D37" s="404">
        <v>5</v>
      </c>
      <c r="E37" s="405">
        <v>241</v>
      </c>
      <c r="F37" s="404">
        <v>6</v>
      </c>
      <c r="G37" s="405">
        <v>0</v>
      </c>
      <c r="H37" s="404">
        <v>0</v>
      </c>
      <c r="I37" s="405">
        <v>0</v>
      </c>
      <c r="J37" s="404">
        <v>0</v>
      </c>
      <c r="K37" s="405">
        <v>0</v>
      </c>
      <c r="L37" s="404">
        <v>637</v>
      </c>
      <c r="M37" s="405">
        <v>0</v>
      </c>
      <c r="N37" s="406">
        <v>938</v>
      </c>
    </row>
    <row r="38" spans="1:15" ht="12" customHeight="1">
      <c r="A38" s="265" t="s">
        <v>390</v>
      </c>
      <c r="B38" s="404">
        <v>0</v>
      </c>
      <c r="C38" s="405">
        <v>0</v>
      </c>
      <c r="D38" s="404">
        <v>0</v>
      </c>
      <c r="E38" s="405">
        <v>47</v>
      </c>
      <c r="F38" s="404">
        <v>0</v>
      </c>
      <c r="G38" s="405">
        <v>0</v>
      </c>
      <c r="H38" s="404">
        <v>0</v>
      </c>
      <c r="I38" s="405">
        <v>0</v>
      </c>
      <c r="J38" s="404">
        <v>52</v>
      </c>
      <c r="K38" s="405">
        <v>0</v>
      </c>
      <c r="L38" s="404">
        <v>36</v>
      </c>
      <c r="M38" s="405">
        <v>0</v>
      </c>
      <c r="N38" s="406">
        <v>136</v>
      </c>
    </row>
    <row r="39" spans="1:15" ht="12" customHeight="1">
      <c r="A39" s="267" t="s">
        <v>348</v>
      </c>
      <c r="B39" s="404">
        <v>0</v>
      </c>
      <c r="C39" s="405">
        <v>0</v>
      </c>
      <c r="D39" s="404">
        <v>0</v>
      </c>
      <c r="E39" s="405">
        <v>0</v>
      </c>
      <c r="F39" s="404">
        <v>51</v>
      </c>
      <c r="G39" s="405">
        <v>2689</v>
      </c>
      <c r="H39" s="404">
        <v>0</v>
      </c>
      <c r="I39" s="405">
        <v>9</v>
      </c>
      <c r="J39" s="404">
        <v>0</v>
      </c>
      <c r="K39" s="405">
        <v>0</v>
      </c>
      <c r="L39" s="404">
        <v>0</v>
      </c>
      <c r="M39" s="405">
        <v>97</v>
      </c>
      <c r="N39" s="406">
        <v>2846</v>
      </c>
    </row>
    <row r="40" spans="1:15" ht="12" customHeight="1">
      <c r="A40" s="265" t="s">
        <v>105</v>
      </c>
      <c r="B40" s="404">
        <v>0</v>
      </c>
      <c r="C40" s="405">
        <v>0</v>
      </c>
      <c r="D40" s="404">
        <v>45</v>
      </c>
      <c r="E40" s="405">
        <v>1</v>
      </c>
      <c r="F40" s="404">
        <v>0</v>
      </c>
      <c r="G40" s="405">
        <v>0</v>
      </c>
      <c r="H40" s="404">
        <v>0</v>
      </c>
      <c r="I40" s="405">
        <v>2</v>
      </c>
      <c r="J40" s="404">
        <v>0</v>
      </c>
      <c r="K40" s="405">
        <v>0</v>
      </c>
      <c r="L40" s="404">
        <v>1742</v>
      </c>
      <c r="M40" s="405">
        <v>3232</v>
      </c>
      <c r="N40" s="406">
        <v>5023</v>
      </c>
    </row>
    <row r="41" spans="1:15" ht="12" customHeight="1">
      <c r="A41" s="407" t="s">
        <v>380</v>
      </c>
      <c r="B41" s="408">
        <v>0</v>
      </c>
      <c r="C41" s="409">
        <v>0</v>
      </c>
      <c r="D41" s="408">
        <v>0</v>
      </c>
      <c r="E41" s="409">
        <v>0</v>
      </c>
      <c r="F41" s="408">
        <v>2000</v>
      </c>
      <c r="G41" s="409">
        <v>0</v>
      </c>
      <c r="H41" s="408">
        <v>0</v>
      </c>
      <c r="I41" s="409"/>
      <c r="J41" s="408">
        <v>0</v>
      </c>
      <c r="K41" s="405">
        <v>0</v>
      </c>
      <c r="L41" s="408">
        <v>0</v>
      </c>
      <c r="M41" s="409">
        <v>0</v>
      </c>
      <c r="N41" s="410">
        <v>2000</v>
      </c>
    </row>
    <row r="42" spans="1:15" ht="15" customHeight="1" thickBot="1">
      <c r="A42" s="411" t="s">
        <v>383</v>
      </c>
      <c r="B42" s="412">
        <v>28732</v>
      </c>
      <c r="C42" s="413">
        <v>17004</v>
      </c>
      <c r="D42" s="412">
        <v>8143</v>
      </c>
      <c r="E42" s="413">
        <v>2734</v>
      </c>
      <c r="F42" s="412">
        <v>4238</v>
      </c>
      <c r="G42" s="413">
        <v>2725</v>
      </c>
      <c r="H42" s="412">
        <v>1156</v>
      </c>
      <c r="I42" s="413">
        <v>732</v>
      </c>
      <c r="J42" s="412">
        <v>473</v>
      </c>
      <c r="K42" s="413">
        <v>401</v>
      </c>
      <c r="L42" s="412">
        <v>3467</v>
      </c>
      <c r="M42" s="413">
        <v>3365</v>
      </c>
      <c r="N42" s="412">
        <v>73170</v>
      </c>
    </row>
    <row r="43" spans="1:15" ht="12">
      <c r="A43" s="267"/>
      <c r="C43" s="416"/>
    </row>
    <row r="44" spans="1:15" ht="12">
      <c r="C44" s="416"/>
    </row>
    <row r="45" spans="1:15" ht="12">
      <c r="C45" s="416"/>
    </row>
    <row r="46" spans="1:15" ht="12">
      <c r="C46" s="416"/>
    </row>
    <row r="47" spans="1:15" s="393" customFormat="1" ht="12">
      <c r="A47" s="265"/>
      <c r="C47" s="416"/>
      <c r="O47" s="267"/>
    </row>
    <row r="48" spans="1:15" s="393" customFormat="1" ht="12">
      <c r="A48" s="265"/>
      <c r="C48" s="416"/>
      <c r="O48" s="267"/>
    </row>
    <row r="49" spans="1:15" s="393" customFormat="1" ht="12">
      <c r="A49" s="265"/>
      <c r="C49" s="416"/>
      <c r="O49" s="267"/>
    </row>
    <row r="50" spans="1:15" s="393" customFormat="1" ht="12">
      <c r="A50" s="265"/>
      <c r="C50" s="416"/>
      <c r="O50" s="267"/>
    </row>
    <row r="51" spans="1:15" s="393" customFormat="1" ht="12">
      <c r="A51" s="265"/>
      <c r="C51" s="416"/>
      <c r="O51" s="267"/>
    </row>
  </sheetData>
  <mergeCells count="13">
    <mergeCell ref="N3:N12"/>
    <mergeCell ref="M6:M12"/>
    <mergeCell ref="B3:B12"/>
    <mergeCell ref="C3:C12"/>
    <mergeCell ref="D3:D12"/>
    <mergeCell ref="E3:E12"/>
    <mergeCell ref="F3:F12"/>
    <mergeCell ref="G3:G12"/>
    <mergeCell ref="H3:H12"/>
    <mergeCell ref="I3:I12"/>
    <mergeCell ref="J3:J12"/>
    <mergeCell ref="K3:K12"/>
    <mergeCell ref="L3:L12"/>
  </mergeCells>
  <pageMargins left="0.74803149606299213" right="0.74803149606299213" top="0.74803149606299213" bottom="0.74803149606299213" header="0.31496062992125984" footer="0.31496062992125984"/>
  <pageSetup scale="95" orientation="landscape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tabColor rgb="FF92D050"/>
    <pageSetUpPr fitToPage="1"/>
  </sheetPr>
  <dimension ref="A1:Z48"/>
  <sheetViews>
    <sheetView showGridLines="0" zoomScaleNormal="100" workbookViewId="0"/>
  </sheetViews>
  <sheetFormatPr defaultColWidth="8.5703125" defaultRowHeight="13.5"/>
  <cols>
    <col min="1" max="1" width="2.140625" style="442" customWidth="1"/>
    <col min="2" max="2" width="35.42578125" style="442" customWidth="1"/>
    <col min="3" max="19" width="8" style="529" customWidth="1"/>
    <col min="20" max="21" width="8" style="463" customWidth="1"/>
    <col min="22" max="23" width="8.5703125" style="485"/>
    <col min="24" max="16384" width="8.5703125" style="442"/>
  </cols>
  <sheetData>
    <row r="1" spans="1:26" ht="15">
      <c r="A1" s="441" t="s">
        <v>442</v>
      </c>
    </row>
    <row r="2" spans="1:26" ht="3" customHeight="1"/>
    <row r="3" spans="1:26" ht="12.75" customHeight="1">
      <c r="A3" s="444" t="s">
        <v>1</v>
      </c>
      <c r="B3" s="443"/>
    </row>
    <row r="4" spans="1:26" ht="12" customHeight="1">
      <c r="A4" s="445"/>
      <c r="C4" s="530">
        <f>1</f>
        <v>1</v>
      </c>
      <c r="D4" s="531">
        <f t="shared" ref="D4:M4" si="0">C4+1</f>
        <v>2</v>
      </c>
      <c r="E4" s="530">
        <f t="shared" si="0"/>
        <v>3</v>
      </c>
      <c r="F4" s="531">
        <f t="shared" si="0"/>
        <v>4</v>
      </c>
      <c r="G4" s="530">
        <f t="shared" si="0"/>
        <v>5</v>
      </c>
      <c r="H4" s="531">
        <f t="shared" si="0"/>
        <v>6</v>
      </c>
      <c r="I4" s="530">
        <f t="shared" si="0"/>
        <v>7</v>
      </c>
      <c r="J4" s="531">
        <f t="shared" si="0"/>
        <v>8</v>
      </c>
      <c r="K4" s="530">
        <f t="shared" si="0"/>
        <v>9</v>
      </c>
      <c r="L4" s="531">
        <f t="shared" si="0"/>
        <v>10</v>
      </c>
      <c r="M4" s="530">
        <f t="shared" si="0"/>
        <v>11</v>
      </c>
      <c r="N4" s="531">
        <v>12</v>
      </c>
      <c r="O4" s="530">
        <v>13</v>
      </c>
      <c r="P4" s="531">
        <f>O4+1</f>
        <v>14</v>
      </c>
      <c r="Q4" s="530">
        <v>15</v>
      </c>
      <c r="R4" s="531">
        <v>16</v>
      </c>
      <c r="S4" s="530">
        <v>17</v>
      </c>
      <c r="T4" s="533">
        <v>18</v>
      </c>
      <c r="U4" s="532">
        <v>19</v>
      </c>
    </row>
    <row r="5" spans="1:26" ht="4.5" customHeight="1">
      <c r="A5" s="445"/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</row>
    <row r="6" spans="1:26" ht="12" customHeight="1">
      <c r="A6" s="443"/>
      <c r="B6" s="446"/>
      <c r="C6" s="534" t="s">
        <v>292</v>
      </c>
      <c r="D6" s="535" t="s">
        <v>293</v>
      </c>
      <c r="E6" s="534" t="s">
        <v>294</v>
      </c>
      <c r="F6" s="535" t="s">
        <v>295</v>
      </c>
      <c r="G6" s="534" t="s">
        <v>296</v>
      </c>
      <c r="H6" s="535" t="s">
        <v>297</v>
      </c>
      <c r="I6" s="534" t="s">
        <v>298</v>
      </c>
      <c r="J6" s="535" t="s">
        <v>299</v>
      </c>
      <c r="K6" s="534" t="s">
        <v>300</v>
      </c>
      <c r="L6" s="535" t="s">
        <v>301</v>
      </c>
      <c r="M6" s="534" t="s">
        <v>302</v>
      </c>
      <c r="N6" s="535" t="s">
        <v>2</v>
      </c>
      <c r="O6" s="534" t="s">
        <v>3</v>
      </c>
      <c r="P6" s="535" t="s">
        <v>4</v>
      </c>
      <c r="Q6" s="534" t="s">
        <v>5</v>
      </c>
      <c r="R6" s="535" t="s">
        <v>6</v>
      </c>
      <c r="S6" s="534" t="s">
        <v>291</v>
      </c>
      <c r="T6" s="535" t="s">
        <v>336</v>
      </c>
      <c r="U6" s="534" t="s">
        <v>377</v>
      </c>
    </row>
    <row r="7" spans="1:26" ht="12" customHeight="1">
      <c r="A7" s="447" t="s">
        <v>42</v>
      </c>
      <c r="B7" s="443"/>
      <c r="C7" s="536"/>
      <c r="D7" s="537"/>
      <c r="E7" s="536"/>
      <c r="F7" s="537"/>
      <c r="G7" s="536"/>
      <c r="H7" s="537"/>
      <c r="I7" s="536"/>
      <c r="J7" s="537"/>
      <c r="K7" s="536"/>
      <c r="L7" s="537"/>
      <c r="M7" s="536"/>
      <c r="N7" s="537"/>
      <c r="O7" s="536"/>
      <c r="P7" s="537"/>
      <c r="Q7" s="536" t="s">
        <v>7</v>
      </c>
      <c r="R7" s="537" t="s">
        <v>9</v>
      </c>
      <c r="S7" s="536" t="s">
        <v>10</v>
      </c>
      <c r="T7" s="537" t="s">
        <v>11</v>
      </c>
      <c r="U7" s="536" t="s">
        <v>11</v>
      </c>
    </row>
    <row r="8" spans="1:26" ht="12" customHeight="1">
      <c r="A8" s="443"/>
      <c r="B8" s="448" t="s">
        <v>12</v>
      </c>
      <c r="C8" s="485"/>
      <c r="D8" s="538"/>
      <c r="E8" s="485"/>
      <c r="F8" s="538"/>
      <c r="G8" s="485"/>
      <c r="H8" s="538"/>
      <c r="I8" s="485"/>
      <c r="J8" s="538"/>
      <c r="L8" s="538"/>
      <c r="N8" s="538"/>
      <c r="O8" s="485"/>
      <c r="P8" s="538"/>
      <c r="R8" s="570"/>
      <c r="S8" s="485"/>
      <c r="T8" s="464"/>
    </row>
    <row r="9" spans="1:26" ht="12" customHeight="1">
      <c r="A9" s="449">
        <v>1</v>
      </c>
      <c r="B9" s="450" t="s">
        <v>90</v>
      </c>
      <c r="C9" s="463">
        <v>8708</v>
      </c>
      <c r="D9" s="464">
        <v>7877</v>
      </c>
      <c r="E9" s="463">
        <v>7631</v>
      </c>
      <c r="F9" s="464">
        <v>8563</v>
      </c>
      <c r="G9" s="463">
        <v>9621</v>
      </c>
      <c r="H9" s="464">
        <v>10537</v>
      </c>
      <c r="I9" s="463">
        <v>11042</v>
      </c>
      <c r="J9" s="464">
        <v>11357</v>
      </c>
      <c r="K9" s="463">
        <v>10763</v>
      </c>
      <c r="L9" s="464">
        <v>10775</v>
      </c>
      <c r="M9" s="463">
        <v>11874</v>
      </c>
      <c r="N9" s="464">
        <v>11244</v>
      </c>
      <c r="O9" s="463">
        <v>11257</v>
      </c>
      <c r="P9" s="464">
        <f>13335</f>
        <v>13335</v>
      </c>
      <c r="Q9" s="463">
        <v>13925</v>
      </c>
      <c r="R9" s="464">
        <v>15239</v>
      </c>
      <c r="S9" s="463">
        <v>15604</v>
      </c>
      <c r="T9" s="464">
        <v>16514</v>
      </c>
      <c r="U9" s="463">
        <v>17512</v>
      </c>
      <c r="X9" s="485"/>
      <c r="Y9" s="485"/>
      <c r="Z9" s="485"/>
    </row>
    <row r="10" spans="1:26" ht="12" customHeight="1">
      <c r="A10" s="449">
        <v>2</v>
      </c>
      <c r="B10" s="450" t="s">
        <v>91</v>
      </c>
      <c r="C10" s="463">
        <v>4252</v>
      </c>
      <c r="D10" s="464">
        <v>4754</v>
      </c>
      <c r="E10" s="463">
        <v>3334</v>
      </c>
      <c r="F10" s="464">
        <v>3678</v>
      </c>
      <c r="G10" s="463">
        <v>4756</v>
      </c>
      <c r="H10" s="464">
        <v>5488</v>
      </c>
      <c r="I10" s="463">
        <v>5796</v>
      </c>
      <c r="J10" s="464">
        <v>4195</v>
      </c>
      <c r="K10" s="463">
        <v>3769</v>
      </c>
      <c r="L10" s="464">
        <v>3448</v>
      </c>
      <c r="M10" s="463">
        <v>4871</v>
      </c>
      <c r="N10" s="464">
        <v>4107</v>
      </c>
      <c r="O10" s="463">
        <v>3037</v>
      </c>
      <c r="P10" s="464">
        <f>4718</f>
        <v>4718</v>
      </c>
      <c r="Q10" s="463">
        <v>8167</v>
      </c>
      <c r="R10" s="464">
        <v>7204</v>
      </c>
      <c r="S10" s="463">
        <v>7028</v>
      </c>
      <c r="T10" s="464">
        <v>7052</v>
      </c>
      <c r="U10" s="463">
        <v>7320</v>
      </c>
      <c r="X10" s="485"/>
      <c r="Y10" s="485"/>
      <c r="Z10" s="485"/>
    </row>
    <row r="11" spans="1:26" ht="12" customHeight="1">
      <c r="A11" s="449">
        <v>3</v>
      </c>
      <c r="B11" s="450" t="s">
        <v>303</v>
      </c>
      <c r="C11" s="463">
        <f>1466+2175+176</f>
        <v>3817</v>
      </c>
      <c r="D11" s="464">
        <f>1532+2029+185</f>
        <v>3746</v>
      </c>
      <c r="E11" s="463">
        <f>1589+2040+191</f>
        <v>3820</v>
      </c>
      <c r="F11" s="464">
        <f>1660+2241+198</f>
        <v>4099</v>
      </c>
      <c r="G11" s="463">
        <f>1776+2345+212</f>
        <v>4333</v>
      </c>
      <c r="H11" s="464">
        <f>1860+2439+201</f>
        <v>4500</v>
      </c>
      <c r="I11" s="463">
        <f>1888+2496+214</f>
        <v>4598</v>
      </c>
      <c r="J11" s="464">
        <v>5168</v>
      </c>
      <c r="K11" s="463">
        <v>5649</v>
      </c>
      <c r="L11" s="464">
        <v>6538</v>
      </c>
      <c r="M11" s="463">
        <v>6833</v>
      </c>
      <c r="N11" s="464">
        <v>5747</v>
      </c>
      <c r="O11" s="463">
        <v>5285</v>
      </c>
      <c r="P11" s="464">
        <f>5453</f>
        <v>5453</v>
      </c>
      <c r="Q11" s="463">
        <v>4432</v>
      </c>
      <c r="R11" s="464">
        <v>4470</v>
      </c>
      <c r="S11" s="463">
        <v>6013</v>
      </c>
      <c r="T11" s="464">
        <v>6329</v>
      </c>
      <c r="U11" s="463">
        <v>6535</v>
      </c>
      <c r="X11" s="485"/>
      <c r="Y11" s="485"/>
      <c r="Z11" s="485"/>
    </row>
    <row r="12" spans="1:26" ht="12" customHeight="1">
      <c r="A12" s="449">
        <v>4</v>
      </c>
      <c r="B12" s="450" t="s">
        <v>304</v>
      </c>
      <c r="C12" s="463">
        <v>11915</v>
      </c>
      <c r="D12" s="464">
        <v>6768</v>
      </c>
      <c r="E12" s="463">
        <v>8428</v>
      </c>
      <c r="F12" s="464">
        <v>11636</v>
      </c>
      <c r="G12" s="463">
        <f>7622+157</f>
        <v>7779</v>
      </c>
      <c r="H12" s="464">
        <v>9578</v>
      </c>
      <c r="I12" s="463">
        <v>8948</v>
      </c>
      <c r="J12" s="464">
        <v>2789</v>
      </c>
      <c r="K12" s="463">
        <v>3097</v>
      </c>
      <c r="L12" s="464">
        <v>4980</v>
      </c>
      <c r="M12" s="463">
        <v>5429</v>
      </c>
      <c r="N12" s="464">
        <v>5937</v>
      </c>
      <c r="O12" s="463">
        <v>3091</v>
      </c>
      <c r="P12" s="464">
        <f>16170</f>
        <v>16170</v>
      </c>
      <c r="Q12" s="463">
        <v>25242</v>
      </c>
      <c r="R12" s="464">
        <v>19416</v>
      </c>
      <c r="S12" s="463">
        <v>17315</v>
      </c>
      <c r="T12" s="464">
        <v>17839</v>
      </c>
      <c r="U12" s="463">
        <v>17939</v>
      </c>
      <c r="X12" s="485"/>
      <c r="Y12" s="485"/>
      <c r="Z12" s="485"/>
    </row>
    <row r="13" spans="1:26" ht="12" customHeight="1">
      <c r="A13" s="449">
        <v>5</v>
      </c>
      <c r="B13" s="450" t="s">
        <v>16</v>
      </c>
      <c r="C13" s="463">
        <f>-1917+29</f>
        <v>-1888</v>
      </c>
      <c r="D13" s="464">
        <v>3541</v>
      </c>
      <c r="E13" s="463">
        <v>2486</v>
      </c>
      <c r="F13" s="464">
        <f>2059+109</f>
        <v>2168</v>
      </c>
      <c r="G13" s="463">
        <f>2493-3+105</f>
        <v>2595</v>
      </c>
      <c r="H13" s="464">
        <f>3225+198</f>
        <v>3423</v>
      </c>
      <c r="I13" s="463">
        <v>3113</v>
      </c>
      <c r="J13" s="464">
        <v>2544</v>
      </c>
      <c r="K13" s="463">
        <v>3698</v>
      </c>
      <c r="L13" s="464">
        <v>3126</v>
      </c>
      <c r="M13" s="463">
        <v>2349</v>
      </c>
      <c r="N13" s="464">
        <v>2828</v>
      </c>
      <c r="O13" s="463">
        <v>2643</v>
      </c>
      <c r="P13" s="464">
        <f>3579</f>
        <v>3579</v>
      </c>
      <c r="Q13" s="463">
        <v>1326</v>
      </c>
      <c r="R13" s="464">
        <v>4467</v>
      </c>
      <c r="S13" s="463">
        <v>3267</v>
      </c>
      <c r="T13" s="464">
        <v>3433</v>
      </c>
      <c r="U13" s="463">
        <v>3672</v>
      </c>
      <c r="X13" s="485"/>
      <c r="Y13" s="485"/>
      <c r="Z13" s="485"/>
    </row>
    <row r="14" spans="1:26" ht="12" customHeight="1">
      <c r="A14" s="449">
        <v>6</v>
      </c>
      <c r="B14" s="450" t="s">
        <v>95</v>
      </c>
      <c r="C14" s="463">
        <f>2603+753</f>
        <v>3356</v>
      </c>
      <c r="D14" s="464">
        <f>1914+841+102</f>
        <v>2857</v>
      </c>
      <c r="E14" s="463">
        <f>1986+936</f>
        <v>2922</v>
      </c>
      <c r="F14" s="464">
        <f>1942+989</f>
        <v>2931</v>
      </c>
      <c r="G14" s="463">
        <f>2147+1037</f>
        <v>3184</v>
      </c>
      <c r="H14" s="464">
        <v>3437</v>
      </c>
      <c r="I14" s="463">
        <v>3564</v>
      </c>
      <c r="J14" s="464">
        <v>3574</v>
      </c>
      <c r="K14" s="463">
        <v>3701</v>
      </c>
      <c r="L14" s="464">
        <v>3839</v>
      </c>
      <c r="M14" s="463">
        <v>3911</v>
      </c>
      <c r="N14" s="464">
        <v>3929</v>
      </c>
      <c r="O14" s="463">
        <v>4021</v>
      </c>
      <c r="P14" s="464">
        <f>4520</f>
        <v>4520</v>
      </c>
      <c r="Q14" s="463">
        <v>4657</v>
      </c>
      <c r="R14" s="464">
        <v>5300</v>
      </c>
      <c r="S14" s="463">
        <v>5384</v>
      </c>
      <c r="T14" s="464">
        <v>5551</v>
      </c>
      <c r="U14" s="463">
        <v>5752</v>
      </c>
      <c r="V14" s="539"/>
      <c r="X14" s="485"/>
      <c r="Y14" s="485"/>
      <c r="Z14" s="485"/>
    </row>
    <row r="15" spans="1:26" ht="12" customHeight="1">
      <c r="A15" s="451">
        <v>7</v>
      </c>
      <c r="B15" s="452" t="s">
        <v>305</v>
      </c>
      <c r="C15" s="540">
        <f>3129+2211-753</f>
        <v>4587</v>
      </c>
      <c r="D15" s="541">
        <f>3209+2259-841</f>
        <v>4627</v>
      </c>
      <c r="E15" s="540">
        <f>3502+2337-936</f>
        <v>4903</v>
      </c>
      <c r="F15" s="541">
        <f>3724+2393-989</f>
        <v>5128</v>
      </c>
      <c r="G15" s="540">
        <f>3784+2487-1037</f>
        <v>5234</v>
      </c>
      <c r="H15" s="541">
        <f>2873+2541-2</f>
        <v>5412</v>
      </c>
      <c r="I15" s="540">
        <f>2665+3773</f>
        <v>6438</v>
      </c>
      <c r="J15" s="541">
        <v>5850</v>
      </c>
      <c r="K15" s="540">
        <f>543+3094</f>
        <v>3637</v>
      </c>
      <c r="L15" s="541">
        <v>6983</v>
      </c>
      <c r="M15" s="540">
        <v>6292</v>
      </c>
      <c r="N15" s="541">
        <v>3360</v>
      </c>
      <c r="O15" s="540">
        <v>3272</v>
      </c>
      <c r="P15" s="541">
        <f>8952</f>
        <v>8952</v>
      </c>
      <c r="Q15" s="540">
        <v>7008</v>
      </c>
      <c r="R15" s="541">
        <v>6876</v>
      </c>
      <c r="S15" s="540">
        <v>6287</v>
      </c>
      <c r="T15" s="541">
        <v>6172</v>
      </c>
      <c r="U15" s="540">
        <v>6441</v>
      </c>
      <c r="X15" s="485"/>
      <c r="Y15" s="485"/>
      <c r="Z15" s="485"/>
    </row>
    <row r="16" spans="1:26" ht="12" customHeight="1">
      <c r="A16" s="453">
        <v>8</v>
      </c>
      <c r="B16" s="450" t="s">
        <v>306</v>
      </c>
      <c r="C16" s="463">
        <f t="shared" ref="C16:M16" si="1">SUM(C9:C15)</f>
        <v>34747</v>
      </c>
      <c r="D16" s="464">
        <f t="shared" si="1"/>
        <v>34170</v>
      </c>
      <c r="E16" s="463">
        <f t="shared" si="1"/>
        <v>33524</v>
      </c>
      <c r="F16" s="464">
        <f t="shared" si="1"/>
        <v>38203</v>
      </c>
      <c r="G16" s="463">
        <f t="shared" si="1"/>
        <v>37502</v>
      </c>
      <c r="H16" s="464">
        <f t="shared" si="1"/>
        <v>42375</v>
      </c>
      <c r="I16" s="463">
        <f t="shared" si="1"/>
        <v>43499</v>
      </c>
      <c r="J16" s="464">
        <f t="shared" si="1"/>
        <v>35477</v>
      </c>
      <c r="K16" s="463">
        <f t="shared" si="1"/>
        <v>34314</v>
      </c>
      <c r="L16" s="464">
        <f t="shared" si="1"/>
        <v>39689</v>
      </c>
      <c r="M16" s="463">
        <f t="shared" si="1"/>
        <v>41559</v>
      </c>
      <c r="N16" s="464">
        <f t="shared" ref="N16" si="2">SUM(N9:N15)</f>
        <v>37152</v>
      </c>
      <c r="O16" s="463">
        <f>SUM(O9:O15)-1</f>
        <v>32605</v>
      </c>
      <c r="P16" s="464">
        <f t="shared" ref="P16" si="3">SUM(P9:P15)</f>
        <v>56727</v>
      </c>
      <c r="Q16" s="463">
        <v>64757</v>
      </c>
      <c r="R16" s="464">
        <v>62972</v>
      </c>
      <c r="S16" s="463">
        <v>60897</v>
      </c>
      <c r="T16" s="464">
        <v>62890</v>
      </c>
      <c r="U16" s="463">
        <v>65172</v>
      </c>
      <c r="X16" s="485"/>
      <c r="Y16" s="485"/>
      <c r="Z16" s="485"/>
    </row>
    <row r="17" spans="1:26" ht="12" customHeight="1">
      <c r="A17" s="451">
        <v>9</v>
      </c>
      <c r="B17" s="452" t="s">
        <v>15</v>
      </c>
      <c r="C17" s="540">
        <v>4578</v>
      </c>
      <c r="D17" s="541">
        <v>5342</v>
      </c>
      <c r="E17" s="540">
        <v>5452</v>
      </c>
      <c r="F17" s="541">
        <v>5192</v>
      </c>
      <c r="G17" s="540">
        <v>5042</v>
      </c>
      <c r="H17" s="541">
        <f>5477+1582</f>
        <v>7059</v>
      </c>
      <c r="I17" s="540">
        <v>5982</v>
      </c>
      <c r="J17" s="541">
        <v>7142</v>
      </c>
      <c r="K17" s="540">
        <v>7979</v>
      </c>
      <c r="L17" s="541">
        <v>7606</v>
      </c>
      <c r="M17" s="540">
        <v>8013</v>
      </c>
      <c r="N17" s="541">
        <v>9072</v>
      </c>
      <c r="O17" s="540">
        <v>10532</v>
      </c>
      <c r="P17" s="541">
        <f>11595</f>
        <v>11595</v>
      </c>
      <c r="Q17" s="540">
        <v>11363</v>
      </c>
      <c r="R17" s="541">
        <v>12656</v>
      </c>
      <c r="S17" s="540">
        <v>12640</v>
      </c>
      <c r="T17" s="541">
        <v>13161</v>
      </c>
      <c r="U17" s="540">
        <v>13644</v>
      </c>
      <c r="X17" s="485"/>
      <c r="Y17" s="485"/>
      <c r="Z17" s="485"/>
    </row>
    <row r="18" spans="1:26" s="456" customFormat="1" ht="13.5" customHeight="1">
      <c r="A18" s="454">
        <v>10</v>
      </c>
      <c r="B18" s="455" t="s">
        <v>18</v>
      </c>
      <c r="C18" s="542">
        <f>SUM(C16:C17)</f>
        <v>39325</v>
      </c>
      <c r="D18" s="543">
        <f t="shared" ref="D18:P18" si="4">SUM(D16:D17)</f>
        <v>39512</v>
      </c>
      <c r="E18" s="542">
        <f t="shared" si="4"/>
        <v>38976</v>
      </c>
      <c r="F18" s="543">
        <f t="shared" si="4"/>
        <v>43395</v>
      </c>
      <c r="G18" s="542">
        <f t="shared" si="4"/>
        <v>42544</v>
      </c>
      <c r="H18" s="543">
        <f t="shared" si="4"/>
        <v>49434</v>
      </c>
      <c r="I18" s="542">
        <f t="shared" si="4"/>
        <v>49481</v>
      </c>
      <c r="J18" s="543">
        <f t="shared" si="4"/>
        <v>42619</v>
      </c>
      <c r="K18" s="542">
        <f t="shared" si="4"/>
        <v>42293</v>
      </c>
      <c r="L18" s="543">
        <f t="shared" si="4"/>
        <v>47295</v>
      </c>
      <c r="M18" s="542">
        <f t="shared" si="4"/>
        <v>49572</v>
      </c>
      <c r="N18" s="543">
        <f t="shared" si="4"/>
        <v>46224</v>
      </c>
      <c r="O18" s="542">
        <f t="shared" si="4"/>
        <v>43137</v>
      </c>
      <c r="P18" s="543">
        <f t="shared" si="4"/>
        <v>68322</v>
      </c>
      <c r="Q18" s="542">
        <v>76120</v>
      </c>
      <c r="R18" s="543">
        <v>75628</v>
      </c>
      <c r="S18" s="542">
        <v>73537</v>
      </c>
      <c r="T18" s="543">
        <v>76051</v>
      </c>
      <c r="U18" s="542">
        <v>78816</v>
      </c>
      <c r="V18" s="544"/>
      <c r="W18" s="544"/>
    </row>
    <row r="19" spans="1:26" ht="13.5" customHeight="1">
      <c r="A19" s="449"/>
      <c r="B19" s="448" t="s">
        <v>307</v>
      </c>
      <c r="C19" s="485"/>
      <c r="D19" s="538"/>
      <c r="E19" s="485"/>
      <c r="F19" s="538"/>
      <c r="G19" s="485"/>
      <c r="H19" s="538"/>
      <c r="I19" s="485"/>
      <c r="J19" s="538"/>
      <c r="K19" s="463"/>
      <c r="L19" s="538"/>
      <c r="M19" s="463"/>
      <c r="N19" s="538"/>
      <c r="O19" s="485"/>
      <c r="P19" s="538"/>
      <c r="Q19" s="463"/>
      <c r="R19" s="464"/>
      <c r="S19" s="485"/>
      <c r="T19" s="464"/>
    </row>
    <row r="20" spans="1:26" ht="12" customHeight="1">
      <c r="A20" s="449">
        <v>11</v>
      </c>
      <c r="B20" s="450" t="s">
        <v>100</v>
      </c>
      <c r="C20" s="463">
        <v>13674</v>
      </c>
      <c r="D20" s="464">
        <v>14636</v>
      </c>
      <c r="E20" s="463">
        <v>15393</v>
      </c>
      <c r="F20" s="464">
        <v>16284</v>
      </c>
      <c r="G20" s="463">
        <v>17254</v>
      </c>
      <c r="H20" s="464">
        <v>17967</v>
      </c>
      <c r="I20" s="463">
        <v>19366</v>
      </c>
      <c r="J20" s="464">
        <v>20115</v>
      </c>
      <c r="K20" s="463">
        <v>20687</v>
      </c>
      <c r="L20" s="464">
        <v>21239</v>
      </c>
      <c r="M20" s="463">
        <v>21921</v>
      </c>
      <c r="N20" s="464">
        <v>22408</v>
      </c>
      <c r="O20" s="463">
        <v>23984</v>
      </c>
      <c r="P20" s="464">
        <v>25131</v>
      </c>
      <c r="Q20" s="463">
        <v>25486</v>
      </c>
      <c r="R20" s="464">
        <v>26676</v>
      </c>
      <c r="S20" s="463">
        <v>28732</v>
      </c>
      <c r="T20" s="464">
        <v>29363</v>
      </c>
      <c r="U20" s="463">
        <v>30250</v>
      </c>
      <c r="X20" s="485"/>
      <c r="Y20" s="485"/>
      <c r="Z20" s="485"/>
    </row>
    <row r="21" spans="1:26" ht="12" customHeight="1">
      <c r="A21" s="449">
        <v>12</v>
      </c>
      <c r="B21" s="450" t="s">
        <v>308</v>
      </c>
      <c r="C21" s="463">
        <v>10438</v>
      </c>
      <c r="D21" s="464">
        <f>10967+102-2</f>
        <v>11067</v>
      </c>
      <c r="E21" s="463">
        <v>11362</v>
      </c>
      <c r="F21" s="464">
        <v>11951</v>
      </c>
      <c r="G21" s="463">
        <v>12394</v>
      </c>
      <c r="H21" s="464">
        <v>12782</v>
      </c>
      <c r="I21" s="463">
        <v>13103</v>
      </c>
      <c r="J21" s="464">
        <v>13673</v>
      </c>
      <c r="K21" s="463">
        <v>14110</v>
      </c>
      <c r="L21" s="464">
        <v>14471</v>
      </c>
      <c r="M21" s="463">
        <v>14848</v>
      </c>
      <c r="N21" s="464">
        <v>14971</v>
      </c>
      <c r="O21" s="463">
        <v>14134</v>
      </c>
      <c r="P21" s="464">
        <v>14296</v>
      </c>
      <c r="Q21" s="463">
        <v>15220</v>
      </c>
      <c r="R21" s="464">
        <v>16005</v>
      </c>
      <c r="S21" s="463">
        <v>16957</v>
      </c>
      <c r="T21" s="464">
        <v>17338</v>
      </c>
      <c r="U21" s="463">
        <v>17538</v>
      </c>
      <c r="X21" s="485"/>
      <c r="Y21" s="485"/>
      <c r="Z21" s="485"/>
    </row>
    <row r="22" spans="1:26" ht="12" customHeight="1">
      <c r="A22" s="449">
        <v>13</v>
      </c>
      <c r="B22" s="450" t="s">
        <v>309</v>
      </c>
      <c r="C22" s="463">
        <v>3417</v>
      </c>
      <c r="D22" s="464">
        <v>3807</v>
      </c>
      <c r="E22" s="463">
        <f>4014+174-59</f>
        <v>4129</v>
      </c>
      <c r="F22" s="464">
        <f>4164+170-56</f>
        <v>4278</v>
      </c>
      <c r="G22" s="463">
        <v>4641</v>
      </c>
      <c r="H22" s="464">
        <v>4668</v>
      </c>
      <c r="I22" s="463">
        <v>4548</v>
      </c>
      <c r="J22" s="464">
        <v>4752</v>
      </c>
      <c r="K22" s="463">
        <v>5198</v>
      </c>
      <c r="L22" s="464">
        <v>5592</v>
      </c>
      <c r="M22" s="463">
        <v>5867</v>
      </c>
      <c r="N22" s="464">
        <v>6203</v>
      </c>
      <c r="O22" s="463">
        <v>5919</v>
      </c>
      <c r="P22" s="464">
        <v>5989</v>
      </c>
      <c r="Q22" s="463">
        <v>7222</v>
      </c>
      <c r="R22" s="464">
        <v>8236</v>
      </c>
      <c r="S22" s="463">
        <v>8121</v>
      </c>
      <c r="T22" s="464">
        <v>8424</v>
      </c>
      <c r="U22" s="463">
        <v>8591</v>
      </c>
      <c r="X22" s="485"/>
      <c r="Y22" s="485"/>
      <c r="Z22" s="485"/>
    </row>
    <row r="23" spans="1:26" ht="12" customHeight="1">
      <c r="A23" s="451">
        <v>14</v>
      </c>
      <c r="B23" s="452" t="s">
        <v>310</v>
      </c>
      <c r="C23" s="540">
        <f>37915-C20-C21-C22</f>
        <v>10386</v>
      </c>
      <c r="D23" s="541">
        <f>39344-D20-D21-D22</f>
        <v>9834</v>
      </c>
      <c r="E23" s="540">
        <f>40327-E20-E21-E22</f>
        <v>9443</v>
      </c>
      <c r="F23" s="541">
        <f>42366-F20-F21-F22</f>
        <v>9853</v>
      </c>
      <c r="G23" s="540">
        <f>44817-G20-G21-G22</f>
        <v>10528</v>
      </c>
      <c r="H23" s="541">
        <f>48387-H20-H21-H22</f>
        <v>12970</v>
      </c>
      <c r="I23" s="540">
        <f>48048-I20-I21-I22</f>
        <v>11031</v>
      </c>
      <c r="J23" s="541">
        <f>48915-J20-J21-J22</f>
        <v>10375</v>
      </c>
      <c r="K23" s="540">
        <f>52602-K20-K21-K22</f>
        <v>12607</v>
      </c>
      <c r="L23" s="541">
        <f>54491-L20-L21-L22</f>
        <v>13189</v>
      </c>
      <c r="M23" s="540">
        <f>54502-M20-M21-M22</f>
        <v>11866</v>
      </c>
      <c r="N23" s="541">
        <f>56475-N20-N21-N22</f>
        <v>12893</v>
      </c>
      <c r="O23" s="540">
        <f>57895-O20-O21-O22</f>
        <v>13858</v>
      </c>
      <c r="P23" s="541">
        <v>16686</v>
      </c>
      <c r="Q23" s="540">
        <v>13743</v>
      </c>
      <c r="R23" s="541">
        <v>16699</v>
      </c>
      <c r="S23" s="540">
        <v>16359</v>
      </c>
      <c r="T23" s="541">
        <v>16741</v>
      </c>
      <c r="U23" s="540">
        <v>17001</v>
      </c>
      <c r="X23" s="485"/>
      <c r="Y23" s="485"/>
      <c r="Z23" s="485"/>
    </row>
    <row r="24" spans="1:26" ht="12" customHeight="1">
      <c r="A24" s="453">
        <v>15</v>
      </c>
      <c r="B24" s="450" t="s">
        <v>311</v>
      </c>
      <c r="C24" s="463">
        <f t="shared" ref="C24:M24" si="5">C27-C26-C25</f>
        <v>37915</v>
      </c>
      <c r="D24" s="464">
        <f t="shared" si="5"/>
        <v>39344</v>
      </c>
      <c r="E24" s="463">
        <f t="shared" si="5"/>
        <v>40327</v>
      </c>
      <c r="F24" s="464">
        <f t="shared" si="5"/>
        <v>42366</v>
      </c>
      <c r="G24" s="463">
        <f t="shared" si="5"/>
        <v>44817</v>
      </c>
      <c r="H24" s="464">
        <f t="shared" si="5"/>
        <v>48387</v>
      </c>
      <c r="I24" s="463">
        <f t="shared" si="5"/>
        <v>48048</v>
      </c>
      <c r="J24" s="464">
        <f t="shared" si="5"/>
        <v>48915</v>
      </c>
      <c r="K24" s="463">
        <f t="shared" si="5"/>
        <v>52602</v>
      </c>
      <c r="L24" s="464">
        <f t="shared" si="5"/>
        <v>54491</v>
      </c>
      <c r="M24" s="463">
        <f t="shared" si="5"/>
        <v>54502</v>
      </c>
      <c r="N24" s="464">
        <f>N27-N26-N25</f>
        <v>56475</v>
      </c>
      <c r="O24" s="463">
        <f t="shared" ref="O24" si="6">O27-O26-O25</f>
        <v>57895</v>
      </c>
      <c r="P24" s="464">
        <v>62102</v>
      </c>
      <c r="Q24" s="463">
        <v>61671</v>
      </c>
      <c r="R24" s="464">
        <v>67616</v>
      </c>
      <c r="S24" s="463">
        <v>70169</v>
      </c>
      <c r="T24" s="464">
        <v>71866</v>
      </c>
      <c r="U24" s="463">
        <v>73380</v>
      </c>
      <c r="X24" s="485"/>
      <c r="Y24" s="485"/>
      <c r="Z24" s="485"/>
    </row>
    <row r="25" spans="1:26" ht="12" customHeight="1">
      <c r="A25" s="449">
        <v>16</v>
      </c>
      <c r="B25" s="450" t="s">
        <v>312</v>
      </c>
      <c r="C25" s="463">
        <v>208</v>
      </c>
      <c r="D25" s="464">
        <v>214</v>
      </c>
      <c r="E25" s="463">
        <v>472</v>
      </c>
      <c r="F25" s="464">
        <v>509</v>
      </c>
      <c r="G25" s="463">
        <v>530</v>
      </c>
      <c r="H25" s="464">
        <v>601</v>
      </c>
      <c r="I25" s="463">
        <f>370+352</f>
        <v>722</v>
      </c>
      <c r="J25" s="464">
        <f>323+452+1</f>
        <v>776</v>
      </c>
      <c r="K25" s="463">
        <v>1018</v>
      </c>
      <c r="L25" s="464">
        <v>1420</v>
      </c>
      <c r="M25" s="463">
        <v>1971</v>
      </c>
      <c r="N25" s="464">
        <v>2235</v>
      </c>
      <c r="O25" s="463">
        <v>2486</v>
      </c>
      <c r="P25" s="464">
        <v>2641</v>
      </c>
      <c r="Q25" s="463">
        <v>2829</v>
      </c>
      <c r="R25" s="464">
        <v>3136</v>
      </c>
      <c r="S25" s="463">
        <v>3365</v>
      </c>
      <c r="T25" s="464">
        <v>3121</v>
      </c>
      <c r="U25" s="463">
        <v>3174</v>
      </c>
      <c r="X25" s="485"/>
      <c r="Y25" s="485"/>
      <c r="Z25" s="485"/>
    </row>
    <row r="26" spans="1:26" ht="12" customHeight="1">
      <c r="A26" s="449">
        <f>A25+1</f>
        <v>17</v>
      </c>
      <c r="B26" s="452" t="s">
        <v>23</v>
      </c>
      <c r="C26" s="540">
        <v>2133</v>
      </c>
      <c r="D26" s="541">
        <f>428+2</f>
        <v>430</v>
      </c>
      <c r="E26" s="540">
        <v>439</v>
      </c>
      <c r="F26" s="541">
        <v>634</v>
      </c>
      <c r="G26" s="540">
        <v>296</v>
      </c>
      <c r="H26" s="541">
        <v>748</v>
      </c>
      <c r="I26" s="540">
        <v>-404</v>
      </c>
      <c r="J26" s="541">
        <v>-630</v>
      </c>
      <c r="K26" s="540">
        <v>-543</v>
      </c>
      <c r="L26" s="541">
        <v>-593</v>
      </c>
      <c r="M26" s="540">
        <v>-190</v>
      </c>
      <c r="N26" s="541">
        <v>-334</v>
      </c>
      <c r="O26" s="540">
        <v>-282</v>
      </c>
      <c r="P26" s="464">
        <v>-365</v>
      </c>
      <c r="Q26" s="463">
        <v>-21</v>
      </c>
      <c r="R26" s="464">
        <v>-358</v>
      </c>
      <c r="S26" s="463">
        <v>-364</v>
      </c>
      <c r="T26" s="464">
        <v>-373</v>
      </c>
      <c r="U26" s="463">
        <v>-378</v>
      </c>
      <c r="X26" s="485"/>
      <c r="Y26" s="485"/>
      <c r="Z26" s="485"/>
    </row>
    <row r="27" spans="1:26" ht="13.5" customHeight="1">
      <c r="A27" s="454">
        <f>A26+1</f>
        <v>18</v>
      </c>
      <c r="B27" s="455" t="s">
        <v>24</v>
      </c>
      <c r="C27" s="542">
        <v>40256</v>
      </c>
      <c r="D27" s="543">
        <v>39988</v>
      </c>
      <c r="E27" s="542">
        <f>41064+174</f>
        <v>41238</v>
      </c>
      <c r="F27" s="543">
        <f>43339+170</f>
        <v>43509</v>
      </c>
      <c r="G27" s="542">
        <v>45643</v>
      </c>
      <c r="H27" s="543">
        <v>49736</v>
      </c>
      <c r="I27" s="542">
        <v>48366</v>
      </c>
      <c r="J27" s="543">
        <v>49061</v>
      </c>
      <c r="K27" s="542">
        <v>53077</v>
      </c>
      <c r="L27" s="543">
        <v>55318</v>
      </c>
      <c r="M27" s="542">
        <v>56283</v>
      </c>
      <c r="N27" s="543">
        <v>58376</v>
      </c>
      <c r="O27" s="542">
        <v>60099</v>
      </c>
      <c r="P27" s="543">
        <f>64378</f>
        <v>64378</v>
      </c>
      <c r="Q27" s="542">
        <v>64479</v>
      </c>
      <c r="R27" s="543">
        <v>70394</v>
      </c>
      <c r="S27" s="542">
        <v>73170</v>
      </c>
      <c r="T27" s="543">
        <v>74614</v>
      </c>
      <c r="U27" s="542">
        <v>76176</v>
      </c>
      <c r="X27" s="485"/>
      <c r="Y27" s="485"/>
      <c r="Z27" s="485"/>
    </row>
    <row r="28" spans="1:26" s="456" customFormat="1" ht="13.5" customHeight="1" thickBot="1">
      <c r="A28" s="457">
        <f>A27+1</f>
        <v>19</v>
      </c>
      <c r="B28" s="458" t="s">
        <v>37</v>
      </c>
      <c r="C28" s="545">
        <f t="shared" ref="C28:P28" si="7">C18-C27</f>
        <v>-931</v>
      </c>
      <c r="D28" s="546">
        <f t="shared" si="7"/>
        <v>-476</v>
      </c>
      <c r="E28" s="545">
        <f t="shared" si="7"/>
        <v>-2262</v>
      </c>
      <c r="F28" s="546">
        <f t="shared" si="7"/>
        <v>-114</v>
      </c>
      <c r="G28" s="545">
        <f t="shared" si="7"/>
        <v>-3099</v>
      </c>
      <c r="H28" s="546">
        <f t="shared" si="7"/>
        <v>-302</v>
      </c>
      <c r="I28" s="545">
        <f t="shared" si="7"/>
        <v>1115</v>
      </c>
      <c r="J28" s="546">
        <f t="shared" si="7"/>
        <v>-6442</v>
      </c>
      <c r="K28" s="545">
        <f t="shared" si="7"/>
        <v>-10784</v>
      </c>
      <c r="L28" s="546">
        <f t="shared" si="7"/>
        <v>-8023</v>
      </c>
      <c r="M28" s="545">
        <f t="shared" si="7"/>
        <v>-6711</v>
      </c>
      <c r="N28" s="546">
        <f t="shared" si="7"/>
        <v>-12152</v>
      </c>
      <c r="O28" s="545">
        <f t="shared" si="7"/>
        <v>-16962</v>
      </c>
      <c r="P28" s="546">
        <f t="shared" si="7"/>
        <v>3944</v>
      </c>
      <c r="Q28" s="545">
        <v>11641</v>
      </c>
      <c r="R28" s="546">
        <v>5234</v>
      </c>
      <c r="S28" s="545">
        <v>367</v>
      </c>
      <c r="T28" s="546">
        <v>1437</v>
      </c>
      <c r="U28" s="545">
        <v>2640</v>
      </c>
      <c r="V28" s="544"/>
      <c r="W28" s="544"/>
    </row>
    <row r="29" spans="1:26" s="461" customFormat="1" ht="14.25" customHeight="1" thickBot="1">
      <c r="A29" s="459" t="s">
        <v>313</v>
      </c>
      <c r="B29" s="460"/>
      <c r="C29" s="547">
        <v>7943</v>
      </c>
      <c r="D29" s="548">
        <v>8000</v>
      </c>
      <c r="E29" s="547">
        <v>7544</v>
      </c>
      <c r="F29" s="548">
        <v>6884</v>
      </c>
      <c r="G29" s="547">
        <v>6062</v>
      </c>
      <c r="H29" s="548">
        <v>5770</v>
      </c>
      <c r="I29" s="547">
        <v>6181</v>
      </c>
      <c r="J29" s="548">
        <v>6558</v>
      </c>
      <c r="K29" s="547">
        <v>6578</v>
      </c>
      <c r="L29" s="548">
        <v>9021</v>
      </c>
      <c r="M29" s="547">
        <v>6057</v>
      </c>
      <c r="N29" s="548">
        <v>5545</v>
      </c>
      <c r="O29" s="547">
        <v>6896</v>
      </c>
      <c r="P29" s="548">
        <f>6622</f>
        <v>6622</v>
      </c>
      <c r="Q29" s="547">
        <v>5633</v>
      </c>
      <c r="R29" s="548">
        <v>7077</v>
      </c>
      <c r="S29" s="547">
        <v>8299</v>
      </c>
      <c r="T29" s="548">
        <v>8376</v>
      </c>
      <c r="U29" s="547">
        <v>8363</v>
      </c>
      <c r="V29" s="549"/>
      <c r="W29" s="485"/>
      <c r="X29" s="485"/>
      <c r="Y29" s="485"/>
      <c r="Z29" s="485"/>
    </row>
    <row r="30" spans="1:26" ht="18" customHeight="1">
      <c r="A30" s="462" t="s">
        <v>314</v>
      </c>
      <c r="B30" s="450"/>
      <c r="C30" s="485"/>
      <c r="D30" s="485"/>
      <c r="E30" s="485"/>
      <c r="F30" s="485"/>
      <c r="G30" s="485"/>
      <c r="H30" s="485"/>
      <c r="I30" s="485"/>
      <c r="J30" s="485"/>
      <c r="K30" s="463"/>
      <c r="L30" s="485"/>
      <c r="M30" s="463"/>
      <c r="N30" s="485"/>
      <c r="O30" s="485"/>
      <c r="P30" s="485"/>
      <c r="Q30" s="463"/>
      <c r="R30" s="464"/>
      <c r="S30" s="485"/>
      <c r="T30" s="464"/>
    </row>
    <row r="31" spans="1:26" ht="12" customHeight="1">
      <c r="A31" s="449">
        <f>A28+1</f>
        <v>20</v>
      </c>
      <c r="B31" s="450" t="s">
        <v>315</v>
      </c>
      <c r="C31" s="463">
        <f>13838+3062</f>
        <v>16900</v>
      </c>
      <c r="D31" s="464">
        <f>13838+3239</f>
        <v>17077</v>
      </c>
      <c r="E31" s="463">
        <f>14198+3302</f>
        <v>17500</v>
      </c>
      <c r="F31" s="464">
        <f>14652+3284</f>
        <v>17936</v>
      </c>
      <c r="G31" s="463">
        <f>14813+3363</f>
        <v>18176</v>
      </c>
      <c r="H31" s="464">
        <f>15006+3556</f>
        <v>18562</v>
      </c>
      <c r="I31" s="463">
        <f>18859+1</f>
        <v>18860</v>
      </c>
      <c r="J31" s="464">
        <v>19262</v>
      </c>
      <c r="K31" s="463">
        <v>19836</v>
      </c>
      <c r="L31" s="464">
        <v>20306</v>
      </c>
      <c r="M31" s="463">
        <v>20700</v>
      </c>
      <c r="N31" s="464">
        <v>20670</v>
      </c>
      <c r="O31" s="463">
        <v>21090</v>
      </c>
      <c r="P31" s="464">
        <f>22176</f>
        <v>22176</v>
      </c>
      <c r="Q31" s="463">
        <v>23920</v>
      </c>
      <c r="R31" s="464">
        <v>25998</v>
      </c>
      <c r="S31" s="463">
        <v>29158</v>
      </c>
      <c r="T31" s="464">
        <v>30692</v>
      </c>
      <c r="U31" s="463">
        <v>32536</v>
      </c>
      <c r="X31" s="485"/>
      <c r="Y31" s="485"/>
      <c r="Z31" s="485"/>
    </row>
    <row r="32" spans="1:26" ht="12" customHeight="1">
      <c r="A32" s="449">
        <f>A31+1</f>
        <v>21</v>
      </c>
      <c r="B32" s="450" t="s">
        <v>316</v>
      </c>
      <c r="C32" s="463">
        <v>16822</v>
      </c>
      <c r="D32" s="464">
        <v>14983</v>
      </c>
      <c r="E32" s="463">
        <v>11192</v>
      </c>
      <c r="F32" s="464">
        <v>7497</v>
      </c>
      <c r="G32" s="463">
        <v>3326</v>
      </c>
      <c r="H32" s="464">
        <v>4658</v>
      </c>
      <c r="I32" s="463">
        <v>6529</v>
      </c>
      <c r="J32" s="464">
        <v>3625</v>
      </c>
      <c r="K32" s="463">
        <v>2299</v>
      </c>
      <c r="L32" s="464">
        <v>1661</v>
      </c>
      <c r="M32" s="463">
        <v>6342</v>
      </c>
      <c r="N32" s="464">
        <v>0</v>
      </c>
      <c r="O32" s="463">
        <v>0</v>
      </c>
      <c r="P32" s="464">
        <f>0</f>
        <v>0</v>
      </c>
      <c r="Q32" s="463">
        <v>0</v>
      </c>
      <c r="R32" s="464">
        <v>0</v>
      </c>
      <c r="S32" s="463">
        <v>0</v>
      </c>
      <c r="T32" s="464">
        <v>0</v>
      </c>
      <c r="U32" s="463">
        <v>0</v>
      </c>
      <c r="X32" s="485"/>
      <c r="Y32" s="485"/>
      <c r="Z32" s="485"/>
    </row>
    <row r="33" spans="1:26" ht="12" customHeight="1">
      <c r="A33" s="449">
        <f t="shared" ref="A33:A40" si="8">A32+1</f>
        <v>22</v>
      </c>
      <c r="B33" s="452" t="s">
        <v>317</v>
      </c>
      <c r="C33" s="540">
        <f>62590-C31-C32</f>
        <v>28868</v>
      </c>
      <c r="D33" s="541">
        <f>62398-D31-D32</f>
        <v>30338</v>
      </c>
      <c r="E33" s="540">
        <f>59491-E31-E32</f>
        <v>30799</v>
      </c>
      <c r="F33" s="541">
        <f>58405-F31-F32</f>
        <v>32972</v>
      </c>
      <c r="G33" s="540">
        <f>56236-G31-G32</f>
        <v>34734</v>
      </c>
      <c r="H33" s="541">
        <f>63259-H31-H32</f>
        <v>40039</v>
      </c>
      <c r="I33" s="540">
        <f>66077-I31-I32</f>
        <v>40688</v>
      </c>
      <c r="J33" s="541">
        <f>63877-J31-J32</f>
        <v>40990</v>
      </c>
      <c r="K33" s="540">
        <f>66287-K31-K32</f>
        <v>44152</v>
      </c>
      <c r="L33" s="541">
        <f>70977-L31-L32</f>
        <v>49010</v>
      </c>
      <c r="M33" s="540">
        <f>75743-M31-M32</f>
        <v>48701</v>
      </c>
      <c r="N33" s="541">
        <f>76381-N31</f>
        <v>55711</v>
      </c>
      <c r="O33" s="540">
        <f>78086-O31</f>
        <v>56996</v>
      </c>
      <c r="P33" s="541">
        <f>78126-P31-P32</f>
        <v>55950</v>
      </c>
      <c r="Q33" s="540">
        <v>55570</v>
      </c>
      <c r="R33" s="541">
        <v>64104</v>
      </c>
      <c r="S33" s="540">
        <v>67493</v>
      </c>
      <c r="T33" s="541">
        <v>59166</v>
      </c>
      <c r="U33" s="540">
        <v>60569</v>
      </c>
      <c r="X33" s="485"/>
      <c r="Y33" s="485"/>
      <c r="Z33" s="485"/>
    </row>
    <row r="34" spans="1:26" ht="12" customHeight="1">
      <c r="A34" s="449">
        <f t="shared" si="8"/>
        <v>23</v>
      </c>
      <c r="B34" s="450" t="s">
        <v>318</v>
      </c>
      <c r="C34" s="463">
        <v>-880</v>
      </c>
      <c r="D34" s="464">
        <v>-2888</v>
      </c>
      <c r="E34" s="463">
        <v>-3199</v>
      </c>
      <c r="F34" s="464">
        <v>-3442</v>
      </c>
      <c r="G34" s="463">
        <f>-2171-2423</f>
        <v>-4594</v>
      </c>
      <c r="H34" s="464">
        <f>-2470-6254</f>
        <v>-8724</v>
      </c>
      <c r="I34" s="463">
        <v>-11922</v>
      </c>
      <c r="J34" s="464">
        <v>-19040</v>
      </c>
      <c r="K34" s="463">
        <v>-23769</v>
      </c>
      <c r="L34" s="464">
        <v>-29339</v>
      </c>
      <c r="M34" s="463">
        <v>-33597</v>
      </c>
      <c r="N34" s="464">
        <v>-37188</v>
      </c>
      <c r="O34" s="463">
        <v>-42733</v>
      </c>
      <c r="P34" s="464">
        <f>-47529</f>
        <v>-47529</v>
      </c>
      <c r="Q34" s="463">
        <v>-45525</v>
      </c>
      <c r="R34" s="464">
        <v>-45512</v>
      </c>
      <c r="S34" s="463">
        <v>-47818</v>
      </c>
      <c r="T34" s="464">
        <v>-50411</v>
      </c>
      <c r="U34" s="463">
        <v>-52430</v>
      </c>
      <c r="X34" s="485"/>
      <c r="Y34" s="485"/>
      <c r="Z34" s="485"/>
    </row>
    <row r="35" spans="1:26" ht="12" customHeight="1">
      <c r="A35" s="449">
        <f t="shared" si="8"/>
        <v>24</v>
      </c>
      <c r="B35" s="450" t="s">
        <v>359</v>
      </c>
      <c r="C35" s="463">
        <f>-1086-74</f>
        <v>-1160</v>
      </c>
      <c r="D35" s="464">
        <f>-1187-73-1019</f>
        <v>-2279</v>
      </c>
      <c r="E35" s="463">
        <f>-1187-71-757</f>
        <v>-2015</v>
      </c>
      <c r="F35" s="464">
        <f>-1187-69-420</f>
        <v>-1676</v>
      </c>
      <c r="G35" s="463">
        <f>-1187-67-172</f>
        <v>-1426</v>
      </c>
      <c r="H35" s="464">
        <f>-1187-65-81</f>
        <v>-1333</v>
      </c>
      <c r="I35" s="463">
        <f>-943-62-48</f>
        <v>-1053</v>
      </c>
      <c r="J35" s="464">
        <f>-944-59-21</f>
        <v>-1024</v>
      </c>
      <c r="K35" s="463">
        <f>-9529-59-1163</f>
        <v>-10751</v>
      </c>
      <c r="L35" s="464">
        <f>-14023-55-5149</f>
        <v>-19227</v>
      </c>
      <c r="M35" s="463">
        <v>-29060</v>
      </c>
      <c r="N35" s="464">
        <v>-36954</v>
      </c>
      <c r="O35" s="463">
        <v>-50303</v>
      </c>
      <c r="P35" s="464">
        <f>-45595</f>
        <v>-45595</v>
      </c>
      <c r="Q35" s="463">
        <v>-33763</v>
      </c>
      <c r="R35" s="464">
        <v>-30554</v>
      </c>
      <c r="S35" s="463">
        <v>-30560</v>
      </c>
      <c r="T35" s="464">
        <v>-30566</v>
      </c>
      <c r="U35" s="463">
        <v>-30573</v>
      </c>
      <c r="X35" s="485"/>
      <c r="Y35" s="485"/>
      <c r="Z35" s="485"/>
    </row>
    <row r="36" spans="1:26" ht="12" customHeight="1">
      <c r="A36" s="449">
        <f>A35+1</f>
        <v>25</v>
      </c>
      <c r="B36" s="450" t="s">
        <v>319</v>
      </c>
      <c r="C36" s="463">
        <f>-6812-1109</f>
        <v>-7921</v>
      </c>
      <c r="D36" s="464">
        <f>-8100-1200</f>
        <v>-9300</v>
      </c>
      <c r="E36" s="463">
        <f>-9660-1350</f>
        <v>-11010</v>
      </c>
      <c r="F36" s="464">
        <f>-11045-1662</f>
        <v>-12707</v>
      </c>
      <c r="G36" s="463">
        <f>-12325-1791</f>
        <v>-14116</v>
      </c>
      <c r="H36" s="464">
        <f>-13848-1927</f>
        <v>-15775</v>
      </c>
      <c r="I36" s="463">
        <f>-14585-2007</f>
        <v>-16592</v>
      </c>
      <c r="J36" s="464">
        <f>-15243-2130</f>
        <v>-17373</v>
      </c>
      <c r="K36" s="463">
        <f>-15460-2190-172</f>
        <v>-17822</v>
      </c>
      <c r="L36" s="464">
        <f>-15645-2203</f>
        <v>-17848</v>
      </c>
      <c r="M36" s="463">
        <f>-15902-2232</f>
        <v>-18134</v>
      </c>
      <c r="N36" s="464">
        <v>-18066</v>
      </c>
      <c r="O36" s="463">
        <v>-18389</v>
      </c>
      <c r="P36" s="464">
        <f>-17028</f>
        <v>-17028</v>
      </c>
      <c r="Q36" s="463">
        <v>-17596</v>
      </c>
      <c r="R36" s="464">
        <v>-17915</v>
      </c>
      <c r="S36" s="463">
        <v>-17966</v>
      </c>
      <c r="T36" s="464">
        <v>-18102</v>
      </c>
      <c r="U36" s="463">
        <v>-18055</v>
      </c>
      <c r="X36" s="485"/>
      <c r="Y36" s="485"/>
      <c r="Z36" s="485"/>
    </row>
    <row r="37" spans="1:26" ht="12.75" customHeight="1">
      <c r="A37" s="449">
        <f>A36+1</f>
        <v>26</v>
      </c>
      <c r="B37" s="465" t="s">
        <v>324</v>
      </c>
      <c r="C37" s="466">
        <f>SUM(C34:C36)</f>
        <v>-9961</v>
      </c>
      <c r="D37" s="467">
        <f t="shared" ref="D37:O37" si="9">SUM(D34:D36)</f>
        <v>-14467</v>
      </c>
      <c r="E37" s="466">
        <f t="shared" si="9"/>
        <v>-16224</v>
      </c>
      <c r="F37" s="467">
        <f t="shared" si="9"/>
        <v>-17825</v>
      </c>
      <c r="G37" s="466">
        <f t="shared" si="9"/>
        <v>-20136</v>
      </c>
      <c r="H37" s="467">
        <f t="shared" si="9"/>
        <v>-25832</v>
      </c>
      <c r="I37" s="466">
        <f t="shared" si="9"/>
        <v>-29567</v>
      </c>
      <c r="J37" s="467">
        <f t="shared" si="9"/>
        <v>-37437</v>
      </c>
      <c r="K37" s="466">
        <f t="shared" si="9"/>
        <v>-52342</v>
      </c>
      <c r="L37" s="467">
        <f t="shared" si="9"/>
        <v>-66414</v>
      </c>
      <c r="M37" s="466">
        <f t="shared" si="9"/>
        <v>-80791</v>
      </c>
      <c r="N37" s="467">
        <f t="shared" si="9"/>
        <v>-92208</v>
      </c>
      <c r="O37" s="466">
        <f t="shared" si="9"/>
        <v>-111425</v>
      </c>
      <c r="P37" s="467">
        <f>SUM(P34:P36)</f>
        <v>-110152</v>
      </c>
      <c r="Q37" s="466">
        <v>-96884</v>
      </c>
      <c r="R37" s="467">
        <v>-93981</v>
      </c>
      <c r="S37" s="466">
        <v>-96344</v>
      </c>
      <c r="T37" s="467">
        <v>-99079</v>
      </c>
      <c r="U37" s="466">
        <v>-101058</v>
      </c>
    </row>
    <row r="38" spans="1:26" ht="12" customHeight="1">
      <c r="A38" s="449">
        <f>A37+1</f>
        <v>27</v>
      </c>
      <c r="B38" s="450" t="s">
        <v>81</v>
      </c>
      <c r="C38" s="463">
        <v>-10239</v>
      </c>
      <c r="D38" s="464">
        <f>-9481-2</f>
        <v>-9483</v>
      </c>
      <c r="E38" s="463">
        <v>-9922</v>
      </c>
      <c r="F38" s="464">
        <v>-10556</v>
      </c>
      <c r="G38" s="463">
        <v>-10852</v>
      </c>
      <c r="H38" s="464">
        <v>-11600</v>
      </c>
      <c r="I38" s="463">
        <v>-11196</v>
      </c>
      <c r="J38" s="464">
        <v>-10566</v>
      </c>
      <c r="K38" s="463">
        <v>-10023</v>
      </c>
      <c r="L38" s="464">
        <v>-9430</v>
      </c>
      <c r="M38" s="463">
        <v>-9240</v>
      </c>
      <c r="N38" s="464">
        <v>-8918</v>
      </c>
      <c r="O38" s="463">
        <v>-8636</v>
      </c>
      <c r="P38" s="464">
        <f>-8287</f>
        <v>-8287</v>
      </c>
      <c r="Q38" s="463">
        <v>-8272</v>
      </c>
      <c r="R38" s="464">
        <v>-7914</v>
      </c>
      <c r="S38" s="463">
        <v>-7550</v>
      </c>
      <c r="T38" s="464">
        <v>-7177</v>
      </c>
      <c r="U38" s="463">
        <v>-6799</v>
      </c>
    </row>
    <row r="39" spans="1:26" ht="12" customHeight="1">
      <c r="A39" s="449">
        <f t="shared" si="8"/>
        <v>28</v>
      </c>
      <c r="B39" s="452" t="s">
        <v>320</v>
      </c>
      <c r="C39" s="540">
        <f>-30889-C37-C38</f>
        <v>-10689</v>
      </c>
      <c r="D39" s="541">
        <f>-35081-D37-D38</f>
        <v>-11131</v>
      </c>
      <c r="E39" s="540">
        <f>-37838-E37-E38</f>
        <v>-11692</v>
      </c>
      <c r="F39" s="541">
        <f>-39414-F37-F38</f>
        <v>-11033</v>
      </c>
      <c r="G39" s="540">
        <f>-41781-G37-G38</f>
        <v>-10793</v>
      </c>
      <c r="H39" s="541">
        <f>-50227-H37-H38</f>
        <v>-12795</v>
      </c>
      <c r="I39" s="540">
        <f>-53023-I37-I38</f>
        <v>-12260</v>
      </c>
      <c r="J39" s="541">
        <f>-59958-J37-J38</f>
        <v>-11955</v>
      </c>
      <c r="K39" s="540">
        <f>-75188-K37-K38</f>
        <v>-12823</v>
      </c>
      <c r="L39" s="541">
        <f>-90321-L37-L38</f>
        <v>-14477</v>
      </c>
      <c r="M39" s="540">
        <f>-103220-M37-M38</f>
        <v>-13189</v>
      </c>
      <c r="N39" s="541">
        <f>-116525-N37-N38</f>
        <v>-15399</v>
      </c>
      <c r="O39" s="540">
        <f>-137614-O37-O38</f>
        <v>-17553</v>
      </c>
      <c r="P39" s="541">
        <v>18680</v>
      </c>
      <c r="Q39" s="540">
        <v>-19948</v>
      </c>
      <c r="R39" s="541">
        <v>-29106</v>
      </c>
      <c r="S39" s="540">
        <v>-34373</v>
      </c>
      <c r="T39" s="541">
        <v>-24800</v>
      </c>
      <c r="U39" s="540">
        <v>-24468</v>
      </c>
    </row>
    <row r="40" spans="1:26" ht="13.5" customHeight="1">
      <c r="A40" s="449">
        <f t="shared" si="8"/>
        <v>29</v>
      </c>
      <c r="B40" s="468" t="s">
        <v>321</v>
      </c>
      <c r="C40" s="466">
        <f>SUM(C31:C36)+C38+C39</f>
        <v>31701</v>
      </c>
      <c r="D40" s="467">
        <f t="shared" ref="D40:O40" si="10">SUM(D31:D36)+D38+D39</f>
        <v>27317</v>
      </c>
      <c r="E40" s="466">
        <f>SUM(E31:E36)+E38+E39</f>
        <v>21653</v>
      </c>
      <c r="F40" s="467">
        <f t="shared" si="10"/>
        <v>18991</v>
      </c>
      <c r="G40" s="466">
        <f t="shared" si="10"/>
        <v>14455</v>
      </c>
      <c r="H40" s="467">
        <f t="shared" si="10"/>
        <v>13032</v>
      </c>
      <c r="I40" s="466">
        <f t="shared" si="10"/>
        <v>13054</v>
      </c>
      <c r="J40" s="467">
        <f t="shared" si="10"/>
        <v>3919</v>
      </c>
      <c r="K40" s="466">
        <f t="shared" si="10"/>
        <v>-8901</v>
      </c>
      <c r="L40" s="467">
        <f t="shared" si="10"/>
        <v>-19344</v>
      </c>
      <c r="M40" s="466">
        <f t="shared" si="10"/>
        <v>-27477</v>
      </c>
      <c r="N40" s="467">
        <f t="shared" si="10"/>
        <v>-40144</v>
      </c>
      <c r="O40" s="466">
        <f t="shared" si="10"/>
        <v>-59528</v>
      </c>
      <c r="P40" s="467">
        <v>-58993</v>
      </c>
      <c r="Q40" s="466">
        <v>-45614</v>
      </c>
      <c r="R40" s="467">
        <v>-40899</v>
      </c>
      <c r="S40" s="466">
        <v>-41617</v>
      </c>
      <c r="T40" s="467">
        <v>-41198</v>
      </c>
      <c r="U40" s="466">
        <v>-39220</v>
      </c>
    </row>
    <row r="41" spans="1:26" ht="13.5" customHeight="1">
      <c r="A41" s="451">
        <f>A40+1</f>
        <v>30</v>
      </c>
      <c r="B41" s="469" t="s">
        <v>360</v>
      </c>
      <c r="C41" s="550">
        <v>30275</v>
      </c>
      <c r="D41" s="551">
        <v>34217</v>
      </c>
      <c r="E41" s="550">
        <v>37607</v>
      </c>
      <c r="F41" s="551">
        <f>40122</f>
        <v>40122</v>
      </c>
      <c r="G41" s="550">
        <f>41817-2300</f>
        <v>39517</v>
      </c>
      <c r="H41" s="551">
        <f>43232-2393</f>
        <v>40839</v>
      </c>
      <c r="I41" s="550">
        <f>44753-2556</f>
        <v>42197</v>
      </c>
      <c r="J41" s="551">
        <f>47321-2698</f>
        <v>44623</v>
      </c>
      <c r="K41" s="550">
        <f>49408-2786</f>
        <v>46622</v>
      </c>
      <c r="L41" s="551">
        <f>52024-3009</f>
        <v>49015</v>
      </c>
      <c r="M41" s="550">
        <f>53908-3164</f>
        <v>50744</v>
      </c>
      <c r="N41" s="551">
        <f>54801-3231</f>
        <v>51570</v>
      </c>
      <c r="O41" s="550">
        <f>57110-3343</f>
        <v>53767</v>
      </c>
      <c r="P41" s="551">
        <v>55745</v>
      </c>
      <c r="Q41" s="550">
        <v>56928</v>
      </c>
      <c r="R41" s="551">
        <v>57447</v>
      </c>
      <c r="S41" s="550">
        <v>58531</v>
      </c>
      <c r="T41" s="551">
        <v>59550</v>
      </c>
      <c r="U41" s="550">
        <v>60210</v>
      </c>
    </row>
    <row r="42" spans="1:26" s="471" customFormat="1" ht="13.5" customHeight="1" thickBot="1">
      <c r="A42" s="457">
        <f>A41+1</f>
        <v>31</v>
      </c>
      <c r="B42" s="470" t="s">
        <v>325</v>
      </c>
      <c r="C42" s="552">
        <f>C40+C41</f>
        <v>61976</v>
      </c>
      <c r="D42" s="546">
        <f t="shared" ref="D42" si="11">D40+D41</f>
        <v>61534</v>
      </c>
      <c r="E42" s="552">
        <f>E40+E41</f>
        <v>59260</v>
      </c>
      <c r="F42" s="546">
        <f t="shared" ref="F42" si="12">F40+F41</f>
        <v>59113</v>
      </c>
      <c r="G42" s="552">
        <f>G40+G41</f>
        <v>53972</v>
      </c>
      <c r="H42" s="546">
        <f t="shared" ref="H42" si="13">H40+H41</f>
        <v>53871</v>
      </c>
      <c r="I42" s="552">
        <f>I40+I41</f>
        <v>55251</v>
      </c>
      <c r="J42" s="546">
        <f t="shared" ref="J42:O42" si="14">J40+J41</f>
        <v>48542</v>
      </c>
      <c r="K42" s="552">
        <f t="shared" si="14"/>
        <v>37721</v>
      </c>
      <c r="L42" s="546">
        <f t="shared" si="14"/>
        <v>29671</v>
      </c>
      <c r="M42" s="552">
        <f t="shared" si="14"/>
        <v>23267</v>
      </c>
      <c r="N42" s="546">
        <f t="shared" si="14"/>
        <v>11426</v>
      </c>
      <c r="O42" s="545">
        <f t="shared" si="14"/>
        <v>-5761</v>
      </c>
      <c r="P42" s="546">
        <f>P40+P41</f>
        <v>-3248</v>
      </c>
      <c r="Q42" s="552">
        <v>11314</v>
      </c>
      <c r="R42" s="553">
        <v>16548</v>
      </c>
      <c r="S42" s="552">
        <v>16914</v>
      </c>
      <c r="T42" s="553">
        <v>18352</v>
      </c>
      <c r="U42" s="552">
        <v>20990</v>
      </c>
      <c r="V42" s="554"/>
      <c r="W42" s="554"/>
    </row>
    <row r="43" spans="1:26" ht="18" customHeight="1">
      <c r="A43" s="462" t="s">
        <v>326</v>
      </c>
      <c r="B43" s="443"/>
      <c r="C43" s="485"/>
      <c r="D43" s="485"/>
      <c r="E43" s="485"/>
      <c r="F43" s="485"/>
      <c r="G43" s="485"/>
      <c r="H43" s="485"/>
    </row>
    <row r="44" spans="1:26" ht="11.25" customHeight="1">
      <c r="A44" s="449">
        <f>A42+1</f>
        <v>32</v>
      </c>
      <c r="B44" s="443" t="s">
        <v>327</v>
      </c>
      <c r="C44" s="555">
        <v>85.94</v>
      </c>
      <c r="D44" s="556">
        <v>70.709999999999994</v>
      </c>
      <c r="E44" s="555">
        <v>83.38</v>
      </c>
      <c r="F44" s="556">
        <v>97.33</v>
      </c>
      <c r="G44" s="555">
        <v>92.07</v>
      </c>
      <c r="H44" s="556">
        <v>99.05</v>
      </c>
      <c r="I44" s="555">
        <v>80.48</v>
      </c>
      <c r="J44" s="556">
        <v>45</v>
      </c>
      <c r="K44" s="555">
        <v>47.93</v>
      </c>
      <c r="L44" s="556">
        <v>53.69</v>
      </c>
      <c r="M44" s="555">
        <v>62.77</v>
      </c>
      <c r="N44" s="556">
        <v>54.85</v>
      </c>
      <c r="O44" s="555">
        <v>42.32</v>
      </c>
      <c r="P44" s="556">
        <v>77.03</v>
      </c>
      <c r="Q44" s="555">
        <v>89.69</v>
      </c>
      <c r="R44" s="556">
        <v>76.5</v>
      </c>
      <c r="S44" s="568">
        <v>74</v>
      </c>
      <c r="T44" s="556">
        <v>74</v>
      </c>
      <c r="U44" s="568">
        <v>74</v>
      </c>
    </row>
    <row r="45" spans="1:26" ht="11.25" customHeight="1">
      <c r="A45" s="449">
        <f>A44+1</f>
        <v>33</v>
      </c>
      <c r="B45" s="443" t="s">
        <v>328</v>
      </c>
      <c r="C45" s="555">
        <v>74.36</v>
      </c>
      <c r="D45" s="556">
        <v>66.08</v>
      </c>
      <c r="E45" s="555">
        <v>66.7</v>
      </c>
      <c r="F45" s="556">
        <v>80.72</v>
      </c>
      <c r="G45" s="555">
        <v>68.48</v>
      </c>
      <c r="H45" s="556">
        <v>80.11</v>
      </c>
      <c r="I45" s="555">
        <v>70.78</v>
      </c>
      <c r="J45" s="556">
        <v>40.86</v>
      </c>
      <c r="K45" s="555">
        <v>44.67</v>
      </c>
      <c r="L45" s="556">
        <v>50.38</v>
      </c>
      <c r="M45" s="555">
        <v>51.65</v>
      </c>
      <c r="N45" s="556">
        <v>53.14</v>
      </c>
      <c r="O45" s="555">
        <v>41.42</v>
      </c>
      <c r="P45" s="556">
        <v>79.63</v>
      </c>
      <c r="Q45" s="555">
        <v>90.62</v>
      </c>
      <c r="R45" s="556">
        <v>80.2</v>
      </c>
      <c r="S45" s="568">
        <v>76.8</v>
      </c>
      <c r="T45" s="556">
        <v>75.599999999999994</v>
      </c>
      <c r="U45" s="568">
        <v>75.8</v>
      </c>
    </row>
    <row r="46" spans="1:26" ht="11.25" customHeight="1">
      <c r="A46" s="449">
        <f t="shared" ref="A46:A47" si="15">A45+1</f>
        <v>34</v>
      </c>
      <c r="B46" s="443" t="s">
        <v>329</v>
      </c>
      <c r="C46" s="555">
        <v>6.97</v>
      </c>
      <c r="D46" s="556">
        <v>3.58</v>
      </c>
      <c r="E46" s="555">
        <v>3.28</v>
      </c>
      <c r="F46" s="556">
        <v>2.98</v>
      </c>
      <c r="G46" s="555">
        <v>2.2799999999999998</v>
      </c>
      <c r="H46" s="556">
        <v>3.28</v>
      </c>
      <c r="I46" s="555">
        <v>3.51</v>
      </c>
      <c r="J46" s="556">
        <v>2.21</v>
      </c>
      <c r="K46" s="555">
        <v>2.0099999999999998</v>
      </c>
      <c r="L46" s="556">
        <v>1.82</v>
      </c>
      <c r="M46" s="555">
        <v>1.34</v>
      </c>
      <c r="N46" s="556">
        <v>1.39</v>
      </c>
      <c r="O46" s="555">
        <v>2.1</v>
      </c>
      <c r="P46" s="556">
        <v>3.48</v>
      </c>
      <c r="Q46" s="555">
        <v>4.63</v>
      </c>
      <c r="R46" s="556">
        <v>2.2000000000000002</v>
      </c>
      <c r="S46" s="568">
        <v>2.9</v>
      </c>
      <c r="T46" s="556">
        <v>3.7</v>
      </c>
      <c r="U46" s="568">
        <v>3.8</v>
      </c>
    </row>
    <row r="47" spans="1:26" ht="11.25" customHeight="1" thickBot="1">
      <c r="A47" s="472">
        <f t="shared" si="15"/>
        <v>35</v>
      </c>
      <c r="B47" s="473" t="s">
        <v>330</v>
      </c>
      <c r="C47" s="557">
        <v>89.6</v>
      </c>
      <c r="D47" s="558">
        <v>91.9</v>
      </c>
      <c r="E47" s="557">
        <v>98.4</v>
      </c>
      <c r="F47" s="558">
        <v>100.7</v>
      </c>
      <c r="G47" s="557">
        <v>99.9</v>
      </c>
      <c r="H47" s="558">
        <v>95</v>
      </c>
      <c r="I47" s="557">
        <v>88</v>
      </c>
      <c r="J47" s="558">
        <v>76.5</v>
      </c>
      <c r="K47" s="557">
        <v>76.2</v>
      </c>
      <c r="L47" s="558">
        <v>78</v>
      </c>
      <c r="M47" s="557">
        <v>76.3</v>
      </c>
      <c r="N47" s="558">
        <v>75.2</v>
      </c>
      <c r="O47" s="557">
        <v>75.7</v>
      </c>
      <c r="P47" s="558">
        <v>79.8</v>
      </c>
      <c r="Q47" s="557">
        <v>75.599999999999994</v>
      </c>
      <c r="R47" s="558">
        <v>74.099999999999994</v>
      </c>
      <c r="S47" s="569">
        <v>75.900000000000006</v>
      </c>
      <c r="T47" s="558">
        <v>78.099999999999994</v>
      </c>
      <c r="U47" s="569">
        <v>79.7</v>
      </c>
    </row>
    <row r="48" spans="1:26" ht="3.75" customHeight="1">
      <c r="A48" s="449"/>
      <c r="C48" s="463"/>
      <c r="D48" s="463"/>
      <c r="E48" s="463"/>
      <c r="F48" s="463"/>
      <c r="G48" s="463"/>
      <c r="H48" s="463"/>
      <c r="I48" s="463"/>
      <c r="J48" s="463"/>
      <c r="K48" s="463"/>
      <c r="L48" s="463"/>
      <c r="M48" s="463"/>
      <c r="N48" s="463"/>
      <c r="O48" s="463"/>
    </row>
  </sheetData>
  <pageMargins left="0.74803149606299213" right="0.74803149606299213" top="0.74803149606299213" bottom="0.74803149606299213" header="0.31496062992125984" footer="0.31496062992125984"/>
  <pageSetup scale="72" orientation="landscape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"/>
  <sheetViews>
    <sheetView workbookViewId="0">
      <selection activeCell="P37" sqref="P37"/>
    </sheetView>
  </sheetViews>
  <sheetFormatPr defaultColWidth="8.5703125" defaultRowHeight="12"/>
  <sheetData/>
  <pageMargins left="0.7" right="0.7" top="0.75" bottom="0.75" header="0.3" footer="0.3"/>
  <pageSetup orientation="portrait" r:id="rId1"/>
  <headerFooter>
    <oddFooter>&amp;L_x000D_&amp;1#&amp;"Calibri"&amp;11&amp;K000000 Classification: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8A86FCD09074E98CD1BE9C63C7D6C" ma:contentTypeVersion="2" ma:contentTypeDescription="Create a new document." ma:contentTypeScope="" ma:versionID="548e4e3eea34200fa68ec1cf8134c444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565d1da5516bbf29339731748ef45e9b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3A1A2-A623-41EF-BBDA-C6EAF389C2FE}">
  <ds:schemaRefs>
    <ds:schemaRef ds:uri="2f6daf8d-5922-44b6-a24d-ae26ebd46f4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C4351F-09F5-4DB7-B9FB-356BFBE2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03E2B3-CDE3-4E89-86FA-05759BB945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Cover</vt:lpstr>
      <vt:lpstr>Summary St of Ops</vt:lpstr>
      <vt:lpstr>Summary of Fin Position</vt:lpstr>
      <vt:lpstr>Sch 1 Cons Fisc Summ</vt:lpstr>
      <vt:lpstr>Sch 2 Balance Sheet</vt:lpstr>
      <vt:lpstr>Sch 3 St of Ops</vt:lpstr>
      <vt:lpstr>Sch 4 Revenue</vt:lpstr>
      <vt:lpstr>Sch 5 Oper Exp</vt:lpstr>
      <vt:lpstr>Sch 6 Cap Amort</vt:lpstr>
      <vt:lpstr>Sch 7 Inv Consump</vt:lpstr>
      <vt:lpstr>Sch 8 Inv Acquisition</vt:lpstr>
      <vt:lpstr>Sch 9 Debt Serv Costs</vt:lpstr>
      <vt:lpstr>Sch 10 Disaster</vt:lpstr>
      <vt:lpstr>Sch 11 Pension Liab</vt:lpstr>
      <vt:lpstr>Sch 12 Cash Adj</vt:lpstr>
      <vt:lpstr>Sch 13 Capital Plan</vt:lpstr>
      <vt:lpstr>Sch 14 Capital Grant</vt:lpstr>
      <vt:lpstr>Sch 15 Capital Invest</vt:lpstr>
      <vt:lpstr>Sch 16 Capital Assets</vt:lpstr>
      <vt:lpstr>Sch 17 Capital Funding Source</vt:lpstr>
      <vt:lpstr>Sch 18 Debt Maturities</vt:lpstr>
      <vt:lpstr>Sch 19 Borrowing Reqt</vt:lpstr>
      <vt:lpstr>Sch 20 Borrowing Sources</vt:lpstr>
      <vt:lpstr>Sch 21 Alloc Gaming Rev</vt:lpstr>
      <vt:lpstr>Sch 22 Changes to Fees</vt:lpstr>
      <vt:lpstr>Sch 23 FTEs</vt:lpstr>
      <vt:lpstr>Sch 24 Exp by Object</vt:lpstr>
      <vt:lpstr>Sch 25 Exp by Function</vt:lpstr>
      <vt:lpstr>Sch 26 Historical</vt:lpstr>
      <vt:lpstr>END</vt:lpstr>
      <vt:lpstr>'Sch 1 Cons Fisc Summ'!Print_Area</vt:lpstr>
      <vt:lpstr>'Sch 10 Disaster'!Print_Area</vt:lpstr>
      <vt:lpstr>'Sch 11 Pension Liab'!Print_Area</vt:lpstr>
      <vt:lpstr>'Sch 12 Cash Adj'!Print_Area</vt:lpstr>
      <vt:lpstr>'Sch 13 Capital Plan'!Print_Area</vt:lpstr>
      <vt:lpstr>'Sch 14 Capital Grant'!Print_Area</vt:lpstr>
      <vt:lpstr>'Sch 15 Capital Invest'!Print_Area</vt:lpstr>
      <vt:lpstr>'Sch 16 Capital Assets'!Print_Area</vt:lpstr>
      <vt:lpstr>'Sch 17 Capital Funding Source'!Print_Area</vt:lpstr>
      <vt:lpstr>'Sch 18 Debt Maturities'!Print_Area</vt:lpstr>
      <vt:lpstr>'Sch 19 Borrowing Reqt'!Print_Area</vt:lpstr>
      <vt:lpstr>'Sch 20 Borrowing Sources'!Print_Area</vt:lpstr>
      <vt:lpstr>'Sch 21 Alloc Gaming Rev'!Print_Area</vt:lpstr>
      <vt:lpstr>'Sch 22 Changes to Fees'!Print_Area</vt:lpstr>
      <vt:lpstr>'Sch 23 FTEs'!Print_Area</vt:lpstr>
      <vt:lpstr>'Sch 24 Exp by Object'!Print_Area</vt:lpstr>
      <vt:lpstr>'Sch 25 Exp by Function'!Print_Area</vt:lpstr>
      <vt:lpstr>'Sch 26 Historical'!Print_Area</vt:lpstr>
      <vt:lpstr>'Sch 3 St of Ops'!Print_Area</vt:lpstr>
      <vt:lpstr>'Sch 4 Revenue'!Print_Area</vt:lpstr>
      <vt:lpstr>'Sch 5 Oper Exp'!Print_Area</vt:lpstr>
      <vt:lpstr>'Sch 6 Cap Amort'!Print_Area</vt:lpstr>
      <vt:lpstr>'Sch 7 Inv Consump'!Print_Area</vt:lpstr>
      <vt:lpstr>'Sch 8 Inv Acquisition'!Print_Area</vt:lpstr>
      <vt:lpstr>'Sch 9 Debt Serv Costs'!Print_Area</vt:lpstr>
      <vt:lpstr>'Summary of Fin Position'!Print_Area</vt:lpstr>
      <vt:lpstr>'Summary St of Ops'!Print_Area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2024-27 Fiscal Plan – Tables – Data File (Alberta Budget 2024)</dc:title>
  <dc:creator>Government of Alberta</dc:creator>
  <cp:keywords>Security Classification: Public</cp:keywords>
  <cp:lastPrinted>2024-02-28T16:56:46Z</cp:lastPrinted>
  <dcterms:created xsi:type="dcterms:W3CDTF">2021-02-24T01:30:17Z</dcterms:created>
  <dcterms:modified xsi:type="dcterms:W3CDTF">2024-02-29T07:00:47Z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0x0101001D88A86FCD09074E98CD1BE9C63C7D6C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2024-02-29T07:00:45Z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0ff6ff61-6fed-4db3-a831-da5b654995d3</vt:lpwstr>
  </property>
  <property fmtid="{D5CDD505-2E9C-101B-9397-08002B2CF9AE}" pid="9" name="MSIP_Label_60c3ebf9-3c2f-4745-a75f-55836bdb736f_ContentBits">
    <vt:lpwstr>2</vt:lpwstr>
  </property>
</Properties>
</file>