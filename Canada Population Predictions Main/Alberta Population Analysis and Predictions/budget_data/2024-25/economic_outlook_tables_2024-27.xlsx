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CPE\Outreach (612316)\01 Projects\Budget\Embargo\Budget-2024\Public\Final web versions\Budget Excel files\"/>
    </mc:Choice>
  </mc:AlternateContent>
  <xr:revisionPtr revIDLastSave="0" documentId="8_{6C72FFEE-2F2E-4678-9543-9D93E0C4CE7E}" xr6:coauthVersionLast="47" xr6:coauthVersionMax="47" xr10:uidLastSave="{00000000-0000-0000-0000-000000000000}"/>
  <bookViews>
    <workbookView xWindow="26520" yWindow="630" windowWidth="23580" windowHeight="14310" xr2:uid="{6C421D48-C7BA-45B9-ACCB-95E20AC02908}"/>
  </bookViews>
  <sheets>
    <sheet name="Cover" sheetId="37" r:id="rId1"/>
    <sheet name="Key Assumptions" sheetId="20" r:id="rId2"/>
    <sheet name="1. Real GDP (C2G)" sheetId="1" r:id="rId3"/>
    <sheet name="2. Real GDP (Indexed)" sheetId="2" r:id="rId4"/>
    <sheet name="3. Global Growth" sheetId="3" r:id="rId5"/>
    <sheet name="4. Cdn Growth" sheetId="4" r:id="rId6"/>
    <sheet name="5. Interest Rates" sheetId="5" r:id="rId7"/>
    <sheet name="6. Supply &amp; Demand" sheetId="6" r:id="rId8"/>
    <sheet name="7. Pipelines" sheetId="7" r:id="rId9"/>
    <sheet name="8. Energy Invest &amp; Prod" sheetId="8" r:id="rId10"/>
    <sheet name="9. Investment" sheetId="9" r:id="rId11"/>
    <sheet name="10. Exports" sheetId="10" r:id="rId12"/>
    <sheet name="11. Population" sheetId="11" r:id="rId13"/>
    <sheet name="12. Unabsorbed units" sheetId="12" r:id="rId14"/>
    <sheet name="13. Immigrant Employment " sheetId="13" r:id="rId15"/>
    <sheet name="14. Labour Market" sheetId="14" r:id="rId16"/>
    <sheet name="15. Wages" sheetId="15" r:id="rId17"/>
    <sheet name="16. Income" sheetId="16" r:id="rId18"/>
    <sheet name="17. Inflation" sheetId="17" r:id="rId19"/>
    <sheet name="18. Insolvencies" sheetId="18" r:id="rId20"/>
    <sheet name="19. Per Capita" sheetId="19" r:id="rId21"/>
    <sheet name="Scenarios" sheetId="21" r:id="rId22"/>
    <sheet name="B1. Oil" sheetId="22" r:id="rId23"/>
    <sheet name="B1. Oil Last Year" sheetId="35" r:id="rId24"/>
    <sheet name="B2. Oil Diff" sheetId="24" r:id="rId25"/>
    <sheet name="B3. Natural Gas" sheetId="23" r:id="rId26"/>
    <sheet name="B3. Natural Gas Last Year" sheetId="36" r:id="rId27"/>
    <sheet name="B4. FX Rate" sheetId="27" r:id="rId28"/>
    <sheet name="B5. Long Rates" sheetId="26" r:id="rId29"/>
    <sheet name="B6. Real RGP" sheetId="28" r:id="rId30"/>
    <sheet name="B7. Nominal GDP" sheetId="29" r:id="rId31"/>
    <sheet name="B8. Employment" sheetId="30" r:id="rId32"/>
    <sheet name="B9. Unemployment" sheetId="31" r:id="rId33"/>
    <sheet name="B10. Housing Starts" sheetId="32" r:id="rId34"/>
  </sheets>
  <externalReferences>
    <externalReference r:id="rId35"/>
    <externalReference r:id="rId36"/>
    <externalReference r:id="rId37"/>
    <externalReference r:id="rId38"/>
    <externalReference r:id="rId39"/>
    <externalReference r:id="rId40"/>
    <externalReference r:id="rId41"/>
  </externalReferences>
  <definedNames>
    <definedName name="_" hidden="1">#REF!</definedName>
    <definedName name="__123Graph_A" hidden="1">[1]PYRAMID!$A$184:$A$263</definedName>
    <definedName name="__123Graph_AABDRILL" hidden="1">#REF!</definedName>
    <definedName name="__123Graph_AGRAPH1" hidden="1">[1]PYRAMID!$A$184:$A$263</definedName>
    <definedName name="__123Graph_AGRAPH2" hidden="1">[1]PYRAMID!$A$184:$A$263</definedName>
    <definedName name="__123Graph_AGRAPH3" hidden="1">[1]PYRAMID!$A$184:$A$263</definedName>
    <definedName name="__123Graph_BABDRILL" hidden="1">#REF!</definedName>
    <definedName name="__123Graph_X" hidden="1">[1]PYRAMID!$D$184:$D$263</definedName>
    <definedName name="__123Graph_XABDRILL" hidden="1">#REF!</definedName>
    <definedName name="__123Graph_XGRAPH1" hidden="1">[1]PYRAMID!$B$184:$B$263</definedName>
    <definedName name="__123Graph_XGRAPH2" hidden="1">[1]PYRAMID!$C$184:$C$263</definedName>
    <definedName name="__123Graph_XGRAPH3" hidden="1">[1]PYRAMID!$D$184:$D$263</definedName>
    <definedName name="_1__123Graph_ADRILLING_ACT" hidden="1">'[2]AEUB Ann. Wlls'!$E$38:$E$54</definedName>
    <definedName name="_2__123Graph_BCHART_1" hidden="1">#REF!</definedName>
    <definedName name="_3__123Graph_BDRILLING_ACT" hidden="1">'[2]AEUB Ann. Wlls'!$J$38:$J$54</definedName>
    <definedName name="_4__123Graph_CCHART_1" hidden="1">#REF!</definedName>
    <definedName name="_5__123Graph_ECHART_1" hidden="1">#REF!</definedName>
    <definedName name="_6__123Graph_FCHART_1" hidden="1">#REF!</definedName>
    <definedName name="_8__123Graph_XCHART_1" hidden="1">#REF!</definedName>
    <definedName name="_Key1" hidden="1">#REF!</definedName>
    <definedName name="_Key2" hidden="1">#REF!</definedName>
    <definedName name="_Order1" hidden="1">255</definedName>
    <definedName name="_Order2" hidden="1">255</definedName>
    <definedName name="_Sort" hidden="1">#REF!</definedName>
    <definedName name="a" hidden="1">#REF!</definedName>
    <definedName name="abc" hidden="1">#REF!</definedName>
    <definedName name="adsadrr" hidden="1">#REF!</definedName>
    <definedName name="asdrae" hidden="1">#REF!</definedName>
    <definedName name="BLPH90" hidden="1">[3]Data!$A$3</definedName>
    <definedName name="BLPH91" hidden="1">[3]Data!$D$3</definedName>
    <definedName name="BLPH92" hidden="1">[3]Data!$G$3</definedName>
    <definedName name="BLPH93" hidden="1">[3]Data!$J$3</definedName>
    <definedName name="cv" hidden="1">#REF!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te">'[4]Contacts, Cutoffs, and Data'!$B$1</definedName>
    <definedName name="Date2" localSheetId="33">'[5]Contacts, Cutoffs, and Data'!$B$2</definedName>
    <definedName name="Date2" localSheetId="29">'[6]Contacts, Cutoffs, and Data'!$B$2</definedName>
    <definedName name="Date2" localSheetId="30">'[6]Contacts, Cutoffs, and Data'!$B$2</definedName>
    <definedName name="Date2" localSheetId="31">'[5]Contacts, Cutoffs, and Data'!$B$2</definedName>
    <definedName name="Date2" localSheetId="32">'[5]Contacts, Cutoffs, and Data'!$B$2</definedName>
    <definedName name="fffff" hidden="1">#REF!</definedName>
    <definedName name="Graph"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Graph1"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Labour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0"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1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6"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7"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8"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9"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mkt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ngdppc" hidden="1">#REF!</definedName>
    <definedName name="NomGDPperCapita" hidden="1">#REF!</definedName>
    <definedName name="o" hidden="1">[7]Data!$J$3</definedName>
    <definedName name="ROH"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e"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en"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heet1_Chart_2_ChartType" hidden="1">64</definedName>
    <definedName name="shortterm.ema"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1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2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3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tema"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temma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USoil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USoilprodn"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rn.Worcester._.Model._._._.Full."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vu.ejnorm."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1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2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3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6" l="1"/>
  <c r="B8" i="36"/>
  <c r="B7" i="36"/>
  <c r="B6" i="36"/>
  <c r="B5" i="36"/>
  <c r="A19" i="32" l="1"/>
  <c r="E17" i="32"/>
  <c r="D17" i="32"/>
  <c r="C17" i="32"/>
  <c r="B17" i="32"/>
  <c r="E16" i="32"/>
  <c r="D16" i="32"/>
  <c r="C16" i="32"/>
  <c r="B16" i="32"/>
  <c r="E15" i="32"/>
  <c r="D15" i="32"/>
  <c r="C15" i="32"/>
  <c r="B15" i="32"/>
  <c r="A19" i="31"/>
  <c r="E17" i="31"/>
  <c r="D17" i="31"/>
  <c r="C17" i="31"/>
  <c r="B17" i="31"/>
  <c r="E16" i="31"/>
  <c r="D16" i="31"/>
  <c r="C16" i="31"/>
  <c r="B16" i="31"/>
  <c r="E15" i="31"/>
  <c r="D15" i="31"/>
  <c r="C15" i="31"/>
  <c r="B15" i="31"/>
  <c r="A18" i="30"/>
  <c r="E16" i="30"/>
  <c r="D16" i="30"/>
  <c r="C16" i="30"/>
  <c r="B16" i="30"/>
  <c r="E15" i="30"/>
  <c r="D15" i="30"/>
  <c r="C15" i="30"/>
  <c r="B15" i="30"/>
  <c r="E14" i="30"/>
  <c r="D14" i="30"/>
  <c r="C14" i="30"/>
  <c r="B14" i="30"/>
  <c r="A18" i="29"/>
  <c r="F16" i="29"/>
  <c r="E16" i="29"/>
  <c r="D16" i="29"/>
  <c r="C16" i="29"/>
  <c r="B16" i="29"/>
  <c r="F15" i="29"/>
  <c r="E15" i="29"/>
  <c r="D15" i="29"/>
  <c r="C15" i="29"/>
  <c r="B15" i="29"/>
  <c r="F14" i="29"/>
  <c r="E14" i="29"/>
  <c r="D14" i="29"/>
  <c r="C14" i="29"/>
  <c r="B14" i="29"/>
  <c r="A19" i="28"/>
  <c r="A20" i="27"/>
  <c r="A20" i="26"/>
  <c r="A18" i="24"/>
  <c r="E16" i="24"/>
  <c r="D16" i="24"/>
  <c r="C16" i="24"/>
  <c r="B16" i="24"/>
  <c r="E15" i="24"/>
  <c r="D15" i="24"/>
  <c r="C15" i="24"/>
  <c r="B15" i="24"/>
  <c r="E14" i="24"/>
  <c r="D14" i="24"/>
  <c r="C14" i="24"/>
  <c r="B14" i="24"/>
  <c r="E13" i="24"/>
  <c r="D13" i="24"/>
  <c r="C13" i="24"/>
  <c r="B13" i="24"/>
  <c r="A23" i="23"/>
  <c r="A26"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forrest.evans</author>
  </authors>
  <commentList>
    <comment ref="A21" authorId="0" shapeId="0" xr:uid="{92FBB161-99B3-46F2-B965-88810A43B9BA}">
      <text>
        <r>
          <rPr>
            <b/>
            <sz val="9"/>
            <color rgb="FF000000"/>
            <rFont val="Tahoma"/>
            <family val="2"/>
          </rPr>
          <t>forrest.evans:</t>
        </r>
        <r>
          <rPr>
            <sz val="9"/>
            <color rgb="FF000000"/>
            <rFont val="Tahoma"/>
            <family val="2"/>
          </rPr>
          <t xml:space="preserve">
</t>
        </r>
        <r>
          <rPr>
            <sz val="9"/>
            <color rgb="FF000000"/>
            <rFont val="Tahoma"/>
            <family val="2"/>
          </rPr>
          <t>We don't need to note that futures need to be excluded here, as futures contracts are not a forecast. We do not include futures contracts in ANY of the averages, or the high or low, for this variable or any others.</t>
        </r>
      </text>
    </comment>
  </commentList>
</comments>
</file>

<file path=xl/sharedStrings.xml><?xml version="1.0" encoding="utf-8"?>
<sst xmlns="http://schemas.openxmlformats.org/spreadsheetml/2006/main" count="738" uniqueCount="304">
  <si>
    <t>Forecast</t>
  </si>
  <si>
    <t>2023e</t>
  </si>
  <si>
    <t>2024f</t>
  </si>
  <si>
    <t>2025f</t>
  </si>
  <si>
    <t>2026f</t>
  </si>
  <si>
    <t>2027f</t>
  </si>
  <si>
    <t>2028f</t>
  </si>
  <si>
    <t>Numbers may not sum due to rounding.</t>
  </si>
  <si>
    <t>2007</t>
  </si>
  <si>
    <t>2008</t>
  </si>
  <si>
    <t>2009</t>
  </si>
  <si>
    <t>2010</t>
  </si>
  <si>
    <t>2011</t>
  </si>
  <si>
    <t>2012</t>
  </si>
  <si>
    <t>2013</t>
  </si>
  <si>
    <t>2014</t>
  </si>
  <si>
    <t>2015</t>
  </si>
  <si>
    <t>2016</t>
  </si>
  <si>
    <t>2017</t>
  </si>
  <si>
    <t>2018</t>
  </si>
  <si>
    <t>2019</t>
  </si>
  <si>
    <t>2020</t>
  </si>
  <si>
    <t>2021</t>
  </si>
  <si>
    <t>2022</t>
  </si>
  <si>
    <t>2019=100</t>
  </si>
  <si>
    <t>Q4-20</t>
  </si>
  <si>
    <t>Q1-21</t>
  </si>
  <si>
    <t>Q2-21</t>
  </si>
  <si>
    <t>Q3-21</t>
  </si>
  <si>
    <t>Q4-21</t>
  </si>
  <si>
    <t>Q1-22</t>
  </si>
  <si>
    <t>Q2-22</t>
  </si>
  <si>
    <t>Q3-22</t>
  </si>
  <si>
    <t>Q4-22</t>
  </si>
  <si>
    <t>Q1-23</t>
  </si>
  <si>
    <t>Q2-23</t>
  </si>
  <si>
    <t>Q3-23</t>
  </si>
  <si>
    <t>Chart 5. Benchmark interest rates in selected economies*</t>
  </si>
  <si>
    <t>Sources: U.S. Energy Information Administration, Haver Analytics and Alberta Treasury Board and Finance calculations; f-forecast</t>
  </si>
  <si>
    <t>Chart 7. Pipeline, rail, refinery capacity and liquids volume transported in Western Canada</t>
  </si>
  <si>
    <t>Chart 8. Nominal oil and gas investment and crude oil production in Alberta</t>
  </si>
  <si>
    <t>Total</t>
  </si>
  <si>
    <t>* includes investment in plant and equipment and intellectual property</t>
  </si>
  <si>
    <t xml:space="preserve">Chart 10. Contribution to Alberta real exports outside oil &amp; gas extraction, by component </t>
  </si>
  <si>
    <t>Sources: Statistics Canada and Alberta Treasury Board and Finance; e-estimate, f-forecast</t>
  </si>
  <si>
    <t>Year</t>
  </si>
  <si>
    <t>Chart 11. Annual change in the Alberta population by migration component</t>
  </si>
  <si>
    <t>Sources: Statistics Canada, Haver Analytics and Alberta Treasury Board and Finance; e-estimate, f-forecast</t>
  </si>
  <si>
    <t>Immigration (thousands)</t>
  </si>
  <si>
    <t>Emigration (thousands)</t>
  </si>
  <si>
    <t>Net Interprovincial (thousands)</t>
  </si>
  <si>
    <t>Non-permanent residents  (thousands)</t>
  </si>
  <si>
    <t>Muti-family dwelling</t>
  </si>
  <si>
    <t>Month</t>
  </si>
  <si>
    <t>Chart 12. Unabsorbed units by dwelling type</t>
  </si>
  <si>
    <t>Forestry, Fishing, Mining, Oil &amp; Gas</t>
  </si>
  <si>
    <t>Public Administration</t>
  </si>
  <si>
    <t>Manufacturing</t>
  </si>
  <si>
    <t>Educational Services</t>
  </si>
  <si>
    <t>Health Care &amp; Social Assistance</t>
  </si>
  <si>
    <t>Information, Culture &amp; Recreation</t>
  </si>
  <si>
    <t>Construction</t>
  </si>
  <si>
    <t>Transportation &amp; Warehousing</t>
  </si>
  <si>
    <t>FIRE</t>
  </si>
  <si>
    <t>Other Services</t>
  </si>
  <si>
    <t>Prof., Scientific &amp; Tech. Serv.</t>
  </si>
  <si>
    <t>Trade</t>
  </si>
  <si>
    <t>Accom. &amp; Food Services</t>
  </si>
  <si>
    <t>Industry</t>
  </si>
  <si>
    <t>New and non-landed immigrants (thousands)</t>
  </si>
  <si>
    <t>Sources: Statistics Canada, Haver Analytics and Alberta Treasury Board and Finance; f-forecast</t>
  </si>
  <si>
    <t>Employment (thousands)</t>
  </si>
  <si>
    <t>Unemployment Rate (%)</t>
  </si>
  <si>
    <t>AB</t>
  </si>
  <si>
    <t>NF</t>
  </si>
  <si>
    <t>PE</t>
  </si>
  <si>
    <t>NS</t>
  </si>
  <si>
    <t>NB</t>
  </si>
  <si>
    <t>QC</t>
  </si>
  <si>
    <t>ON</t>
  </si>
  <si>
    <t>MB</t>
  </si>
  <si>
    <t>SK</t>
  </si>
  <si>
    <t>BC</t>
  </si>
  <si>
    <t>2023</t>
  </si>
  <si>
    <t>Chart 15. Average hourly wage</t>
  </si>
  <si>
    <t>Chart 14. Labour market indicators</t>
  </si>
  <si>
    <t>Province</t>
  </si>
  <si>
    <t>Sources: Statistics Canada and Haver Analytics</t>
  </si>
  <si>
    <t>* Includes net operating surplus of corporations and net mixed income</t>
  </si>
  <si>
    <t>** Includes consumption of fixed capital and taxes less subsidies</t>
  </si>
  <si>
    <t>Chart 16. Contribution to change in Alberta's nominal GDP by income</t>
  </si>
  <si>
    <t>Labour Income (percentage points)</t>
  </si>
  <si>
    <t>Net Operating Surplus* (percentage points)</t>
  </si>
  <si>
    <t>Other ** (percentage points)</t>
  </si>
  <si>
    <t>Less than 3%</t>
  </si>
  <si>
    <t>3%-5%</t>
  </si>
  <si>
    <t>Greater than 5%</t>
  </si>
  <si>
    <t>Chart 17. Number of CPI components by annual price growth</t>
  </si>
  <si>
    <t>Source: Statistics Canada and Alberta Treasury Board and Finance calculations</t>
  </si>
  <si>
    <t>Total Insolvencies</t>
  </si>
  <si>
    <t>Proposals</t>
  </si>
  <si>
    <t>Bankruptcies</t>
  </si>
  <si>
    <t>Chart 18. Number of consumer insolvencies filed per month in Alberta, by type*</t>
  </si>
  <si>
    <t>Sources: Office of the Superintendent of Bankruptcy and Haver Analytics</t>
  </si>
  <si>
    <t>* based on 12-month rolling total</t>
  </si>
  <si>
    <t>Real per capita consumption in Alberta
($thousands)</t>
  </si>
  <si>
    <t>Chart 19: Real per capita consumption in Alberta</t>
  </si>
  <si>
    <t>Chart 1. Contribution to change in Alberta real GDP by expenditure</t>
  </si>
  <si>
    <t xml:space="preserve">* Includes government spending, residential construction investment, non-profit institution spending and inventories </t>
  </si>
  <si>
    <t>Imports
(percentage points)</t>
  </si>
  <si>
    <t>Consumer
(percentage points)</t>
  </si>
  <si>
    <t>Business Investment (percentage points)</t>
  </si>
  <si>
    <t>Exports (percentage points)</t>
  </si>
  <si>
    <t>All Other* (percentage points)</t>
  </si>
  <si>
    <t>Chart 2. Alberta real GDP and real GDP per capita, indexed to 2019</t>
  </si>
  <si>
    <t>Real GDP 
(2019=100)</t>
  </si>
  <si>
    <t>Real GDP Per Capita
(2019=100)</t>
  </si>
  <si>
    <t>Chart 3. Actual and forecast of real GDP growth</t>
  </si>
  <si>
    <t>Source: U.S. Bureau of Economic Analysis, Statistics Canada, Statistical Office of the European Communities, China National Bureau of Statistics, Haver Analytics and Alberta Treasury Board and Finance; f-forecast</t>
  </si>
  <si>
    <t>U.S.
(%)</t>
  </si>
  <si>
    <t>China
(%)</t>
  </si>
  <si>
    <t>Canada 
(%)</t>
  </si>
  <si>
    <t>Euro Area
(%)</t>
  </si>
  <si>
    <t>Quarter</t>
  </si>
  <si>
    <t>Chart 4. Year-over-year growth in Canadian real GDP, quarterly and annual forecast</t>
  </si>
  <si>
    <t>Actual
(%)</t>
  </si>
  <si>
    <t>Forecast
(%)</t>
  </si>
  <si>
    <t>GDP
(%)</t>
  </si>
  <si>
    <t>US
(%)</t>
  </si>
  <si>
    <t>UK
(%)</t>
  </si>
  <si>
    <t>Canada
(%)</t>
  </si>
  <si>
    <t>Sources: U.S. Federal Reserve, Bank of England, European Central Bank, Bank of Canada, Haver Analytics and Alberta Treasury Board and Finance</t>
  </si>
  <si>
    <t>*  U.S. is the midpoint of the federal funds target rate, Euro area is the main refinancing rate</t>
  </si>
  <si>
    <t>Chart 6. Global oil supply and demand, actual and forecast</t>
  </si>
  <si>
    <t>Global Petroleum Supply
(mmbpd)</t>
  </si>
  <si>
    <t>Global Petroleum Demand (mmbpd)</t>
  </si>
  <si>
    <t>Change in Global Implied Oil Stock (mmbpd)</t>
  </si>
  <si>
    <t>Current Pipeline Capacity
(mbpd)</t>
  </si>
  <si>
    <t>Trans Mountain Expansion
(mbpd)</t>
  </si>
  <si>
    <t>Possible Mainline Optimization
(mbpd)</t>
  </si>
  <si>
    <t>Western Canada Refinery Capacity
(mbpd)</t>
  </si>
  <si>
    <t>Rail Capacity
(mbpd)</t>
  </si>
  <si>
    <t>Western Canada liquids production and imports 
(mbpd)</t>
  </si>
  <si>
    <t>Oil sands investment
($billions)</t>
  </si>
  <si>
    <t>Conventional investment
($billions)</t>
  </si>
  <si>
    <t>Oil Production (mbpd)</t>
  </si>
  <si>
    <t xml:space="preserve">Chart 9. Change in Alberta non-residential business investment* </t>
  </si>
  <si>
    <t>Total
($billions)</t>
  </si>
  <si>
    <t>Oil and gas extraction 
($billions)</t>
  </si>
  <si>
    <t>Support activities &amp; other mining 
($billions)</t>
  </si>
  <si>
    <t>Other industries 
($billions)</t>
  </si>
  <si>
    <t>Non-energy
(%)</t>
  </si>
  <si>
    <t>Primary agriculture
(percentage points)</t>
  </si>
  <si>
    <t xml:space="preserve"> Manufacturing 
(percentage points)</t>
  </si>
  <si>
    <t>Services &amp; other 
(percentage points)</t>
  </si>
  <si>
    <t>Population Growth
(%)</t>
  </si>
  <si>
    <t>Sources:  Haver Analytics and Canada Mortgage and Housing Corporation</t>
  </si>
  <si>
    <t>Business, Building etc.</t>
  </si>
  <si>
    <t>Employment Growth
(%)</t>
  </si>
  <si>
    <t>Unemployment Rate
(%)</t>
  </si>
  <si>
    <t>AB
($/hr)</t>
  </si>
  <si>
    <t>CA 
($/hr)</t>
  </si>
  <si>
    <t>2023 
($/hr)</t>
  </si>
  <si>
    <t>Growth in Real per capita consumption in Alberta
(%)</t>
  </si>
  <si>
    <t>Sources: Canada Energy Regulator and Alberta Energy and Minerals; e-estimate, f-forecast</t>
  </si>
  <si>
    <t>Chart 13. Change in annual employment of new and non-landed immigrants between 2021 and 2023</t>
  </si>
  <si>
    <t>Key Energy and Economic Assumptions</t>
  </si>
  <si>
    <r>
      <t>Fiscal Year Assumptions</t>
    </r>
    <r>
      <rPr>
        <b/>
        <vertAlign val="superscript"/>
        <sz val="10"/>
        <rFont val="Arial Narrow"/>
        <family val="2"/>
      </rPr>
      <t>a</t>
    </r>
  </si>
  <si>
    <t>2021-22</t>
  </si>
  <si>
    <t>2022-23</t>
  </si>
  <si>
    <t>2023-24</t>
  </si>
  <si>
    <t>2024-25</t>
  </si>
  <si>
    <t>2025-26</t>
  </si>
  <si>
    <t>Actuals</t>
  </si>
  <si>
    <t>Estimate</t>
  </si>
  <si>
    <r>
      <t>Crude Oil Prices</t>
    </r>
    <r>
      <rPr>
        <b/>
        <vertAlign val="superscript"/>
        <sz val="8"/>
        <rFont val="Arial"/>
        <family val="2"/>
      </rPr>
      <t>b</t>
    </r>
  </si>
  <si>
    <t>WTI (US$/bbl)</t>
  </si>
  <si>
    <t>Light-Heavy Differential (US$/bbl)</t>
  </si>
  <si>
    <t>WCS @ Hardisty (Cdn$/bbl)</t>
  </si>
  <si>
    <r>
      <t>Natural Gas Price</t>
    </r>
    <r>
      <rPr>
        <b/>
        <vertAlign val="superscript"/>
        <sz val="8"/>
        <rFont val="Arial"/>
        <family val="2"/>
      </rPr>
      <t xml:space="preserve">b </t>
    </r>
  </si>
  <si>
    <t>Alberta Reference Price (Cdn$/GJ)</t>
  </si>
  <si>
    <t>Production</t>
  </si>
  <si>
    <t>Conventional Crude Oil (thousands of barrels/day)</t>
  </si>
  <si>
    <t>Raw Bitumen (thousands of barrels/day)</t>
  </si>
  <si>
    <t>Natural Gas (billions of cubic feet)</t>
  </si>
  <si>
    <r>
      <t>Interest Rates</t>
    </r>
    <r>
      <rPr>
        <b/>
        <vertAlign val="superscript"/>
        <sz val="10"/>
        <rFont val="Arial Narrow"/>
        <family val="2"/>
      </rPr>
      <t>b</t>
    </r>
  </si>
  <si>
    <t>3-month Canada Treasury Bills (%)</t>
  </si>
  <si>
    <t>10-year Canada Bonds (%)</t>
  </si>
  <si>
    <r>
      <t>Exchange Rate</t>
    </r>
    <r>
      <rPr>
        <b/>
        <sz val="8"/>
        <rFont val="Arial"/>
        <family val="2"/>
      </rPr>
      <t xml:space="preserve"> (US¢/Cdn$)</t>
    </r>
    <r>
      <rPr>
        <b/>
        <vertAlign val="superscript"/>
        <sz val="8"/>
        <rFont val="Arial"/>
        <family val="2"/>
      </rPr>
      <t>b</t>
    </r>
  </si>
  <si>
    <r>
      <t>Calendar Year Assumptions</t>
    </r>
    <r>
      <rPr>
        <b/>
        <vertAlign val="superscript"/>
        <sz val="10"/>
        <rFont val="Arial Narrow"/>
        <family val="2"/>
      </rPr>
      <t>a</t>
    </r>
  </si>
  <si>
    <t>Gross Domestic Product</t>
  </si>
  <si>
    <t>Nominal (billions of dollars)</t>
  </si>
  <si>
    <t>% change</t>
  </si>
  <si>
    <t>Other Indicators</t>
  </si>
  <si>
    <t>Average Weekly Earnings (% change)</t>
  </si>
  <si>
    <t>Primary Household Income (% change)</t>
  </si>
  <si>
    <t>Net Corporate Operating Surplus (% change)</t>
  </si>
  <si>
    <t>Housing Starts (thousands of units)</t>
  </si>
  <si>
    <t>Alberta Consumer Price Index (% change)</t>
  </si>
  <si>
    <t>Retail Sales (% change)</t>
  </si>
  <si>
    <t>Population (thousands)</t>
  </si>
  <si>
    <t>Net Migration (thousands)</t>
  </si>
  <si>
    <t>Table 1: Scenario Impacts</t>
  </si>
  <si>
    <t>Fiscal Year Assumptions</t>
  </si>
  <si>
    <t>2026-27</t>
  </si>
  <si>
    <t>Base</t>
  </si>
  <si>
    <t>High</t>
  </si>
  <si>
    <t>Low</t>
  </si>
  <si>
    <t>Exchange Rate (US¢/Cdn$)</t>
  </si>
  <si>
    <t>Tax and Resource Revenue ($billions)</t>
  </si>
  <si>
    <t>Variance from base</t>
  </si>
  <si>
    <t>Calendar Year Assumptions</t>
  </si>
  <si>
    <t>Real GDP (% Change)</t>
  </si>
  <si>
    <t>Nominal GDP (% Change)</t>
  </si>
  <si>
    <t>Oil Price Benchmark</t>
  </si>
  <si>
    <t>West Texas Intermediate (US$/bbl)</t>
  </si>
  <si>
    <t>Organization</t>
  </si>
  <si>
    <t>National Forecasting Agencies</t>
  </si>
  <si>
    <t>Conference Board of Canada (December 18, 2023)</t>
  </si>
  <si>
    <t>Stokes Economics (January, 2024)</t>
  </si>
  <si>
    <t>Banks and Investment Dealers</t>
  </si>
  <si>
    <t>Credit Suisse</t>
  </si>
  <si>
    <t>n/a</t>
  </si>
  <si>
    <t>Deloitte (December 31, 2023)</t>
  </si>
  <si>
    <t>Goldman Sachs (January, 2024)</t>
  </si>
  <si>
    <t>Laurentian Bank</t>
  </si>
  <si>
    <t>National Bank (December, 2023)</t>
  </si>
  <si>
    <t>RBC Capital Markets (December 13, 2023)</t>
  </si>
  <si>
    <t>Scotiabank (December 15, 2023)</t>
  </si>
  <si>
    <t>TD Bank (December, 2023)</t>
  </si>
  <si>
    <t>Industry Analysts</t>
  </si>
  <si>
    <t>U.S. Energy Information Administration (January 4, 2024)</t>
  </si>
  <si>
    <t>GLJ Petroleum Consultants (January 1, 2024)</t>
  </si>
  <si>
    <t>Sproule Associates Limited (December 31, 2023)</t>
  </si>
  <si>
    <r>
      <t>Confidential Forecasts Provided to the Government of Alberta</t>
    </r>
    <r>
      <rPr>
        <b/>
        <vertAlign val="superscript"/>
        <sz val="10"/>
        <rFont val="Arial Narrow"/>
        <family val="2"/>
      </rPr>
      <t>a</t>
    </r>
  </si>
  <si>
    <t>Average</t>
  </si>
  <si>
    <t>Average of All Private Forecasts</t>
  </si>
  <si>
    <t>Government of Alberta (calendar year)</t>
  </si>
  <si>
    <r>
      <rPr>
        <vertAlign val="superscript"/>
        <sz val="8"/>
        <rFont val="Arial Narrow"/>
        <family val="2"/>
      </rPr>
      <t>a</t>
    </r>
    <r>
      <rPr>
        <sz val="8"/>
        <rFont val="Arial Narrow"/>
        <family val="2"/>
      </rPr>
      <t xml:space="preserve"> The Government of Alberta surveys, on a confidential basis, private sector forecasts from the Bank of Montreal, S&amp;P Global, Rystad, and Wood Mackenzie. The annual figures presented here are an average of the forecast prices from these sources. High/Low forecasts may represent one of the confidential forecasts. The private sector average and the consultant average have been rounded to the nearest 50 cents.</t>
    </r>
  </si>
  <si>
    <t>Confidential Forecasts Provided to the Government of Albertaa</t>
  </si>
  <si>
    <t>Natural Gas Price Benchmark</t>
  </si>
  <si>
    <r>
      <t>Henry Hub (US$/MMBtu)</t>
    </r>
    <r>
      <rPr>
        <vertAlign val="superscript"/>
        <sz val="10"/>
        <rFont val="Arial Narrow"/>
        <family val="2"/>
      </rPr>
      <t>a</t>
    </r>
  </si>
  <si>
    <r>
      <t>Deloitte (December 31, 2023)</t>
    </r>
    <r>
      <rPr>
        <vertAlign val="superscript"/>
        <sz val="10"/>
        <rFont val="Arial Narrow"/>
        <family val="2"/>
      </rPr>
      <t>b</t>
    </r>
  </si>
  <si>
    <r>
      <t>Confidential Forecasts Provided to the Government of Alberta</t>
    </r>
    <r>
      <rPr>
        <b/>
        <vertAlign val="superscript"/>
        <sz val="10"/>
        <rFont val="Arial Narrow"/>
        <family val="2"/>
      </rPr>
      <t>c</t>
    </r>
  </si>
  <si>
    <t xml:space="preserve">Average </t>
  </si>
  <si>
    <r>
      <t>a</t>
    </r>
    <r>
      <rPr>
        <sz val="8"/>
        <rFont val="Arial Narrow"/>
        <family val="2"/>
      </rPr>
      <t xml:space="preserve"> The natural gas price at Henry Hub Louisiana (in US$/MMBtu) is the US benchmark while the AECO natural gas price (in CAD$/GJ) is the Western Canada benchmark. While both benchmarks are widely used in North America, the difference between Henry Hub and AECO price reflects transportation costs and regional supply/demand impacts as well as exchange rate and unit conversion. The Alberta Reference Price (used in natural gas royalty calculations) represents the average field price of all Alberta gas sales which normally follows the Western Canada regional benchmark.</t>
    </r>
  </si>
  <si>
    <r>
      <t>b</t>
    </r>
    <r>
      <rPr>
        <sz val="8"/>
        <rFont val="Arial Narrow"/>
        <family val="2"/>
      </rPr>
      <t xml:space="preserve"> Converted from US$/Mcf to US$/MMBtu.</t>
    </r>
  </si>
  <si>
    <r>
      <rPr>
        <vertAlign val="superscript"/>
        <sz val="8"/>
        <rFont val="Arial Narrow"/>
        <family val="2"/>
      </rPr>
      <t>c</t>
    </r>
    <r>
      <rPr>
        <sz val="8"/>
        <rFont val="Arial Narrow"/>
        <family val="2"/>
      </rPr>
      <t xml:space="preserve"> The Government of Alberta also surveys, on a confidential basis, private sector forecasts from Rystad, Petral, S&amp;P Global, Wood McKenzie, and the Bank of Montreal. The annual figures presented here are the average forecast prices from these sources. High/Low forecasts may represent one of the confidential forecasts. The private sector average, consultant average and Government of Alberta forecasts have been rounded to the nearest ten cents.</t>
    </r>
  </si>
  <si>
    <t>Light-Heavy Oil Price Differential Benchmark</t>
  </si>
  <si>
    <t>WTI-WCS Price Differential ($US/bbl)</t>
  </si>
  <si>
    <t>Banks and Industry Analysts</t>
  </si>
  <si>
    <r>
      <t xml:space="preserve">a </t>
    </r>
    <r>
      <rPr>
        <sz val="8"/>
        <rFont val="Arial Narrow"/>
        <family val="2"/>
      </rPr>
      <t>The Government of Alberta also surveys, on a confidential basis, private sector forecasts from the Bank of Montreal, S&amp;P Global, and Wood Mackenzie. The annual figures presented here are the average forecast prices from these sources. High/Low forecasts may represent one of the confidential forecasts. The private sector average, consultant average and Government of Alberta forecasts have been rounded to the nearest ten cents.</t>
    </r>
  </si>
  <si>
    <t>Canadian Long-Term Interest Rate Benchmark</t>
  </si>
  <si>
    <t>10-Year Government of Canada Bonds (%)</t>
  </si>
  <si>
    <t>Stokes Economics (January 2024)</t>
  </si>
  <si>
    <t>Banks</t>
  </si>
  <si>
    <t>BMO Capital Markets (January 24, 2024)</t>
  </si>
  <si>
    <t>CIBC Capital Markets  (January 8, 2024)</t>
  </si>
  <si>
    <t>Deloitte (January 5, 2023)</t>
  </si>
  <si>
    <t>Laurentian Bank (August 17, 2023)</t>
  </si>
  <si>
    <t>RBC Royal Bank (December, 2023)</t>
  </si>
  <si>
    <t>TD Bank (January 2024)</t>
  </si>
  <si>
    <t>United States / Canada Exchange Rate Benchmark</t>
  </si>
  <si>
    <t>(US¢/Cdn$)</t>
  </si>
  <si>
    <t>TD Bank (January, 2024)</t>
  </si>
  <si>
    <t>Alberta Real Gross Domestic Product Benchmark</t>
  </si>
  <si>
    <t>(% change)</t>
  </si>
  <si>
    <t>Conference Board of Canada (December 15, 2023)</t>
  </si>
  <si>
    <t>BMO Capital Markets (January 19, 2024)</t>
  </si>
  <si>
    <t>CIBC Capital Markets (January, 2024)</t>
  </si>
  <si>
    <t>TD Bank (December 19, 2023)</t>
  </si>
  <si>
    <t>Alberta Nominal Gross Domestic Product Benchmark</t>
  </si>
  <si>
    <t>Conference Board of Canada (October 31, 2023)</t>
  </si>
  <si>
    <t>Alberta Employment Benchmark</t>
  </si>
  <si>
    <t>Alberta Unemployment Rate Benchmark</t>
  </si>
  <si>
    <t>(%)</t>
  </si>
  <si>
    <t>Alberta Housing Starts Benchmark</t>
  </si>
  <si>
    <t>(thousands of units)</t>
  </si>
  <si>
    <t>Conference Board of Canada (November, 2023)</t>
  </si>
  <si>
    <t>Real (billions of 2017 dollars)</t>
  </si>
  <si>
    <r>
      <t>a</t>
    </r>
    <r>
      <rPr>
        <sz val="7"/>
        <color theme="1"/>
        <rFont val="Arial"/>
        <family val="2"/>
      </rPr>
      <t xml:space="preserve"> Forecast was finalized on January 26, 2024
</t>
    </r>
    <r>
      <rPr>
        <vertAlign val="superscript"/>
        <sz val="7"/>
        <color theme="1"/>
        <rFont val="Arial"/>
        <family val="2"/>
      </rPr>
      <t>b</t>
    </r>
    <r>
      <rPr>
        <sz val="7"/>
        <color theme="1"/>
        <rFont val="Arial"/>
        <family val="2"/>
      </rPr>
      <t xml:space="preserve"> Forecasts have been rounded
</t>
    </r>
    <r>
      <rPr>
        <vertAlign val="superscript"/>
        <sz val="7"/>
        <color theme="1"/>
        <rFont val="Arial"/>
        <family val="2"/>
      </rPr>
      <t>c</t>
    </r>
    <r>
      <rPr>
        <sz val="7"/>
        <color theme="1"/>
        <rFont val="Arial"/>
        <family val="2"/>
      </rPr>
      <t xml:space="preserve"> Actual</t>
    </r>
  </si>
  <si>
    <t>2,461c</t>
  </si>
  <si>
    <t>3.6c</t>
  </si>
  <si>
    <t>5.9c</t>
  </si>
  <si>
    <t>36.0c</t>
  </si>
  <si>
    <t>3.3c</t>
  </si>
  <si>
    <t>4,695c</t>
  </si>
  <si>
    <t>4.1c</t>
  </si>
  <si>
    <t>168.8c</t>
  </si>
  <si>
    <t>Organization (#)</t>
  </si>
  <si>
    <t>National Forecasting Agencies (2)</t>
  </si>
  <si>
    <t>Banks and Investment Dealers (9)</t>
  </si>
  <si>
    <t>Industry Analysts (3)</t>
  </si>
  <si>
    <t>Confidential Forecasts (5)</t>
  </si>
  <si>
    <t>Sources: Alberta Treasury Board and Finance and Alberta Energy</t>
  </si>
  <si>
    <t>How Oil Price Forecasters Fared in Budget 2023</t>
  </si>
  <si>
    <t>How did they do in Budget 2023?</t>
  </si>
  <si>
    <t>2023 Actual</t>
  </si>
  <si>
    <t>How Natural Gas Price Forecasters Fared in Budget 2023</t>
  </si>
  <si>
    <t>Henry Hub (US$/MMBTU)</t>
  </si>
  <si>
    <t>Banks and Investment Dealers (5)</t>
  </si>
  <si>
    <t>Confidential Forecasts (6)</t>
  </si>
  <si>
    <t>This document contains information licensed under the</t>
  </si>
  <si>
    <t>Open Government Licence – Alberta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</si>
</sst>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409]mmm/yy;@"/>
    <numFmt numFmtId="167" formatCode="#,##0.000"/>
    <numFmt numFmtId="168" formatCode="&quot;$&quot;#,##0.00"/>
    <numFmt numFmtId="169" formatCode="_-* #,##0.00_-;\-* #,##0.00_-;_-* &quot;-&quot;??_-;_-@_-"/>
    <numFmt numFmtId="170" formatCode="_(* #,##0_);_(* \(#,##0\);_(* &quot;-&quot;??_);_(@_)"/>
  </numFmts>
  <fonts count="37" x14ac:knownFonts="1">
    <font>
      <sz val="11"/>
      <color theme="1"/>
      <name val="Calibri"/>
      <family val="2"/>
      <scheme val="minor"/>
    </font>
    <font>
      <sz val="11"/>
      <color theme="1"/>
      <name val="Calibri"/>
      <family val="2"/>
      <scheme val="minor"/>
    </font>
    <font>
      <sz val="10"/>
      <color theme="1"/>
      <name val="Arial Narrow"/>
      <family val="2"/>
    </font>
    <font>
      <b/>
      <sz val="12"/>
      <color theme="1"/>
      <name val="Arial Narrow"/>
      <family val="2"/>
    </font>
    <font>
      <sz val="9"/>
      <color theme="1"/>
      <name val="Calibri"/>
      <family val="2"/>
      <scheme val="minor"/>
    </font>
    <font>
      <sz val="11"/>
      <color theme="1"/>
      <name val="Arial Narrow"/>
      <family val="2"/>
    </font>
    <font>
      <sz val="11"/>
      <color theme="1"/>
      <name val="Arial"/>
      <family val="2"/>
    </font>
    <font>
      <b/>
      <sz val="12"/>
      <name val="Arial Narrow"/>
      <family val="2"/>
    </font>
    <font>
      <sz val="10"/>
      <name val="Arial"/>
      <family val="2"/>
    </font>
    <font>
      <b/>
      <sz val="8"/>
      <name val="Arial"/>
      <family val="2"/>
    </font>
    <font>
      <sz val="8"/>
      <name val="Arial"/>
      <family val="2"/>
    </font>
    <font>
      <sz val="9"/>
      <name val="Arial"/>
      <family val="2"/>
    </font>
    <font>
      <b/>
      <sz val="10"/>
      <name val="Arial Narrow"/>
      <family val="2"/>
    </font>
    <font>
      <sz val="10"/>
      <name val="Arial Narrow"/>
      <family val="2"/>
    </font>
    <font>
      <b/>
      <vertAlign val="superscript"/>
      <sz val="10"/>
      <name val="Arial Narrow"/>
      <family val="2"/>
    </font>
    <font>
      <b/>
      <vertAlign val="superscript"/>
      <sz val="8"/>
      <name val="Arial"/>
      <family val="2"/>
    </font>
    <font>
      <sz val="10"/>
      <color rgb="FF7030A0"/>
      <name val="Arial Narrow"/>
      <family val="2"/>
    </font>
    <font>
      <sz val="9"/>
      <color rgb="FF7030A0"/>
      <name val="Arial"/>
      <family val="2"/>
    </font>
    <font>
      <i/>
      <sz val="10"/>
      <name val="Arial Narrow"/>
      <family val="2"/>
    </font>
    <font>
      <i/>
      <sz val="10"/>
      <color rgb="FF7030A0"/>
      <name val="Arial Narrow"/>
      <family val="2"/>
    </font>
    <font>
      <vertAlign val="superscript"/>
      <sz val="10"/>
      <name val="Arial Narrow"/>
      <family val="2"/>
    </font>
    <font>
      <b/>
      <sz val="16"/>
      <name val="Arial Narrow"/>
      <family val="2"/>
    </font>
    <font>
      <b/>
      <sz val="10"/>
      <color rgb="FFFF0000"/>
      <name val="Arial"/>
      <family val="2"/>
    </font>
    <font>
      <b/>
      <sz val="10"/>
      <name val="Arial"/>
      <family val="2"/>
    </font>
    <font>
      <sz val="8"/>
      <name val="Arial Narrow"/>
      <family val="2"/>
    </font>
    <font>
      <vertAlign val="superscript"/>
      <sz val="8"/>
      <name val="Arial Narrow"/>
      <family val="2"/>
    </font>
    <font>
      <b/>
      <sz val="9"/>
      <color rgb="FF000000"/>
      <name val="Tahoma"/>
      <family val="2"/>
    </font>
    <font>
      <sz val="9"/>
      <color rgb="FF000000"/>
      <name val="Tahoma"/>
      <family val="2"/>
    </font>
    <font>
      <sz val="10"/>
      <color indexed="12"/>
      <name val="Arial"/>
      <family val="2"/>
    </font>
    <font>
      <sz val="10"/>
      <color indexed="12"/>
      <name val="Arial Narrow"/>
      <family val="2"/>
    </font>
    <font>
      <b/>
      <sz val="10"/>
      <color theme="1"/>
      <name val="Arial Narrow"/>
      <family val="2"/>
    </font>
    <font>
      <sz val="11"/>
      <name val="Arial"/>
      <family val="2"/>
    </font>
    <font>
      <u/>
      <sz val="11"/>
      <color theme="10"/>
      <name val="Arial"/>
      <family val="2"/>
    </font>
    <font>
      <vertAlign val="superscript"/>
      <sz val="7"/>
      <color theme="1"/>
      <name val="Arial"/>
      <family val="2"/>
    </font>
    <font>
      <sz val="7"/>
      <color theme="1"/>
      <name val="Arial"/>
      <family val="2"/>
    </font>
    <font>
      <sz val="9"/>
      <name val="Arial Narrow"/>
      <family val="2"/>
    </font>
    <font>
      <u/>
      <sz val="11"/>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theme="2"/>
        <bgColor indexed="64"/>
      </patternFill>
    </fill>
    <fill>
      <patternFill patternType="solid">
        <fgColor theme="9" tint="0.79998168889431442"/>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theme="0" tint="-0.14996795556505021"/>
      </right>
      <top style="thin">
        <color indexed="64"/>
      </top>
      <bottom/>
      <diagonal/>
    </border>
    <border>
      <left/>
      <right style="thin">
        <color theme="0" tint="-0.14996795556505021"/>
      </right>
      <top/>
      <bottom/>
      <diagonal/>
    </border>
    <border>
      <left/>
      <right style="thin">
        <color theme="0" tint="-0.14996795556505021"/>
      </right>
      <top/>
      <bottom style="thin">
        <color indexed="64"/>
      </bottom>
      <diagonal/>
    </border>
  </borders>
  <cellStyleXfs count="15">
    <xf numFmtId="0" fontId="0" fillId="0" borderId="0"/>
    <xf numFmtId="0" fontId="6" fillId="0" borderId="0"/>
    <xf numFmtId="0" fontId="1" fillId="0" borderId="0"/>
    <xf numFmtId="0" fontId="8" fillId="0" borderId="0"/>
    <xf numFmtId="0" fontId="1" fillId="0" borderId="0"/>
    <xf numFmtId="169" fontId="1" fillId="0" borderId="0" applyFont="0" applyFill="0" applyBorder="0" applyAlignment="0" applyProtection="0"/>
    <xf numFmtId="0" fontId="8" fillId="0" borderId="0"/>
    <xf numFmtId="0" fontId="1" fillId="0" borderId="0"/>
    <xf numFmtId="0" fontId="1" fillId="0" borderId="0"/>
    <xf numFmtId="0" fontId="8" fillId="0" borderId="0">
      <alignment vertical="top"/>
    </xf>
    <xf numFmtId="0" fontId="1" fillId="0" borderId="0"/>
    <xf numFmtId="0" fontId="8" fillId="0" borderId="0"/>
    <xf numFmtId="0" fontId="32" fillId="0" borderId="0" applyNumberFormat="0" applyFill="0" applyBorder="0" applyAlignment="0" applyProtection="0"/>
    <xf numFmtId="0" fontId="1" fillId="0" borderId="0"/>
    <xf numFmtId="0" fontId="36" fillId="0" borderId="0" applyNumberFormat="0" applyFill="0" applyBorder="0" applyAlignment="0" applyProtection="0"/>
  </cellStyleXfs>
  <cellXfs count="218">
    <xf numFmtId="0" fontId="0" fillId="0" borderId="0" xfId="0"/>
    <xf numFmtId="0" fontId="0" fillId="0" borderId="0" xfId="0" applyAlignment="1">
      <alignment horizontal="right"/>
    </xf>
    <xf numFmtId="2" fontId="0" fillId="0" borderId="0" xfId="0" applyNumberFormat="1"/>
    <xf numFmtId="0" fontId="0" fillId="0" borderId="0" xfId="0" applyAlignment="1">
      <alignment wrapText="1"/>
    </xf>
    <xf numFmtId="0" fontId="2" fillId="0" borderId="1" xfId="0" applyFont="1" applyBorder="1" applyAlignment="1">
      <alignment horizontal="center" vertical="center" wrapText="1"/>
    </xf>
    <xf numFmtId="0" fontId="3" fillId="0" borderId="0" xfId="0" applyFont="1" applyAlignment="1">
      <alignment horizontal="left"/>
    </xf>
    <xf numFmtId="0" fontId="4" fillId="0" borderId="0" xfId="0" applyFont="1" applyAlignment="1">
      <alignment horizontal="left"/>
    </xf>
    <xf numFmtId="165" fontId="2" fillId="0" borderId="0" xfId="0" applyNumberFormat="1" applyFont="1" applyAlignment="1">
      <alignment horizontal="center"/>
    </xf>
    <xf numFmtId="4" fontId="2" fillId="0" borderId="0" xfId="0" applyNumberFormat="1" applyFont="1" applyAlignment="1">
      <alignment horizontal="center"/>
    </xf>
    <xf numFmtId="0" fontId="5" fillId="0" borderId="0" xfId="0" applyFont="1" applyAlignment="1">
      <alignment horizontal="center"/>
    </xf>
    <xf numFmtId="166" fontId="0" fillId="0" borderId="0" xfId="0" applyNumberFormat="1"/>
    <xf numFmtId="166" fontId="5" fillId="0" borderId="0" xfId="0" applyNumberFormat="1" applyFont="1" applyAlignment="1">
      <alignment horizontal="center"/>
    </xf>
    <xf numFmtId="0" fontId="0" fillId="2" borderId="0" xfId="0" applyFill="1"/>
    <xf numFmtId="3" fontId="2" fillId="0" borderId="0" xfId="0" applyNumberFormat="1" applyFont="1" applyAlignment="1">
      <alignment horizontal="center"/>
    </xf>
    <xf numFmtId="3" fontId="0" fillId="0" borderId="0" xfId="0" applyNumberFormat="1"/>
    <xf numFmtId="4" fontId="0" fillId="0" borderId="0" xfId="0" applyNumberFormat="1"/>
    <xf numFmtId="167" fontId="2" fillId="0" borderId="0" xfId="0" applyNumberFormat="1" applyFont="1" applyAlignment="1">
      <alignment horizontal="center"/>
    </xf>
    <xf numFmtId="0" fontId="5" fillId="0" borderId="0" xfId="0" applyFont="1" applyAlignment="1">
      <alignment horizontal="left"/>
    </xf>
    <xf numFmtId="0" fontId="3" fillId="0" borderId="0" xfId="0" applyFont="1" applyFill="1" applyAlignment="1">
      <alignment horizontal="left"/>
    </xf>
    <xf numFmtId="0" fontId="0" fillId="0" borderId="0" xfId="0" applyFill="1"/>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5" fillId="0" borderId="0" xfId="0" applyFont="1" applyFill="1" applyAlignment="1">
      <alignment horizontal="left"/>
    </xf>
    <xf numFmtId="165" fontId="2" fillId="0" borderId="0" xfId="0" applyNumberFormat="1" applyFont="1" applyFill="1" applyAlignment="1">
      <alignment horizontal="center"/>
    </xf>
    <xf numFmtId="0" fontId="7" fillId="2" borderId="0" xfId="2" applyFont="1" applyFill="1"/>
    <xf numFmtId="0" fontId="8" fillId="2" borderId="0" xfId="2" applyFont="1" applyFill="1"/>
    <xf numFmtId="0" fontId="8" fillId="0" borderId="0" xfId="2" applyFont="1"/>
    <xf numFmtId="0" fontId="9" fillId="2" borderId="0" xfId="2" applyFont="1" applyFill="1"/>
    <xf numFmtId="0" fontId="10" fillId="2" borderId="0" xfId="2" applyFont="1" applyFill="1"/>
    <xf numFmtId="0" fontId="11" fillId="0" borderId="0" xfId="3" applyFont="1"/>
    <xf numFmtId="0" fontId="10" fillId="0" borderId="0" xfId="2" applyFont="1"/>
    <xf numFmtId="164" fontId="13" fillId="2" borderId="0" xfId="2" applyNumberFormat="1" applyFont="1" applyFill="1" applyAlignment="1">
      <alignment horizontal="right"/>
    </xf>
    <xf numFmtId="0" fontId="12" fillId="2" borderId="2" xfId="2" applyFont="1" applyFill="1" applyBorder="1" applyAlignment="1">
      <alignment horizontal="center" vertical="center" wrapText="1"/>
    </xf>
    <xf numFmtId="0" fontId="12" fillId="2" borderId="3" xfId="2" applyFont="1" applyFill="1" applyBorder="1" applyAlignment="1">
      <alignment horizontal="center" vertical="center" wrapText="1"/>
    </xf>
    <xf numFmtId="0" fontId="13" fillId="2" borderId="0" xfId="2" applyFont="1" applyFill="1"/>
    <xf numFmtId="0" fontId="16" fillId="2" borderId="0" xfId="2" applyFont="1" applyFill="1"/>
    <xf numFmtId="0" fontId="13" fillId="2" borderId="0" xfId="2" applyFont="1" applyFill="1" applyAlignment="1">
      <alignment horizontal="left" indent="1"/>
    </xf>
    <xf numFmtId="2" fontId="13" fillId="0" borderId="0" xfId="2" applyNumberFormat="1" applyFont="1" applyAlignment="1">
      <alignment horizontal="right"/>
    </xf>
    <xf numFmtId="2" fontId="13" fillId="2" borderId="0" xfId="2" applyNumberFormat="1" applyFont="1" applyFill="1" applyAlignment="1">
      <alignment horizontal="right"/>
    </xf>
    <xf numFmtId="2" fontId="13" fillId="2" borderId="0" xfId="2" applyNumberFormat="1" applyFont="1" applyFill="1"/>
    <xf numFmtId="2" fontId="16" fillId="2" borderId="0" xfId="2" applyNumberFormat="1" applyFont="1" applyFill="1" applyAlignment="1">
      <alignment horizontal="right"/>
    </xf>
    <xf numFmtId="0" fontId="13" fillId="0" borderId="0" xfId="2" applyFont="1" applyAlignment="1">
      <alignment horizontal="left" indent="1"/>
    </xf>
    <xf numFmtId="0" fontId="13" fillId="2" borderId="0" xfId="2" applyFont="1" applyFill="1" applyAlignment="1">
      <alignment horizontal="right"/>
    </xf>
    <xf numFmtId="0" fontId="16" fillId="2" borderId="0" xfId="2" applyFont="1" applyFill="1" applyAlignment="1">
      <alignment horizontal="right"/>
    </xf>
    <xf numFmtId="3" fontId="13" fillId="2" borderId="0" xfId="2" applyNumberFormat="1" applyFont="1" applyFill="1" applyAlignment="1">
      <alignment horizontal="right"/>
    </xf>
    <xf numFmtId="4" fontId="13" fillId="2" borderId="0" xfId="2" applyNumberFormat="1" applyFont="1" applyFill="1" applyAlignment="1">
      <alignment horizontal="right"/>
    </xf>
    <xf numFmtId="165" fontId="13" fillId="2" borderId="3" xfId="2" applyNumberFormat="1" applyFont="1" applyFill="1" applyBorder="1" applyAlignment="1">
      <alignment horizontal="right"/>
    </xf>
    <xf numFmtId="0" fontId="12" fillId="2" borderId="0" xfId="2" applyFont="1" applyFill="1"/>
    <xf numFmtId="0" fontId="17" fillId="2" borderId="0" xfId="3" applyFont="1" applyFill="1"/>
    <xf numFmtId="0" fontId="13" fillId="2" borderId="0" xfId="2" applyFont="1" applyFill="1" applyAlignment="1">
      <alignment horizontal="left" indent="2"/>
    </xf>
    <xf numFmtId="164" fontId="13" fillId="2" borderId="0" xfId="2" quotePrefix="1" applyNumberFormat="1" applyFont="1" applyFill="1" applyAlignment="1">
      <alignment horizontal="right"/>
    </xf>
    <xf numFmtId="164" fontId="13" fillId="2" borderId="0" xfId="3" applyNumberFormat="1" applyFont="1" applyFill="1"/>
    <xf numFmtId="0" fontId="18" fillId="2" borderId="0" xfId="2" applyFont="1" applyFill="1" applyAlignment="1">
      <alignment horizontal="right"/>
    </xf>
    <xf numFmtId="0" fontId="19" fillId="2" borderId="0" xfId="2" applyFont="1" applyFill="1"/>
    <xf numFmtId="0" fontId="11" fillId="2" borderId="0" xfId="3" applyFont="1" applyFill="1"/>
    <xf numFmtId="0" fontId="13" fillId="0" borderId="0" xfId="2" applyFont="1" applyAlignment="1">
      <alignment horizontal="left" indent="2"/>
    </xf>
    <xf numFmtId="164" fontId="10" fillId="2" borderId="0" xfId="3" applyNumberFormat="1" applyFont="1" applyFill="1"/>
    <xf numFmtId="0" fontId="8" fillId="2" borderId="0" xfId="3" applyFill="1"/>
    <xf numFmtId="0" fontId="1" fillId="2" borderId="0" xfId="2" applyFill="1"/>
    <xf numFmtId="0" fontId="11" fillId="2" borderId="0" xfId="2" applyFont="1" applyFill="1"/>
    <xf numFmtId="0" fontId="12" fillId="2" borderId="0" xfId="2" applyFont="1" applyFill="1" applyAlignment="1">
      <alignment horizontal="left"/>
    </xf>
    <xf numFmtId="0" fontId="0" fillId="2" borderId="0" xfId="0" applyFill="1" applyAlignment="1">
      <alignment horizontal="center"/>
    </xf>
    <xf numFmtId="168" fontId="1" fillId="2" borderId="0" xfId="4" applyNumberFormat="1" applyFill="1"/>
    <xf numFmtId="3" fontId="1" fillId="2" borderId="0" xfId="4" applyNumberFormat="1" applyFill="1"/>
    <xf numFmtId="0" fontId="12" fillId="2" borderId="3" xfId="2" applyFont="1" applyFill="1" applyBorder="1" applyAlignment="1">
      <alignment horizontal="left"/>
    </xf>
    <xf numFmtId="0" fontId="13" fillId="2" borderId="3" xfId="2" applyFont="1" applyFill="1" applyBorder="1" applyAlignment="1">
      <alignment horizontal="left" indent="1"/>
    </xf>
    <xf numFmtId="0" fontId="10" fillId="2" borderId="0" xfId="3" applyFont="1" applyFill="1"/>
    <xf numFmtId="14" fontId="11" fillId="2" borderId="0" xfId="3" applyNumberFormat="1" applyFont="1" applyFill="1"/>
    <xf numFmtId="0" fontId="21" fillId="0" borderId="0" xfId="2" applyFont="1"/>
    <xf numFmtId="0" fontId="22" fillId="0" borderId="0" xfId="2" applyFont="1"/>
    <xf numFmtId="0" fontId="23" fillId="0" borderId="0" xfId="2" applyFont="1"/>
    <xf numFmtId="0" fontId="9" fillId="0" borderId="0" xfId="2" applyFont="1"/>
    <xf numFmtId="0" fontId="12" fillId="0" borderId="1" xfId="2" applyFont="1" applyBorder="1" applyAlignment="1">
      <alignment vertical="center"/>
    </xf>
    <xf numFmtId="0" fontId="12" fillId="0" borderId="1" xfId="2" applyFont="1" applyBorder="1" applyAlignment="1">
      <alignment horizontal="center" vertical="center"/>
    </xf>
    <xf numFmtId="0" fontId="13" fillId="0" borderId="0" xfId="2" applyFont="1" applyAlignment="1">
      <alignment horizontal="left"/>
    </xf>
    <xf numFmtId="2" fontId="13" fillId="0" borderId="0" xfId="2" applyNumberFormat="1" applyFont="1" applyAlignment="1">
      <alignment horizontal="center"/>
    </xf>
    <xf numFmtId="0" fontId="13" fillId="0" borderId="0" xfId="2" applyFont="1" applyAlignment="1">
      <alignment horizontal="left" indent="3"/>
    </xf>
    <xf numFmtId="2" fontId="16" fillId="0" borderId="0" xfId="2" applyNumberFormat="1" applyFont="1" applyAlignment="1">
      <alignment horizontal="center"/>
    </xf>
    <xf numFmtId="164" fontId="13" fillId="0" borderId="0" xfId="2" applyNumberFormat="1" applyFont="1" applyAlignment="1">
      <alignment horizontal="center"/>
    </xf>
    <xf numFmtId="164" fontId="16" fillId="0" borderId="0" xfId="5" quotePrefix="1" applyNumberFormat="1" applyFont="1" applyFill="1" applyBorder="1" applyAlignment="1">
      <alignment horizontal="center"/>
    </xf>
    <xf numFmtId="165" fontId="13" fillId="0" borderId="0" xfId="2" applyNumberFormat="1" applyFont="1"/>
    <xf numFmtId="164" fontId="13" fillId="0" borderId="0" xfId="5" applyNumberFormat="1" applyFont="1" applyFill="1" applyBorder="1" applyAlignment="1">
      <alignment horizontal="center"/>
    </xf>
    <xf numFmtId="165" fontId="16" fillId="0" borderId="0" xfId="2" applyNumberFormat="1" applyFont="1"/>
    <xf numFmtId="164" fontId="16" fillId="0" borderId="0" xfId="2" applyNumberFormat="1" applyFont="1" applyAlignment="1">
      <alignment horizontal="center"/>
    </xf>
    <xf numFmtId="3" fontId="13" fillId="0" borderId="0" xfId="2" applyNumberFormat="1" applyFont="1" applyAlignment="1">
      <alignment horizontal="center"/>
    </xf>
    <xf numFmtId="0" fontId="28" fillId="4" borderId="0" xfId="2" applyFont="1" applyFill="1" applyAlignment="1">
      <alignment horizontal="center"/>
    </xf>
    <xf numFmtId="0" fontId="28" fillId="4" borderId="0" xfId="2" applyFont="1" applyFill="1"/>
    <xf numFmtId="0" fontId="29" fillId="4" borderId="0" xfId="2" applyFont="1" applyFill="1"/>
    <xf numFmtId="4" fontId="13" fillId="2" borderId="3" xfId="2" applyNumberFormat="1" applyFont="1" applyFill="1" applyBorder="1" applyAlignment="1">
      <alignment horizontal="center"/>
    </xf>
    <xf numFmtId="2" fontId="13" fillId="2" borderId="0" xfId="2" applyNumberFormat="1" applyFont="1" applyFill="1" applyAlignment="1">
      <alignment horizontal="center"/>
    </xf>
    <xf numFmtId="0" fontId="28" fillId="2" borderId="0" xfId="2" applyFont="1" applyFill="1" applyAlignment="1">
      <alignment horizontal="center"/>
    </xf>
    <xf numFmtId="0" fontId="28" fillId="2" borderId="0" xfId="2" applyFont="1" applyFill="1"/>
    <xf numFmtId="0" fontId="29" fillId="2" borderId="0" xfId="2" applyFont="1" applyFill="1" applyAlignment="1">
      <alignment horizontal="center"/>
    </xf>
    <xf numFmtId="0" fontId="29" fillId="2" borderId="0" xfId="2" applyFont="1" applyFill="1"/>
    <xf numFmtId="0" fontId="12" fillId="2" borderId="3" xfId="2" applyFont="1" applyFill="1" applyBorder="1"/>
    <xf numFmtId="0" fontId="12" fillId="2" borderId="3" xfId="2" applyFont="1" applyFill="1" applyBorder="1" applyAlignment="1">
      <alignment horizontal="center"/>
    </xf>
    <xf numFmtId="0" fontId="13" fillId="2" borderId="0" xfId="2" applyFont="1" applyFill="1" applyAlignment="1">
      <alignment horizontal="left"/>
    </xf>
    <xf numFmtId="2" fontId="12" fillId="2" borderId="0" xfId="2" applyNumberFormat="1" applyFont="1" applyFill="1" applyAlignment="1">
      <alignment horizontal="center"/>
    </xf>
    <xf numFmtId="2" fontId="29" fillId="2" borderId="0" xfId="2" applyNumberFormat="1" applyFont="1" applyFill="1"/>
    <xf numFmtId="0" fontId="12" fillId="5" borderId="0" xfId="7" applyFont="1" applyFill="1" applyAlignment="1">
      <alignment vertical="center"/>
    </xf>
    <xf numFmtId="2" fontId="12" fillId="5" borderId="0" xfId="7" applyNumberFormat="1" applyFont="1" applyFill="1" applyAlignment="1">
      <alignment horizontal="center" vertical="center"/>
    </xf>
    <xf numFmtId="0" fontId="7" fillId="2" borderId="0" xfId="2" applyFont="1" applyFill="1" applyAlignment="1">
      <alignment vertical="center"/>
    </xf>
    <xf numFmtId="0" fontId="8" fillId="2" borderId="0" xfId="2" applyFont="1" applyFill="1" applyAlignment="1">
      <alignment vertical="center"/>
    </xf>
    <xf numFmtId="0" fontId="8" fillId="2" borderId="0" xfId="6" applyFill="1" applyAlignment="1">
      <alignment vertical="center"/>
    </xf>
    <xf numFmtId="0" fontId="13" fillId="2" borderId="0" xfId="0" applyFont="1" applyFill="1"/>
    <xf numFmtId="0" fontId="13" fillId="2" borderId="0" xfId="2" applyFont="1" applyFill="1" applyAlignment="1">
      <alignment vertical="center"/>
    </xf>
    <xf numFmtId="0" fontId="13" fillId="2" borderId="0" xfId="6" applyFont="1" applyFill="1" applyAlignment="1">
      <alignment vertical="center"/>
    </xf>
    <xf numFmtId="0" fontId="12" fillId="2" borderId="3" xfId="2" applyFont="1" applyFill="1" applyBorder="1" applyAlignment="1">
      <alignment vertical="center"/>
    </xf>
    <xf numFmtId="0" fontId="12" fillId="2" borderId="3" xfId="2" applyFont="1" applyFill="1" applyBorder="1" applyAlignment="1">
      <alignment horizontal="center" vertical="center"/>
    </xf>
    <xf numFmtId="0" fontId="12" fillId="2" borderId="0" xfId="2" applyFont="1" applyFill="1" applyAlignment="1">
      <alignment vertical="center"/>
    </xf>
    <xf numFmtId="0" fontId="13" fillId="2" borderId="0" xfId="2" applyFont="1" applyFill="1" applyAlignment="1">
      <alignment horizontal="left" vertical="center" indent="1"/>
    </xf>
    <xf numFmtId="2" fontId="13" fillId="2" borderId="0" xfId="0" applyNumberFormat="1" applyFont="1" applyFill="1" applyAlignment="1">
      <alignment horizontal="center" vertical="center"/>
    </xf>
    <xf numFmtId="2" fontId="13" fillId="2" borderId="0" xfId="2" applyNumberFormat="1" applyFont="1" applyFill="1" applyAlignment="1">
      <alignment horizontal="center" vertical="center"/>
    </xf>
    <xf numFmtId="2" fontId="2" fillId="2" borderId="0" xfId="0" applyNumberFormat="1" applyFont="1" applyFill="1" applyAlignment="1">
      <alignment horizontal="center" vertical="center"/>
    </xf>
    <xf numFmtId="0" fontId="13" fillId="2" borderId="3" xfId="2" applyFont="1" applyFill="1" applyBorder="1" applyAlignment="1">
      <alignment horizontal="left" vertical="center" indent="1"/>
    </xf>
    <xf numFmtId="4" fontId="13" fillId="2" borderId="3" xfId="2" applyNumberFormat="1" applyFont="1" applyFill="1" applyBorder="1" applyAlignment="1">
      <alignment horizontal="center" vertical="center"/>
    </xf>
    <xf numFmtId="0" fontId="24" fillId="2" borderId="0" xfId="2" applyFont="1" applyFill="1" applyAlignment="1">
      <alignment horizontal="left" vertical="center" wrapText="1"/>
    </xf>
    <xf numFmtId="0" fontId="12" fillId="5" borderId="0" xfId="2" applyFont="1" applyFill="1" applyAlignment="1">
      <alignment vertical="center"/>
    </xf>
    <xf numFmtId="2" fontId="12" fillId="5" borderId="0" xfId="2" applyNumberFormat="1" applyFont="1" applyFill="1" applyAlignment="1">
      <alignment horizontal="center" vertical="center"/>
    </xf>
    <xf numFmtId="0" fontId="12" fillId="6" borderId="0" xfId="2" applyFont="1" applyFill="1" applyAlignment="1">
      <alignment vertical="center"/>
    </xf>
    <xf numFmtId="2" fontId="12" fillId="6" borderId="0" xfId="2" applyNumberFormat="1" applyFont="1" applyFill="1" applyAlignment="1">
      <alignment horizontal="center" vertical="center"/>
    </xf>
    <xf numFmtId="0" fontId="0" fillId="2" borderId="0" xfId="0" applyFill="1" applyAlignment="1">
      <alignment wrapText="1"/>
    </xf>
    <xf numFmtId="0" fontId="0" fillId="2" borderId="0" xfId="0" applyFill="1" applyAlignment="1"/>
    <xf numFmtId="0" fontId="24" fillId="2" borderId="0" xfId="2" applyFont="1" applyFill="1" applyAlignment="1">
      <alignment vertical="center"/>
    </xf>
    <xf numFmtId="0" fontId="12" fillId="2" borderId="0" xfId="6" applyFont="1" applyFill="1" applyAlignment="1">
      <alignment horizontal="center" vertical="center"/>
    </xf>
    <xf numFmtId="2" fontId="13" fillId="2" borderId="0" xfId="6" applyNumberFormat="1" applyFont="1" applyFill="1" applyAlignment="1">
      <alignment horizontal="center" vertical="center"/>
    </xf>
    <xf numFmtId="2" fontId="8" fillId="2" borderId="0" xfId="6" applyNumberFormat="1" applyFill="1"/>
    <xf numFmtId="2" fontId="8" fillId="2" borderId="0" xfId="6" applyNumberFormat="1" applyFill="1" applyAlignment="1">
      <alignment horizontal="center"/>
    </xf>
    <xf numFmtId="0" fontId="13" fillId="2" borderId="0" xfId="8" applyFont="1" applyFill="1" applyAlignment="1">
      <alignment vertical="center"/>
    </xf>
    <xf numFmtId="2" fontId="13" fillId="2" borderId="0" xfId="8" applyNumberFormat="1" applyFont="1" applyFill="1" applyAlignment="1">
      <alignment horizontal="center" vertical="center"/>
    </xf>
    <xf numFmtId="0" fontId="7" fillId="2" borderId="0" xfId="8" applyFont="1" applyFill="1" applyAlignment="1">
      <alignment vertical="center"/>
    </xf>
    <xf numFmtId="0" fontId="24" fillId="2" borderId="0" xfId="8" applyFont="1" applyFill="1" applyAlignment="1">
      <alignment vertical="center"/>
    </xf>
    <xf numFmtId="0" fontId="8" fillId="2" borderId="0" xfId="0" applyFont="1" applyFill="1" applyAlignment="1">
      <alignment vertical="center"/>
    </xf>
    <xf numFmtId="0" fontId="13" fillId="2" borderId="0" xfId="0" applyFont="1" applyFill="1" applyAlignment="1">
      <alignment vertical="center"/>
    </xf>
    <xf numFmtId="0" fontId="12" fillId="2" borderId="3" xfId="8" applyFont="1" applyFill="1" applyBorder="1" applyAlignment="1">
      <alignment vertical="center"/>
    </xf>
    <xf numFmtId="0" fontId="12" fillId="2" borderId="3" xfId="8" applyFont="1" applyFill="1" applyBorder="1" applyAlignment="1">
      <alignment horizontal="center" vertical="center"/>
    </xf>
    <xf numFmtId="0" fontId="12" fillId="2" borderId="0" xfId="8" applyFont="1" applyFill="1" applyAlignment="1">
      <alignment vertical="center"/>
    </xf>
    <xf numFmtId="0" fontId="13" fillId="2" borderId="0" xfId="8" applyFont="1" applyFill="1" applyAlignment="1">
      <alignment horizontal="left" vertical="center" indent="1"/>
    </xf>
    <xf numFmtId="2" fontId="13" fillId="2" borderId="0" xfId="0" applyNumberFormat="1" applyFont="1" applyFill="1" applyAlignment="1">
      <alignment horizontal="center"/>
    </xf>
    <xf numFmtId="0" fontId="2" fillId="2" borderId="0" xfId="8" applyFont="1" applyFill="1" applyAlignment="1">
      <alignment horizontal="left" vertical="center" indent="1"/>
    </xf>
    <xf numFmtId="0" fontId="13" fillId="2" borderId="3" xfId="8" applyFont="1" applyFill="1" applyBorder="1" applyAlignment="1">
      <alignment horizontal="left" vertical="center" indent="1"/>
    </xf>
    <xf numFmtId="2" fontId="13" fillId="2" borderId="3" xfId="8" applyNumberFormat="1" applyFont="1" applyFill="1" applyBorder="1" applyAlignment="1">
      <alignment horizontal="center" vertical="center"/>
    </xf>
    <xf numFmtId="0" fontId="24" fillId="2" borderId="0" xfId="8" applyFont="1" applyFill="1" applyAlignment="1">
      <alignment horizontal="left" vertical="center" wrapText="1"/>
    </xf>
    <xf numFmtId="0" fontId="13" fillId="2" borderId="0" xfId="8" applyFont="1" applyFill="1" applyAlignment="1">
      <alignment vertical="center" wrapText="1"/>
    </xf>
    <xf numFmtId="0" fontId="10" fillId="2" borderId="0" xfId="0" applyFont="1" applyFill="1" applyAlignment="1">
      <alignment vertical="center"/>
    </xf>
    <xf numFmtId="170" fontId="8" fillId="2" borderId="0" xfId="5" applyNumberFormat="1" applyFont="1" applyFill="1" applyAlignment="1">
      <alignment vertical="center"/>
    </xf>
    <xf numFmtId="170" fontId="13" fillId="2" borderId="0" xfId="5" applyNumberFormat="1" applyFont="1" applyFill="1" applyAlignment="1">
      <alignment vertical="center"/>
    </xf>
    <xf numFmtId="164" fontId="13" fillId="2" borderId="0" xfId="0" applyNumberFormat="1" applyFont="1" applyFill="1" applyAlignment="1">
      <alignment vertical="center"/>
    </xf>
    <xf numFmtId="164" fontId="13" fillId="2" borderId="0" xfId="0" applyNumberFormat="1" applyFont="1" applyFill="1" applyAlignment="1">
      <alignment horizontal="center"/>
    </xf>
    <xf numFmtId="164" fontId="13" fillId="2" borderId="0" xfId="9" applyNumberFormat="1" applyFont="1" applyFill="1" applyAlignment="1">
      <alignment horizontal="center" vertical="center"/>
    </xf>
    <xf numFmtId="164" fontId="13" fillId="2" borderId="0" xfId="0" applyNumberFormat="1" applyFont="1" applyFill="1" applyAlignment="1">
      <alignment horizontal="center" vertical="center"/>
    </xf>
    <xf numFmtId="164" fontId="13" fillId="2" borderId="0" xfId="8" applyNumberFormat="1" applyFont="1" applyFill="1" applyAlignment="1">
      <alignment horizontal="center" vertical="center"/>
    </xf>
    <xf numFmtId="164" fontId="13" fillId="2" borderId="3" xfId="8" applyNumberFormat="1" applyFont="1" applyFill="1" applyBorder="1" applyAlignment="1">
      <alignment horizontal="center" vertical="center"/>
    </xf>
    <xf numFmtId="164" fontId="12" fillId="5" borderId="0" xfId="2" applyNumberFormat="1" applyFont="1" applyFill="1" applyAlignment="1">
      <alignment horizontal="center" vertical="center"/>
    </xf>
    <xf numFmtId="164" fontId="12" fillId="6" borderId="0" xfId="2" applyNumberFormat="1" applyFont="1" applyFill="1" applyAlignment="1">
      <alignment horizontal="center" vertical="center"/>
    </xf>
    <xf numFmtId="0" fontId="24" fillId="0" borderId="0" xfId="8" applyFont="1" applyAlignment="1">
      <alignment horizontal="left" vertical="center"/>
    </xf>
    <xf numFmtId="0" fontId="12" fillId="2" borderId="3" xfId="6" applyFont="1" applyFill="1" applyBorder="1" applyAlignment="1">
      <alignment horizontal="center"/>
    </xf>
    <xf numFmtId="0" fontId="12" fillId="2" borderId="0" xfId="6" applyFont="1" applyFill="1"/>
    <xf numFmtId="0" fontId="13" fillId="2" borderId="0" xfId="6" applyFont="1" applyFill="1" applyAlignment="1">
      <alignment horizontal="center"/>
    </xf>
    <xf numFmtId="164" fontId="13" fillId="2" borderId="0" xfId="6" applyNumberFormat="1" applyFont="1" applyFill="1" applyAlignment="1">
      <alignment horizontal="center"/>
    </xf>
    <xf numFmtId="0" fontId="13" fillId="2" borderId="3" xfId="6" applyFont="1" applyFill="1" applyBorder="1" applyAlignment="1">
      <alignment horizontal="center"/>
    </xf>
    <xf numFmtId="0" fontId="23" fillId="2" borderId="0" xfId="6" applyFont="1" applyFill="1" applyAlignment="1">
      <alignment vertical="center"/>
    </xf>
    <xf numFmtId="0" fontId="23" fillId="2" borderId="0" xfId="6" applyFont="1" applyFill="1" applyAlignment="1">
      <alignment horizontal="right" vertical="center"/>
    </xf>
    <xf numFmtId="0" fontId="12" fillId="2" borderId="0" xfId="6" applyFont="1" applyFill="1" applyAlignment="1">
      <alignment horizontal="right" vertical="center"/>
    </xf>
    <xf numFmtId="0" fontId="12" fillId="2" borderId="0" xfId="6" applyFont="1" applyFill="1" applyAlignment="1">
      <alignment vertical="center"/>
    </xf>
    <xf numFmtId="0" fontId="24" fillId="2" borderId="0" xfId="8" applyFont="1" applyFill="1" applyAlignment="1">
      <alignment horizontal="left" vertical="center"/>
    </xf>
    <xf numFmtId="0" fontId="30" fillId="2" borderId="0" xfId="8" applyFont="1" applyFill="1" applyAlignment="1">
      <alignment vertical="center"/>
    </xf>
    <xf numFmtId="0" fontId="7" fillId="2" borderId="0" xfId="10" applyFont="1" applyFill="1" applyAlignment="1">
      <alignment vertical="center"/>
    </xf>
    <xf numFmtId="0" fontId="13" fillId="2" borderId="0" xfId="10" applyFont="1" applyFill="1" applyAlignment="1">
      <alignment vertical="center"/>
    </xf>
    <xf numFmtId="0" fontId="12" fillId="2" borderId="3" xfId="10" applyFont="1" applyFill="1" applyBorder="1" applyAlignment="1">
      <alignment vertical="center"/>
    </xf>
    <xf numFmtId="1" fontId="12" fillId="2" borderId="3" xfId="10" applyNumberFormat="1" applyFont="1" applyFill="1" applyBorder="1" applyAlignment="1">
      <alignment horizontal="center" vertical="center"/>
    </xf>
    <xf numFmtId="0" fontId="12" fillId="2" borderId="0" xfId="10" applyFont="1" applyFill="1" applyAlignment="1">
      <alignment vertical="center"/>
    </xf>
    <xf numFmtId="164" fontId="2" fillId="2" borderId="0" xfId="10" applyNumberFormat="1" applyFont="1" applyFill="1" applyAlignment="1">
      <alignment horizontal="center" vertical="center"/>
    </xf>
    <xf numFmtId="0" fontId="13" fillId="2" borderId="0" xfId="10" applyFont="1" applyFill="1" applyAlignment="1">
      <alignment horizontal="left" vertical="center" indent="1"/>
    </xf>
    <xf numFmtId="0" fontId="30" fillId="2" borderId="0" xfId="10" applyFont="1" applyFill="1" applyAlignment="1">
      <alignment vertical="center"/>
    </xf>
    <xf numFmtId="164" fontId="13" fillId="2" borderId="0" xfId="10" applyNumberFormat="1" applyFont="1" applyFill="1" applyAlignment="1">
      <alignment horizontal="center" vertical="center"/>
    </xf>
    <xf numFmtId="0" fontId="13" fillId="2" borderId="3" xfId="10" applyFont="1" applyFill="1" applyBorder="1" applyAlignment="1">
      <alignment horizontal="left" vertical="center" indent="1"/>
    </xf>
    <xf numFmtId="164" fontId="13" fillId="2" borderId="3" xfId="10" applyNumberFormat="1" applyFont="1" applyFill="1" applyBorder="1" applyAlignment="1">
      <alignment horizontal="center" vertical="center"/>
    </xf>
    <xf numFmtId="0" fontId="24" fillId="2" borderId="0" xfId="10" applyFont="1" applyFill="1" applyAlignment="1">
      <alignment horizontal="left" vertical="center"/>
    </xf>
    <xf numFmtId="0" fontId="13" fillId="2" borderId="0" xfId="10" applyFont="1" applyFill="1" applyAlignment="1">
      <alignment vertical="center" wrapText="1"/>
    </xf>
    <xf numFmtId="0" fontId="10" fillId="2" borderId="0" xfId="11" applyFont="1" applyFill="1" applyAlignment="1">
      <alignment vertical="center" wrapText="1"/>
    </xf>
    <xf numFmtId="0" fontId="2" fillId="2" borderId="0" xfId="10" applyFont="1" applyFill="1" applyAlignment="1">
      <alignment horizontal="left" vertical="center" indent="1"/>
    </xf>
    <xf numFmtId="165" fontId="13" fillId="2" borderId="0" xfId="2" applyNumberFormat="1" applyFont="1" applyFill="1" applyAlignment="1">
      <alignment horizontal="right"/>
    </xf>
    <xf numFmtId="0" fontId="33" fillId="2" borderId="0" xfId="3" applyFont="1" applyFill="1" applyAlignment="1">
      <alignment wrapText="1"/>
    </xf>
    <xf numFmtId="0" fontId="16" fillId="5" borderId="4" xfId="2" applyFont="1" applyFill="1" applyBorder="1"/>
    <xf numFmtId="2" fontId="13" fillId="5" borderId="5" xfId="2" applyNumberFormat="1" applyFont="1" applyFill="1" applyBorder="1" applyAlignment="1">
      <alignment horizontal="right"/>
    </xf>
    <xf numFmtId="2" fontId="13" fillId="5" borderId="5" xfId="2" applyNumberFormat="1" applyFont="1" applyFill="1" applyBorder="1"/>
    <xf numFmtId="2" fontId="16" fillId="5" borderId="5" xfId="2" applyNumberFormat="1" applyFont="1" applyFill="1" applyBorder="1" applyAlignment="1">
      <alignment horizontal="right"/>
    </xf>
    <xf numFmtId="0" fontId="16" fillId="5" borderId="5" xfId="2" applyFont="1" applyFill="1" applyBorder="1" applyAlignment="1">
      <alignment horizontal="right"/>
    </xf>
    <xf numFmtId="3" fontId="13" fillId="5" borderId="5" xfId="2" applyNumberFormat="1" applyFont="1" applyFill="1" applyBorder="1" applyAlignment="1">
      <alignment horizontal="right"/>
    </xf>
    <xf numFmtId="165" fontId="13" fillId="5" borderId="6" xfId="2" applyNumberFormat="1" applyFont="1" applyFill="1" applyBorder="1" applyAlignment="1">
      <alignment horizontal="right"/>
    </xf>
    <xf numFmtId="0" fontId="12" fillId="5" borderId="2" xfId="2" applyFont="1" applyFill="1" applyBorder="1" applyAlignment="1">
      <alignment horizontal="center" vertical="center" wrapText="1"/>
    </xf>
    <xf numFmtId="0" fontId="12" fillId="5" borderId="3" xfId="2" applyFont="1" applyFill="1" applyBorder="1" applyAlignment="1">
      <alignment horizontal="center" vertical="center" wrapText="1"/>
    </xf>
    <xf numFmtId="0" fontId="16" fillId="5" borderId="0" xfId="2" applyFont="1" applyFill="1"/>
    <xf numFmtId="164" fontId="13" fillId="5" borderId="0" xfId="2" applyNumberFormat="1" applyFont="1" applyFill="1" applyAlignment="1">
      <alignment horizontal="right"/>
    </xf>
    <xf numFmtId="164" fontId="13" fillId="5" borderId="0" xfId="2" quotePrefix="1" applyNumberFormat="1" applyFont="1" applyFill="1" applyAlignment="1">
      <alignment horizontal="right"/>
    </xf>
    <xf numFmtId="164" fontId="13" fillId="5" borderId="0" xfId="3" applyNumberFormat="1" applyFont="1" applyFill="1"/>
    <xf numFmtId="0" fontId="19" fillId="5" borderId="0" xfId="2" applyFont="1" applyFill="1"/>
    <xf numFmtId="3" fontId="13" fillId="5" borderId="0" xfId="2" applyNumberFormat="1" applyFont="1" applyFill="1" applyAlignment="1">
      <alignment horizontal="right"/>
    </xf>
    <xf numFmtId="165" fontId="13" fillId="5" borderId="0" xfId="2" applyNumberFormat="1" applyFont="1" applyFill="1" applyAlignment="1">
      <alignment horizontal="right"/>
    </xf>
    <xf numFmtId="165" fontId="13" fillId="5" borderId="3" xfId="2" applyNumberFormat="1" applyFont="1" applyFill="1" applyBorder="1" applyAlignment="1">
      <alignment horizontal="right"/>
    </xf>
    <xf numFmtId="2" fontId="30" fillId="5" borderId="0" xfId="7" applyNumberFormat="1" applyFont="1" applyFill="1" applyAlignment="1">
      <alignment horizontal="center" vertical="center"/>
    </xf>
    <xf numFmtId="0" fontId="12" fillId="3" borderId="0" xfId="2" applyFont="1" applyFill="1"/>
    <xf numFmtId="2" fontId="12" fillId="3" borderId="0" xfId="2" applyNumberFormat="1" applyFont="1" applyFill="1" applyAlignment="1">
      <alignment horizontal="center"/>
    </xf>
    <xf numFmtId="168" fontId="29" fillId="4" borderId="0" xfId="2" applyNumberFormat="1" applyFont="1" applyFill="1"/>
    <xf numFmtId="0" fontId="35" fillId="0" borderId="0" xfId="2" applyFont="1"/>
    <xf numFmtId="0" fontId="13" fillId="2" borderId="0" xfId="2" applyFont="1" applyFill="1" applyAlignment="1">
      <alignment vertical="top" wrapText="1"/>
    </xf>
    <xf numFmtId="0" fontId="12" fillId="2" borderId="0" xfId="2" applyFont="1" applyFill="1" applyAlignment="1">
      <alignment horizontal="center"/>
    </xf>
    <xf numFmtId="0" fontId="13" fillId="2" borderId="3" xfId="2" applyFont="1" applyFill="1" applyBorder="1" applyAlignment="1">
      <alignment horizontal="center"/>
    </xf>
    <xf numFmtId="0" fontId="12" fillId="2" borderId="2" xfId="2" applyFont="1" applyFill="1" applyBorder="1" applyAlignment="1">
      <alignment horizontal="left" vertical="center"/>
    </xf>
    <xf numFmtId="0" fontId="12" fillId="2" borderId="3" xfId="2" applyFont="1" applyFill="1" applyBorder="1" applyAlignment="1">
      <alignment horizontal="left" vertical="center"/>
    </xf>
    <xf numFmtId="0" fontId="10" fillId="2" borderId="0" xfId="2" applyFont="1" applyFill="1" applyAlignment="1">
      <alignment horizontal="center"/>
    </xf>
    <xf numFmtId="0" fontId="0" fillId="2" borderId="0" xfId="0" applyFill="1" applyAlignment="1">
      <alignment horizontal="center"/>
    </xf>
    <xf numFmtId="0" fontId="13" fillId="2" borderId="0" xfId="2" applyFont="1" applyFill="1" applyAlignment="1">
      <alignment horizontal="left" vertical="top" wrapText="1"/>
    </xf>
    <xf numFmtId="0" fontId="0" fillId="0" borderId="0" xfId="0" applyAlignment="1">
      <alignment wrapText="1"/>
    </xf>
    <xf numFmtId="0" fontId="13" fillId="2" borderId="0" xfId="6" applyFont="1" applyFill="1" applyAlignment="1">
      <alignment horizontal="left" vertical="top" wrapText="1"/>
    </xf>
    <xf numFmtId="0" fontId="31" fillId="0" borderId="0" xfId="0" applyFont="1" applyAlignment="1">
      <alignment horizontal="center"/>
    </xf>
    <xf numFmtId="0" fontId="36" fillId="0" borderId="0" xfId="14" applyBorder="1" applyAlignment="1">
      <alignment horizontal="center" vertical="top"/>
    </xf>
  </cellXfs>
  <cellStyles count="15">
    <cellStyle name="Comma 2" xfId="5" xr:uid="{B9CDBAC9-0AF0-4F53-BF64-F30D8B992C13}"/>
    <cellStyle name="Hyperlink" xfId="14" builtinId="8"/>
    <cellStyle name="Hyperlink 2" xfId="12" xr:uid="{133EC173-F8A0-4F3A-B896-369AD8F85E1D}"/>
    <cellStyle name="Normal" xfId="0" builtinId="0"/>
    <cellStyle name="Normal 10 2 12" xfId="3" xr:uid="{C1FE43B4-705F-4FB2-838D-1B2E5ED49EBD}"/>
    <cellStyle name="Normal 10 2 2 2 2" xfId="1" xr:uid="{DBC6AF20-F0C1-46AF-9DA8-CF7F316EEC51}"/>
    <cellStyle name="Normal 10 2 5" xfId="11" xr:uid="{7EAE32FB-1934-49BC-9DB2-2DE7071DB077}"/>
    <cellStyle name="Normal 14" xfId="6" xr:uid="{E0EA96BB-6BC1-48CA-9B8E-79C1ECEF4374}"/>
    <cellStyle name="Normal 2" xfId="2" xr:uid="{6C77F058-8771-476A-9C62-A3DEC75CAB97}"/>
    <cellStyle name="Normal 2 11" xfId="8" xr:uid="{FF4C31A3-F40D-4F7C-983D-63A16B5832CB}"/>
    <cellStyle name="Normal 2 11 2" xfId="10" xr:uid="{76EC6066-00B7-4E23-95AE-B001DB03DABA}"/>
    <cellStyle name="Normal 2 2 10 10 2 3" xfId="7" xr:uid="{DEBC6521-A809-4738-B262-1ADFF09DBA92}"/>
    <cellStyle name="Normal 2 5" xfId="4" xr:uid="{7E8FE6C2-C3DE-45A9-B4D7-1713F9B912FC}"/>
    <cellStyle name="Normal 2 8 2" xfId="13" xr:uid="{A0BC09A2-F486-4DE8-B5D9-AEF84290E113}"/>
    <cellStyle name="Normal_table 2" xfId="9" xr:uid="{6A8CA772-6044-4811-90AE-663F4BCA94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141639</xdr:colOff>
      <xdr:row>52</xdr:row>
      <xdr:rowOff>152400</xdr:rowOff>
    </xdr:to>
    <xdr:pic>
      <xdr:nvPicPr>
        <xdr:cNvPr id="5" name="Picture 4">
          <a:extLst>
            <a:ext uri="{FF2B5EF4-FFF2-40B4-BE49-F238E27FC236}">
              <a16:creationId xmlns:a16="http://schemas.microsoft.com/office/drawing/2014/main" id="{B9C8896F-DF50-7E0E-FE8B-0F86C37617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456839"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asp\KimR$\My%20Documents\xl%20stuff\PYRAM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samson.amusan\Local%20Settings\Temporary%20Internet%20Files\Content.Outlook\E206LHKH\New%20Lic.%20&amp;%20Wells%20Drill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ternal.treasuryboard.alberta.ca/Documents%20and%20Settings/GaleL/Local%20Settings/Temporary%20Internet%20Files/OLK3/Book7.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OA.ds.gov.ab.ca\APPS\InDesign\_Economics_Publications\Budget\2024-25_Economic-Outlook\SourceDocs\Benchmarking%20Tables%202024.1.30.xlsx" TargetMode="External"/><Relationship Id="rId1" Type="http://schemas.openxmlformats.org/officeDocument/2006/relationships/externalLinkPath" Target="file:///\\GOA.ds.gov.ab.ca\APPS\InDesign\_Economics_Publications\Budget\2024-25_Economic-Outlook\SourceDocs\Benchmarking%20Tables%202024.1.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OA.ds.gov.ab.ca\APPS\goa.ds.gov.ab.ca\SHARED\TBF\EFP\ERF\Economics\MODELS_Datasets\BenchmarkingTables\2024\2024.01.30\Benchmarking%20Tables%202024.01.30%20(WIP)%20AF.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FP/ERF/Economics/MODELS_Datasets/BenchmarkingTables/2024/2024.01.30/Benchmarking%20Tables%202024.01.30%20(WIP)%20AF.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GaleL\Local%20Settings\Temporary%20Internet%20Files\OLK3\Book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YRAMID"/>
      <sheetName val="GRAPH3"/>
      <sheetName val="GRAPH2"/>
      <sheetName val="GRAPH1"/>
    </sheetNames>
    <sheetDataSet>
      <sheetData sheetId="0" refreshError="1">
        <row r="1">
          <cell r="A1" t="str">
            <v>Table</v>
          </cell>
        </row>
        <row r="184">
          <cell r="A184" t="str">
            <v>0-4</v>
          </cell>
          <cell r="B184">
            <v>15.564337483590073</v>
          </cell>
          <cell r="C184">
            <v>14.944044267261317</v>
          </cell>
          <cell r="D184">
            <v>7.4453595975015752</v>
          </cell>
        </row>
        <row r="185">
          <cell r="A185" t="str">
            <v>5-9</v>
          </cell>
          <cell r="B185">
            <v>15.785675600616088</v>
          </cell>
          <cell r="C185">
            <v>13.125198863104645</v>
          </cell>
          <cell r="D185">
            <v>7.5512389435148597</v>
          </cell>
        </row>
        <row r="186">
          <cell r="A186" t="str">
            <v>10-14</v>
          </cell>
          <cell r="B186">
            <v>12.676992134168875</v>
          </cell>
          <cell r="C186">
            <v>9.1270477886422761</v>
          </cell>
          <cell r="D186">
            <v>6.0641684975733003</v>
          </cell>
        </row>
        <row r="187">
          <cell r="A187" t="str">
            <v>15-19</v>
          </cell>
          <cell r="B187">
            <v>7.3529229533422313</v>
          </cell>
          <cell r="C187">
            <v>6.4082047908962814</v>
          </cell>
          <cell r="D187">
            <v>3.5173456973723161</v>
          </cell>
        </row>
        <row r="188">
          <cell r="A188" t="str">
            <v>20-24</v>
          </cell>
          <cell r="B188">
            <v>7.6951897501463318</v>
          </cell>
          <cell r="C188">
            <v>8.1590690933981467</v>
          </cell>
          <cell r="D188">
            <v>3.6810725108764744</v>
          </cell>
        </row>
        <row r="189">
          <cell r="A189" t="str">
            <v>25-29</v>
          </cell>
          <cell r="B189">
            <v>8.0759437940407448</v>
          </cell>
          <cell r="C189">
            <v>9.0895144665388603</v>
          </cell>
          <cell r="D189">
            <v>3.8632100916110015</v>
          </cell>
        </row>
        <row r="190">
          <cell r="A190" t="str">
            <v>30-34</v>
          </cell>
          <cell r="B190">
            <v>7.255174092834447</v>
          </cell>
          <cell r="C190">
            <v>9.0593674883222235</v>
          </cell>
          <cell r="D190">
            <v>3.4705865328724599</v>
          </cell>
        </row>
        <row r="191">
          <cell r="A191" t="str">
            <v>35-39</v>
          </cell>
          <cell r="B191">
            <v>7.3227818990394953</v>
          </cell>
          <cell r="C191">
            <v>7.933936005518702</v>
          </cell>
          <cell r="D191">
            <v>3.5029274165962607</v>
          </cell>
        </row>
        <row r="192">
          <cell r="A192" t="str">
            <v>40-44</v>
          </cell>
          <cell r="B192">
            <v>5.8394192507670111</v>
          </cell>
          <cell r="C192">
            <v>6.467863722289513</v>
          </cell>
          <cell r="D192">
            <v>2.7933457629258056</v>
          </cell>
        </row>
        <row r="193">
          <cell r="A193" t="str">
            <v>45-49</v>
          </cell>
          <cell r="B193">
            <v>4.6776219254848996</v>
          </cell>
          <cell r="C193">
            <v>4.6615851294515256</v>
          </cell>
          <cell r="D193">
            <v>2.2375881615977198</v>
          </cell>
        </row>
        <row r="194">
          <cell r="A194" t="str">
            <v>50-54</v>
          </cell>
          <cell r="B194">
            <v>2.3282597714236566</v>
          </cell>
          <cell r="C194">
            <v>2.9852192908575113</v>
          </cell>
          <cell r="D194">
            <v>1.1137468108053072</v>
          </cell>
        </row>
        <row r="195">
          <cell r="A195" t="str">
            <v>55-59</v>
          </cell>
          <cell r="B195">
            <v>1.457522252262037</v>
          </cell>
          <cell r="C195">
            <v>2.1074475736695892</v>
          </cell>
          <cell r="D195">
            <v>0.69722063665688361</v>
          </cell>
        </row>
        <row r="196">
          <cell r="A196" t="str">
            <v>60-64</v>
          </cell>
          <cell r="B196">
            <v>1.6949696147557773</v>
          </cell>
          <cell r="C196">
            <v>2.8871914780976522</v>
          </cell>
          <cell r="D196">
            <v>0.81080600456015173</v>
          </cell>
        </row>
        <row r="197">
          <cell r="A197" t="str">
            <v>65-69</v>
          </cell>
          <cell r="B197">
            <v>1.2014872988439975</v>
          </cell>
          <cell r="C197">
            <v>1.5100561228445912</v>
          </cell>
          <cell r="D197">
            <v>0.57474370503440342</v>
          </cell>
        </row>
        <row r="198">
          <cell r="A198" t="str">
            <v>70-74</v>
          </cell>
          <cell r="B198">
            <v>0.6235954523818722</v>
          </cell>
          <cell r="C198">
            <v>0.85798567383509672</v>
          </cell>
          <cell r="D198">
            <v>0.29830324556023302</v>
          </cell>
        </row>
        <row r="199">
          <cell r="A199" t="str">
            <v>75-79</v>
          </cell>
          <cell r="B199">
            <v>0.24309653228445866</v>
          </cell>
          <cell r="C199">
            <v>0.36293352156812414</v>
          </cell>
          <cell r="D199">
            <v>0.11628770589636203</v>
          </cell>
        </row>
        <row r="200">
          <cell r="A200" t="str">
            <v>80-84</v>
          </cell>
          <cell r="B200">
            <v>0.10933877014293493</v>
          </cell>
          <cell r="C200">
            <v>0.16711185264210524</v>
          </cell>
          <cell r="D200">
            <v>5.2303315995365231E-2</v>
          </cell>
        </row>
        <row r="201">
          <cell r="A201" t="str">
            <v>85-89</v>
          </cell>
          <cell r="B201">
            <v>5.4669385071467465E-2</v>
          </cell>
          <cell r="C201">
            <v>8.3555926321052618E-2</v>
          </cell>
          <cell r="D201">
            <v>2.6151657997682615E-2</v>
          </cell>
        </row>
        <row r="202">
          <cell r="A202" t="str">
            <v>90-94</v>
          </cell>
          <cell r="B202">
            <v>2.7334692535733732E-2</v>
          </cell>
          <cell r="C202">
            <v>4.1777963160526309E-2</v>
          </cell>
          <cell r="D202">
            <v>1.3075828998841308E-2</v>
          </cell>
        </row>
        <row r="203">
          <cell r="A203" t="str">
            <v>95+</v>
          </cell>
          <cell r="B203">
            <v>1.3667346267866866E-2</v>
          </cell>
          <cell r="C203">
            <v>2.0888981580263154E-2</v>
          </cell>
          <cell r="D203">
            <v>6.5379144994206538E-3</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UB Ann. Wlls"/>
      <sheetName val="EUB Wells"/>
      <sheetName val="New Licenses"/>
      <sheetName val="Well Count"/>
      <sheetName val="sel stat"/>
      <sheetName val="Summary Drilling"/>
      <sheetName val="Summary New lic."/>
      <sheetName val="newlic92"/>
      <sheetName val="newlic93"/>
      <sheetName val="newlic94"/>
      <sheetName val="newlic95"/>
      <sheetName val="newlic96"/>
      <sheetName val="newlic97"/>
      <sheetName val="newlic98"/>
      <sheetName val="drlg98"/>
      <sheetName val="drlg00"/>
      <sheetName val="newlic00"/>
    </sheetNames>
    <sheetDataSet>
      <sheetData sheetId="0">
        <row r="38">
          <cell r="E38">
            <v>4888</v>
          </cell>
          <cell r="J38">
            <v>2653</v>
          </cell>
        </row>
        <row r="39">
          <cell r="E39">
            <v>4006</v>
          </cell>
          <cell r="J39">
            <v>2865</v>
          </cell>
        </row>
        <row r="40">
          <cell r="E40">
            <v>3862</v>
          </cell>
          <cell r="J40">
            <v>1719</v>
          </cell>
        </row>
        <row r="41">
          <cell r="E41">
            <v>3457</v>
          </cell>
          <cell r="J41">
            <v>1245</v>
          </cell>
        </row>
        <row r="42">
          <cell r="E42">
            <v>4496</v>
          </cell>
          <cell r="J42">
            <v>1661</v>
          </cell>
        </row>
        <row r="43">
          <cell r="E43">
            <v>6288</v>
          </cell>
          <cell r="J43">
            <v>2175</v>
          </cell>
        </row>
        <row r="44">
          <cell r="E44">
            <v>3298</v>
          </cell>
          <cell r="J44">
            <v>1199</v>
          </cell>
        </row>
        <row r="45">
          <cell r="E45">
            <v>3865</v>
          </cell>
          <cell r="J45">
            <v>1305</v>
          </cell>
        </row>
        <row r="46">
          <cell r="E46">
            <v>4812</v>
          </cell>
          <cell r="J46">
            <v>1793</v>
          </cell>
        </row>
        <row r="47">
          <cell r="E47">
            <v>2451</v>
          </cell>
          <cell r="J47">
            <v>1678</v>
          </cell>
        </row>
        <row r="48">
          <cell r="E48">
            <v>2655</v>
          </cell>
          <cell r="J48">
            <v>1643</v>
          </cell>
        </row>
        <row r="49">
          <cell r="E49">
            <v>2711</v>
          </cell>
          <cell r="J49">
            <v>1182</v>
          </cell>
        </row>
        <row r="50">
          <cell r="E50">
            <v>2744</v>
          </cell>
          <cell r="J50">
            <v>1053</v>
          </cell>
        </row>
        <row r="51">
          <cell r="E51">
            <v>5595</v>
          </cell>
          <cell r="J51">
            <v>1662</v>
          </cell>
        </row>
        <row r="52">
          <cell r="E52">
            <v>6677</v>
          </cell>
          <cell r="J52">
            <v>2432</v>
          </cell>
        </row>
        <row r="53">
          <cell r="E53">
            <v>6477</v>
          </cell>
          <cell r="J53">
            <v>1997</v>
          </cell>
        </row>
        <row r="54">
          <cell r="E54">
            <v>8229</v>
          </cell>
          <cell r="J54">
            <v>2157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ude Oil"/>
      <sheetName val="Natural Gas"/>
      <sheetName val="TSX Index"/>
      <sheetName val="Dow Jones Index"/>
      <sheetName val="Sheet1"/>
      <sheetName val="Data"/>
      <sheetName val="Control"/>
    </sheetNames>
    <sheetDataSet>
      <sheetData sheetId="0" refreshError="1"/>
      <sheetData sheetId="1" refreshError="1"/>
      <sheetData sheetId="2" refreshError="1"/>
      <sheetData sheetId="3" refreshError="1"/>
      <sheetData sheetId="4"/>
      <sheetData sheetId="5">
        <row r="3">
          <cell r="A3">
            <v>36983</v>
          </cell>
          <cell r="D3">
            <v>36983</v>
          </cell>
          <cell r="G3">
            <v>36983</v>
          </cell>
          <cell r="J3">
            <v>36983</v>
          </cell>
        </row>
      </sheetData>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8_Emp_Growth2"/>
      <sheetName val="01_WTI_Oil (2)"/>
      <sheetName val="Page 1 - Short Version"/>
      <sheetName val="Page 2 - Short Version"/>
    </sheetNames>
    <sheetDataSet>
      <sheetData sheetId="0">
        <row r="1">
          <cell r="B1"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1_WTI_Oil (2)"/>
      <sheetName val="Page 1 - Short Version"/>
      <sheetName val="Page 2 - Short Version"/>
    </sheetNames>
    <sheetDataSet>
      <sheetData sheetId="0">
        <row r="1">
          <cell r="B1" t="str">
            <v>January 30, 2024</v>
          </cell>
        </row>
        <row r="2">
          <cell r="B2"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1_WTI_Oil (2)"/>
      <sheetName val="Page 1 - Short Version"/>
      <sheetName val="Page 2 - Short Version"/>
    </sheetNames>
    <sheetDataSet>
      <sheetData sheetId="0">
        <row r="1">
          <cell r="B1" t="str">
            <v>January 30, 2024</v>
          </cell>
        </row>
        <row r="2">
          <cell r="B2"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ude Oil"/>
      <sheetName val="Natural Gas"/>
      <sheetName val="TSX Index"/>
      <sheetName val="Dow Jones Index"/>
      <sheetName val="Sheet1"/>
      <sheetName val="Data"/>
      <sheetName val="Control"/>
    </sheetNames>
    <sheetDataSet>
      <sheetData sheetId="0" refreshError="1"/>
      <sheetData sheetId="1" refreshError="1"/>
      <sheetData sheetId="2" refreshError="1"/>
      <sheetData sheetId="3" refreshError="1"/>
      <sheetData sheetId="4"/>
      <sheetData sheetId="5">
        <row r="3">
          <cell r="A3">
            <v>36983</v>
          </cell>
          <cell r="J3">
            <v>36983</v>
          </cell>
        </row>
      </sheetData>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pen.alberta.ca/lic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BD37-2E37-4F84-B43B-BA1889ABF269}">
  <dimension ref="E55:G56"/>
  <sheetViews>
    <sheetView tabSelected="1" workbookViewId="0">
      <selection activeCell="E61" sqref="E61"/>
    </sheetView>
  </sheetViews>
  <sheetFormatPr defaultRowHeight="15" x14ac:dyDescent="0.25"/>
  <sheetData>
    <row r="55" spans="5:7" x14ac:dyDescent="0.25">
      <c r="E55" t="s">
        <v>302</v>
      </c>
      <c r="G55" s="216"/>
    </row>
    <row r="56" spans="5:7" x14ac:dyDescent="0.25">
      <c r="G56" s="217" t="s">
        <v>303</v>
      </c>
    </row>
  </sheetData>
  <hyperlinks>
    <hyperlink ref="G56" r:id="rId1" xr:uid="{22BBDB05-8FDE-4B90-A8F7-EE6ABA9783C8}"/>
  </hyperlinks>
  <pageMargins left="0.7" right="0.7" top="0.75" bottom="0.75" header="0.3" footer="0.3"/>
  <headerFooter>
    <oddFooter>&amp;L_x000D_&amp;1#&amp;"Calibri"&amp;11&amp;K000000 Classification: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EA99-42AE-45EE-B22D-C18ED24464D2}">
  <dimension ref="A1:H42"/>
  <sheetViews>
    <sheetView workbookViewId="0">
      <selection activeCell="J26" sqref="J26"/>
    </sheetView>
  </sheetViews>
  <sheetFormatPr defaultRowHeight="15" x14ac:dyDescent="0.25"/>
  <cols>
    <col min="1" max="1" width="37.7109375" style="12" bestFit="1" customWidth="1"/>
    <col min="2" max="16384" width="9.140625" style="12"/>
  </cols>
  <sheetData>
    <row r="1" spans="1:8" ht="15.75" x14ac:dyDescent="0.25">
      <c r="A1" s="24" t="s">
        <v>166</v>
      </c>
      <c r="B1" s="25"/>
      <c r="C1" s="25"/>
      <c r="D1" s="25"/>
      <c r="E1" s="25"/>
      <c r="F1" s="58"/>
      <c r="G1" s="58"/>
      <c r="H1" s="57"/>
    </row>
    <row r="2" spans="1:8" x14ac:dyDescent="0.25">
      <c r="A2" s="27"/>
      <c r="B2" s="28"/>
      <c r="C2" s="28"/>
      <c r="D2" s="54"/>
      <c r="E2" s="28"/>
      <c r="F2" s="59"/>
      <c r="G2" s="59"/>
      <c r="H2" s="54"/>
    </row>
    <row r="3" spans="1:8" x14ac:dyDescent="0.25">
      <c r="A3" s="60"/>
      <c r="B3" s="31"/>
      <c r="C3" s="28"/>
      <c r="D3" s="211"/>
      <c r="E3" s="212"/>
      <c r="F3" s="212"/>
      <c r="G3" s="61"/>
      <c r="H3" s="54"/>
    </row>
    <row r="4" spans="1:8" x14ac:dyDescent="0.25">
      <c r="A4" s="209" t="s">
        <v>167</v>
      </c>
      <c r="B4" s="32" t="s">
        <v>168</v>
      </c>
      <c r="C4" s="32" t="s">
        <v>169</v>
      </c>
      <c r="D4" s="32" t="s">
        <v>170</v>
      </c>
      <c r="E4" s="191" t="s">
        <v>171</v>
      </c>
      <c r="F4" s="32" t="s">
        <v>172</v>
      </c>
      <c r="G4" s="32" t="s">
        <v>204</v>
      </c>
      <c r="H4" s="54"/>
    </row>
    <row r="5" spans="1:8" x14ac:dyDescent="0.25">
      <c r="A5" s="210"/>
      <c r="B5" s="33" t="s">
        <v>173</v>
      </c>
      <c r="C5" s="33" t="s">
        <v>173</v>
      </c>
      <c r="D5" s="33" t="s">
        <v>174</v>
      </c>
      <c r="E5" s="192" t="s">
        <v>0</v>
      </c>
      <c r="F5" s="33" t="s">
        <v>0</v>
      </c>
      <c r="G5" s="33" t="s">
        <v>0</v>
      </c>
      <c r="H5" s="54"/>
    </row>
    <row r="6" spans="1:8" x14ac:dyDescent="0.25">
      <c r="A6" s="47" t="s">
        <v>175</v>
      </c>
      <c r="B6" s="34"/>
      <c r="C6" s="35"/>
      <c r="D6" s="35"/>
      <c r="E6" s="184"/>
      <c r="F6" s="48"/>
      <c r="G6" s="48"/>
      <c r="H6" s="54"/>
    </row>
    <row r="7" spans="1:8" x14ac:dyDescent="0.25">
      <c r="A7" s="36" t="s">
        <v>176</v>
      </c>
      <c r="B7" s="38">
        <v>77.026666666666671</v>
      </c>
      <c r="C7" s="38">
        <v>89.685833333333335</v>
      </c>
      <c r="D7" s="38">
        <v>76.5</v>
      </c>
      <c r="E7" s="185">
        <v>74</v>
      </c>
      <c r="F7" s="38">
        <v>74</v>
      </c>
      <c r="G7" s="38">
        <v>74</v>
      </c>
      <c r="H7" s="62"/>
    </row>
    <row r="8" spans="1:8" x14ac:dyDescent="0.25">
      <c r="A8" s="36" t="s">
        <v>177</v>
      </c>
      <c r="B8" s="38">
        <v>13.558333333333337</v>
      </c>
      <c r="C8" s="38">
        <v>20.773333333333337</v>
      </c>
      <c r="D8" s="38">
        <v>17.3</v>
      </c>
      <c r="E8" s="185">
        <v>16</v>
      </c>
      <c r="F8" s="38">
        <v>14.9</v>
      </c>
      <c r="G8" s="38">
        <v>13.6</v>
      </c>
      <c r="H8" s="62"/>
    </row>
    <row r="9" spans="1:8" x14ac:dyDescent="0.25">
      <c r="A9" s="36" t="s">
        <v>178</v>
      </c>
      <c r="B9" s="38">
        <v>79.631753416666655</v>
      </c>
      <c r="C9" s="39">
        <v>90.623477999999992</v>
      </c>
      <c r="D9" s="39">
        <v>80.2</v>
      </c>
      <c r="E9" s="186">
        <v>76.8</v>
      </c>
      <c r="F9" s="39">
        <v>75.599999999999994</v>
      </c>
      <c r="G9" s="39">
        <v>75.8</v>
      </c>
      <c r="H9" s="62"/>
    </row>
    <row r="10" spans="1:8" x14ac:dyDescent="0.25">
      <c r="A10" s="47" t="s">
        <v>179</v>
      </c>
      <c r="B10" s="38"/>
      <c r="C10" s="40"/>
      <c r="D10" s="40"/>
      <c r="E10" s="187"/>
      <c r="F10" s="54"/>
      <c r="G10" s="54"/>
      <c r="H10" s="62"/>
    </row>
    <row r="11" spans="1:8" x14ac:dyDescent="0.25">
      <c r="A11" s="36" t="s">
        <v>180</v>
      </c>
      <c r="B11" s="38">
        <v>3.4783333333333335</v>
      </c>
      <c r="C11" s="38">
        <v>4.626666666666666</v>
      </c>
      <c r="D11" s="38">
        <v>2.2000000000000002</v>
      </c>
      <c r="E11" s="185">
        <v>2.9</v>
      </c>
      <c r="F11" s="38">
        <v>3.7</v>
      </c>
      <c r="G11" s="38">
        <v>3.8</v>
      </c>
      <c r="H11" s="62"/>
    </row>
    <row r="12" spans="1:8" x14ac:dyDescent="0.25">
      <c r="A12" s="60" t="s">
        <v>181</v>
      </c>
      <c r="B12" s="42"/>
      <c r="C12" s="43"/>
      <c r="D12" s="43"/>
      <c r="E12" s="188"/>
      <c r="F12" s="54"/>
      <c r="G12" s="54"/>
      <c r="H12" s="63"/>
    </row>
    <row r="13" spans="1:8" x14ac:dyDescent="0.25">
      <c r="A13" s="36" t="s">
        <v>182</v>
      </c>
      <c r="B13" s="44">
        <v>445</v>
      </c>
      <c r="C13" s="44">
        <v>497.4970430405923</v>
      </c>
      <c r="D13" s="44">
        <v>500</v>
      </c>
      <c r="E13" s="189">
        <v>507</v>
      </c>
      <c r="F13" s="44">
        <v>508</v>
      </c>
      <c r="G13" s="44">
        <v>505</v>
      </c>
      <c r="H13" s="54"/>
    </row>
    <row r="14" spans="1:8" x14ac:dyDescent="0.25">
      <c r="A14" s="36" t="s">
        <v>183</v>
      </c>
      <c r="B14" s="44">
        <v>3197</v>
      </c>
      <c r="C14" s="44">
        <v>3250.6177204837049</v>
      </c>
      <c r="D14" s="44">
        <v>3324</v>
      </c>
      <c r="E14" s="189">
        <v>3429</v>
      </c>
      <c r="F14" s="44">
        <v>3539</v>
      </c>
      <c r="G14" s="44">
        <v>3650</v>
      </c>
      <c r="H14" s="54"/>
    </row>
    <row r="15" spans="1:8" x14ac:dyDescent="0.25">
      <c r="A15" s="36" t="s">
        <v>184</v>
      </c>
      <c r="B15" s="44">
        <v>4027.3483791229019</v>
      </c>
      <c r="C15" s="44">
        <v>4264.7487731996216</v>
      </c>
      <c r="D15" s="44">
        <v>4262.8910561334087</v>
      </c>
      <c r="E15" s="189">
        <v>4290.8064343427295</v>
      </c>
      <c r="F15" s="44">
        <v>4311.5517487826</v>
      </c>
      <c r="G15" s="44">
        <v>4325.7628363006315</v>
      </c>
      <c r="H15" s="54"/>
    </row>
    <row r="16" spans="1:8" ht="15.75" x14ac:dyDescent="0.25">
      <c r="A16" s="47" t="s">
        <v>185</v>
      </c>
      <c r="B16" s="42"/>
      <c r="C16" s="43"/>
      <c r="D16" s="43"/>
      <c r="E16" s="188"/>
      <c r="F16" s="54"/>
      <c r="G16" s="54"/>
      <c r="H16" s="54"/>
    </row>
    <row r="17" spans="1:8" x14ac:dyDescent="0.25">
      <c r="A17" s="36" t="s">
        <v>186</v>
      </c>
      <c r="B17" s="45">
        <v>0.191</v>
      </c>
      <c r="C17" s="38">
        <v>3.17475</v>
      </c>
      <c r="D17" s="38">
        <v>4.9000000000000004</v>
      </c>
      <c r="E17" s="185">
        <v>4.0999999999999996</v>
      </c>
      <c r="F17" s="38">
        <v>2.9</v>
      </c>
      <c r="G17" s="38">
        <v>2.8</v>
      </c>
      <c r="H17" s="54"/>
    </row>
    <row r="18" spans="1:8" x14ac:dyDescent="0.25">
      <c r="A18" s="36" t="s">
        <v>187</v>
      </c>
      <c r="B18" s="45">
        <v>1.5582500000000001</v>
      </c>
      <c r="C18" s="38">
        <v>3.0462500000000001</v>
      </c>
      <c r="D18" s="38">
        <v>3.5</v>
      </c>
      <c r="E18" s="185">
        <v>3.7</v>
      </c>
      <c r="F18" s="38">
        <v>3.6</v>
      </c>
      <c r="G18" s="38">
        <v>3.4</v>
      </c>
      <c r="H18" s="54"/>
    </row>
    <row r="19" spans="1:8" x14ac:dyDescent="0.25">
      <c r="A19" s="64" t="s">
        <v>188</v>
      </c>
      <c r="B19" s="46">
        <v>79.8</v>
      </c>
      <c r="C19" s="46">
        <v>75.599999999999994</v>
      </c>
      <c r="D19" s="46">
        <v>74.099999999999994</v>
      </c>
      <c r="E19" s="190">
        <v>75.900000000000006</v>
      </c>
      <c r="F19" s="46">
        <v>78.099999999999994</v>
      </c>
      <c r="G19" s="46">
        <v>79.7</v>
      </c>
      <c r="H19" s="54"/>
    </row>
    <row r="20" spans="1:8" x14ac:dyDescent="0.25">
      <c r="A20" s="60"/>
      <c r="B20" s="31"/>
      <c r="C20" s="28"/>
      <c r="D20" s="211"/>
      <c r="E20" s="212"/>
      <c r="F20" s="212"/>
      <c r="G20" s="212"/>
      <c r="H20" s="54"/>
    </row>
    <row r="21" spans="1:8" x14ac:dyDescent="0.25">
      <c r="A21" s="209" t="s">
        <v>189</v>
      </c>
      <c r="B21" s="32">
        <v>2021</v>
      </c>
      <c r="C21" s="32">
        <v>2022</v>
      </c>
      <c r="D21" s="32">
        <v>2023</v>
      </c>
      <c r="E21" s="191">
        <v>2024</v>
      </c>
      <c r="F21" s="32">
        <v>2025</v>
      </c>
      <c r="G21" s="32">
        <v>2026</v>
      </c>
      <c r="H21" s="32">
        <v>2027</v>
      </c>
    </row>
    <row r="22" spans="1:8" x14ac:dyDescent="0.25">
      <c r="A22" s="210"/>
      <c r="B22" s="33" t="s">
        <v>173</v>
      </c>
      <c r="C22" s="33" t="s">
        <v>173</v>
      </c>
      <c r="D22" s="33" t="s">
        <v>174</v>
      </c>
      <c r="E22" s="192" t="s">
        <v>0</v>
      </c>
      <c r="F22" s="33" t="s">
        <v>0</v>
      </c>
      <c r="G22" s="33" t="s">
        <v>0</v>
      </c>
      <c r="H22" s="33" t="s">
        <v>0</v>
      </c>
    </row>
    <row r="23" spans="1:8" x14ac:dyDescent="0.25">
      <c r="A23" s="47" t="s">
        <v>190</v>
      </c>
      <c r="B23" s="34"/>
      <c r="C23" s="35"/>
      <c r="D23" s="35"/>
      <c r="E23" s="193"/>
      <c r="F23" s="35"/>
      <c r="G23" s="48"/>
      <c r="H23" s="48"/>
    </row>
    <row r="24" spans="1:8" x14ac:dyDescent="0.25">
      <c r="A24" s="36" t="s">
        <v>191</v>
      </c>
      <c r="B24" s="31">
        <v>376.38799999999998</v>
      </c>
      <c r="C24" s="31">
        <v>459.28800000000001</v>
      </c>
      <c r="D24" s="31">
        <v>440.63200000000001</v>
      </c>
      <c r="E24" s="194">
        <v>456.08100000000002</v>
      </c>
      <c r="F24" s="31">
        <v>483.90199999999999</v>
      </c>
      <c r="G24" s="31">
        <v>510.66300000000001</v>
      </c>
      <c r="H24" s="31">
        <v>535.59199999999998</v>
      </c>
    </row>
    <row r="25" spans="1:8" x14ac:dyDescent="0.25">
      <c r="A25" s="49" t="s">
        <v>192</v>
      </c>
      <c r="B25" s="50">
        <v>24.9</v>
      </c>
      <c r="C25" s="50">
        <v>22</v>
      </c>
      <c r="D25" s="50">
        <v>-4.0999999999999996</v>
      </c>
      <c r="E25" s="195">
        <v>3.5</v>
      </c>
      <c r="F25" s="50">
        <v>6.1</v>
      </c>
      <c r="G25" s="50">
        <v>5.5</v>
      </c>
      <c r="H25" s="50">
        <v>4.9000000000000004</v>
      </c>
    </row>
    <row r="26" spans="1:8" x14ac:dyDescent="0.25">
      <c r="A26" s="36" t="s">
        <v>279</v>
      </c>
      <c r="B26" s="51">
        <v>327.11500000000001</v>
      </c>
      <c r="C26" s="51">
        <v>343.48399999999998</v>
      </c>
      <c r="D26" s="51">
        <v>351.90300000000002</v>
      </c>
      <c r="E26" s="196">
        <v>362.09300000000002</v>
      </c>
      <c r="F26" s="51">
        <v>374.05500000000001</v>
      </c>
      <c r="G26" s="51">
        <v>384.70499999999998</v>
      </c>
      <c r="H26" s="51">
        <v>394.64100000000002</v>
      </c>
    </row>
    <row r="27" spans="1:8" x14ac:dyDescent="0.25">
      <c r="A27" s="49" t="s">
        <v>192</v>
      </c>
      <c r="B27" s="50">
        <v>4.5999999999999996</v>
      </c>
      <c r="C27" s="50">
        <v>5</v>
      </c>
      <c r="D27" s="50">
        <v>2.5</v>
      </c>
      <c r="E27" s="195">
        <v>2.9</v>
      </c>
      <c r="F27" s="50">
        <v>3.3</v>
      </c>
      <c r="G27" s="50">
        <v>2.8</v>
      </c>
      <c r="H27" s="50">
        <v>2.6</v>
      </c>
    </row>
    <row r="28" spans="1:8" x14ac:dyDescent="0.25">
      <c r="A28" s="47" t="s">
        <v>193</v>
      </c>
      <c r="B28" s="52"/>
      <c r="C28" s="53"/>
      <c r="D28" s="53"/>
      <c r="E28" s="197"/>
      <c r="F28" s="53"/>
      <c r="G28" s="54"/>
      <c r="H28" s="54"/>
    </row>
    <row r="29" spans="1:8" x14ac:dyDescent="0.25">
      <c r="A29" s="36" t="s">
        <v>71</v>
      </c>
      <c r="B29" s="44">
        <v>2259.6</v>
      </c>
      <c r="C29" s="44">
        <v>2376.1</v>
      </c>
      <c r="D29" s="44" t="s">
        <v>281</v>
      </c>
      <c r="E29" s="198">
        <v>2534.9</v>
      </c>
      <c r="F29" s="44">
        <v>2613.5</v>
      </c>
      <c r="G29" s="44">
        <v>2678.8</v>
      </c>
      <c r="H29" s="44">
        <v>2732.4</v>
      </c>
    </row>
    <row r="30" spans="1:8" x14ac:dyDescent="0.25">
      <c r="A30" s="49" t="s">
        <v>192</v>
      </c>
      <c r="B30" s="182">
        <v>5.4</v>
      </c>
      <c r="C30" s="182">
        <v>5.2</v>
      </c>
      <c r="D30" s="182" t="s">
        <v>282</v>
      </c>
      <c r="E30" s="199">
        <v>3</v>
      </c>
      <c r="F30" s="182">
        <v>3.1</v>
      </c>
      <c r="G30" s="182">
        <v>2.5</v>
      </c>
      <c r="H30" s="182">
        <v>2</v>
      </c>
    </row>
    <row r="31" spans="1:8" x14ac:dyDescent="0.25">
      <c r="A31" s="36" t="s">
        <v>72</v>
      </c>
      <c r="B31" s="182">
        <v>8.6</v>
      </c>
      <c r="C31" s="182">
        <v>5.8</v>
      </c>
      <c r="D31" s="182" t="s">
        <v>283</v>
      </c>
      <c r="E31" s="199">
        <v>6.5</v>
      </c>
      <c r="F31" s="182">
        <v>6</v>
      </c>
      <c r="G31" s="182">
        <v>5.8</v>
      </c>
      <c r="H31" s="182">
        <v>5.6</v>
      </c>
    </row>
    <row r="32" spans="1:8" x14ac:dyDescent="0.25">
      <c r="A32" s="36" t="s">
        <v>194</v>
      </c>
      <c r="B32" s="182">
        <v>2.1</v>
      </c>
      <c r="C32" s="182">
        <v>2.5</v>
      </c>
      <c r="D32" s="182">
        <v>2.4</v>
      </c>
      <c r="E32" s="199">
        <v>3.8</v>
      </c>
      <c r="F32" s="182">
        <v>3.6</v>
      </c>
      <c r="G32" s="182">
        <v>3.4</v>
      </c>
      <c r="H32" s="182">
        <v>3.2</v>
      </c>
    </row>
    <row r="33" spans="1:8" x14ac:dyDescent="0.25">
      <c r="A33" s="36" t="s">
        <v>195</v>
      </c>
      <c r="B33" s="182">
        <v>6.7</v>
      </c>
      <c r="C33" s="182">
        <v>9.6999999999999993</v>
      </c>
      <c r="D33" s="182">
        <v>7.7</v>
      </c>
      <c r="E33" s="199">
        <v>6.7</v>
      </c>
      <c r="F33" s="182">
        <v>5.6</v>
      </c>
      <c r="G33" s="182">
        <v>5.6</v>
      </c>
      <c r="H33" s="182">
        <v>5.4</v>
      </c>
    </row>
    <row r="34" spans="1:8" x14ac:dyDescent="0.25">
      <c r="A34" s="36" t="s">
        <v>196</v>
      </c>
      <c r="B34" s="182">
        <v>233.2</v>
      </c>
      <c r="C34" s="182">
        <v>66.099999999999994</v>
      </c>
      <c r="D34" s="182">
        <v>-14.5</v>
      </c>
      <c r="E34" s="199">
        <v>0</v>
      </c>
      <c r="F34" s="182">
        <v>4.9000000000000004</v>
      </c>
      <c r="G34" s="182">
        <v>4.5</v>
      </c>
      <c r="H34" s="182">
        <v>3.8</v>
      </c>
    </row>
    <row r="35" spans="1:8" x14ac:dyDescent="0.25">
      <c r="A35" s="36" t="s">
        <v>197</v>
      </c>
      <c r="B35" s="182">
        <v>31.9</v>
      </c>
      <c r="C35" s="182">
        <v>36.5</v>
      </c>
      <c r="D35" s="182" t="s">
        <v>284</v>
      </c>
      <c r="E35" s="199">
        <v>38.799999999999997</v>
      </c>
      <c r="F35" s="182">
        <v>39.9</v>
      </c>
      <c r="G35" s="182">
        <v>37.200000000000003</v>
      </c>
      <c r="H35" s="182">
        <v>37</v>
      </c>
    </row>
    <row r="36" spans="1:8" x14ac:dyDescent="0.25">
      <c r="A36" s="36" t="s">
        <v>198</v>
      </c>
      <c r="B36" s="182">
        <v>3.2</v>
      </c>
      <c r="C36" s="182">
        <v>6.5</v>
      </c>
      <c r="D36" s="182" t="s">
        <v>285</v>
      </c>
      <c r="E36" s="199">
        <v>2.5</v>
      </c>
      <c r="F36" s="182">
        <v>2.2000000000000002</v>
      </c>
      <c r="G36" s="182">
        <v>2.2000000000000002</v>
      </c>
      <c r="H36" s="182">
        <v>2.2000000000000002</v>
      </c>
    </row>
    <row r="37" spans="1:8" x14ac:dyDescent="0.25">
      <c r="A37" s="36" t="s">
        <v>199</v>
      </c>
      <c r="B37" s="182">
        <v>11.7</v>
      </c>
      <c r="C37" s="182">
        <v>6.9</v>
      </c>
      <c r="D37" s="182">
        <v>5.0999999999999996</v>
      </c>
      <c r="E37" s="199">
        <v>4.5</v>
      </c>
      <c r="F37" s="182">
        <v>4.4000000000000004</v>
      </c>
      <c r="G37" s="182">
        <v>4.4000000000000004</v>
      </c>
      <c r="H37" s="182">
        <v>4.4000000000000004</v>
      </c>
    </row>
    <row r="38" spans="1:8" x14ac:dyDescent="0.25">
      <c r="A38" s="36" t="s">
        <v>200</v>
      </c>
      <c r="B38" s="44">
        <v>4431.5309999999999</v>
      </c>
      <c r="C38" s="44">
        <v>4510.8909999999996</v>
      </c>
      <c r="D38" s="44" t="s">
        <v>286</v>
      </c>
      <c r="E38" s="198">
        <v>4870.1120000000001</v>
      </c>
      <c r="F38" s="44">
        <v>4981.7489999999998</v>
      </c>
      <c r="G38" s="44">
        <v>5082.643</v>
      </c>
      <c r="H38" s="44">
        <v>5162.1030000000001</v>
      </c>
    </row>
    <row r="39" spans="1:8" x14ac:dyDescent="0.25">
      <c r="A39" s="49" t="s">
        <v>192</v>
      </c>
      <c r="B39" s="182">
        <v>0.5</v>
      </c>
      <c r="C39" s="182">
        <v>1.8</v>
      </c>
      <c r="D39" s="182" t="s">
        <v>287</v>
      </c>
      <c r="E39" s="199">
        <v>3.7</v>
      </c>
      <c r="F39" s="182">
        <v>2.2999999999999998</v>
      </c>
      <c r="G39" s="182">
        <v>2</v>
      </c>
      <c r="H39" s="182">
        <v>1.6</v>
      </c>
    </row>
    <row r="40" spans="1:8" x14ac:dyDescent="0.25">
      <c r="A40" s="65" t="s">
        <v>201</v>
      </c>
      <c r="B40" s="46">
        <v>5.5</v>
      </c>
      <c r="C40" s="46">
        <v>63</v>
      </c>
      <c r="D40" s="46" t="s">
        <v>288</v>
      </c>
      <c r="E40" s="200">
        <v>156.80000000000001</v>
      </c>
      <c r="F40" s="46">
        <v>91.8</v>
      </c>
      <c r="G40" s="46">
        <v>79.900000000000006</v>
      </c>
      <c r="H40" s="46">
        <v>58</v>
      </c>
    </row>
    <row r="41" spans="1:8" x14ac:dyDescent="0.25">
      <c r="A41" s="66"/>
      <c r="B41" s="56"/>
      <c r="C41" s="56"/>
      <c r="D41" s="56"/>
      <c r="E41" s="56"/>
      <c r="F41" s="54"/>
      <c r="G41" s="67"/>
      <c r="H41" s="54"/>
    </row>
    <row r="42" spans="1:8" ht="28.5" x14ac:dyDescent="0.25">
      <c r="A42" s="183" t="s">
        <v>280</v>
      </c>
      <c r="B42" s="57"/>
      <c r="C42" s="57"/>
      <c r="D42" s="57"/>
      <c r="E42" s="57"/>
      <c r="F42" s="57"/>
      <c r="G42" s="57"/>
      <c r="H42" s="57"/>
    </row>
  </sheetData>
  <mergeCells count="4">
    <mergeCell ref="A4:A5"/>
    <mergeCell ref="A21:A22"/>
    <mergeCell ref="D3:F3"/>
    <mergeCell ref="D20:G20"/>
  </mergeCells>
  <pageMargins left="0.7" right="0.7" top="0.75" bottom="0.75" header="0.3" footer="0.3"/>
  <headerFooter>
    <oddFooter>&amp;L_x000D_&amp;1#&amp;"Calibri"&amp;11&amp;K000000 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AF93-EAFB-4679-BB78-74A04D058FA2}">
  <dimension ref="A1:G24"/>
  <sheetViews>
    <sheetView zoomScaleNormal="100" workbookViewId="0">
      <selection activeCell="O14" sqref="O14"/>
    </sheetView>
  </sheetViews>
  <sheetFormatPr defaultRowHeight="15" x14ac:dyDescent="0.25"/>
  <cols>
    <col min="1" max="1" width="12.7109375" style="1" customWidth="1"/>
    <col min="2" max="7" width="12.7109375" customWidth="1"/>
    <col min="8" max="8" width="17.5703125" bestFit="1" customWidth="1"/>
  </cols>
  <sheetData>
    <row r="1" spans="1:7" ht="15.75" x14ac:dyDescent="0.25">
      <c r="A1" s="5" t="s">
        <v>107</v>
      </c>
    </row>
    <row r="2" spans="1:7" ht="15.75" x14ac:dyDescent="0.25">
      <c r="A2" s="5"/>
    </row>
    <row r="3" spans="1:7" s="3" customFormat="1" ht="51" x14ac:dyDescent="0.25">
      <c r="A3" s="4" t="s">
        <v>45</v>
      </c>
      <c r="B3" s="4" t="s">
        <v>109</v>
      </c>
      <c r="C3" s="4" t="s">
        <v>110</v>
      </c>
      <c r="D3" s="4" t="s">
        <v>111</v>
      </c>
      <c r="E3" s="4" t="s">
        <v>112</v>
      </c>
      <c r="F3" s="4" t="s">
        <v>113</v>
      </c>
      <c r="G3" s="4" t="s">
        <v>127</v>
      </c>
    </row>
    <row r="4" spans="1:7" ht="16.5" x14ac:dyDescent="0.3">
      <c r="A4" s="9">
        <v>2013</v>
      </c>
      <c r="B4" s="8">
        <v>-4.17</v>
      </c>
      <c r="C4" s="8">
        <v>2.0299999999999998</v>
      </c>
      <c r="D4" s="8">
        <v>3.6</v>
      </c>
      <c r="E4" s="8">
        <v>3.14</v>
      </c>
      <c r="F4" s="8">
        <v>1.1100000000000001</v>
      </c>
      <c r="G4" s="7">
        <v>5.71</v>
      </c>
    </row>
    <row r="5" spans="1:7" ht="16.5" x14ac:dyDescent="0.3">
      <c r="A5" s="9">
        <v>2014</v>
      </c>
      <c r="B5" s="8">
        <v>-1.1399999999999999</v>
      </c>
      <c r="C5" s="8">
        <v>1.51</v>
      </c>
      <c r="D5" s="8">
        <v>1.42</v>
      </c>
      <c r="E5" s="8">
        <v>3.95</v>
      </c>
      <c r="F5" s="8">
        <v>0.16</v>
      </c>
      <c r="G5" s="7">
        <v>5.9</v>
      </c>
    </row>
    <row r="6" spans="1:7" ht="16.5" x14ac:dyDescent="0.3">
      <c r="A6" s="9">
        <v>2015</v>
      </c>
      <c r="B6" s="8">
        <v>4.8499999999999996</v>
      </c>
      <c r="C6" s="8">
        <v>0.21</v>
      </c>
      <c r="D6" s="8">
        <v>-7.96</v>
      </c>
      <c r="E6" s="8">
        <v>-0.54</v>
      </c>
      <c r="F6" s="8">
        <v>-0.25</v>
      </c>
      <c r="G6" s="7">
        <v>-3.7</v>
      </c>
    </row>
    <row r="7" spans="1:7" ht="16.5" x14ac:dyDescent="0.3">
      <c r="A7" s="9">
        <v>2016</v>
      </c>
      <c r="B7" s="8">
        <v>2.4700000000000002</v>
      </c>
      <c r="C7" s="8">
        <v>-0.16</v>
      </c>
      <c r="D7" s="8">
        <v>-5.72</v>
      </c>
      <c r="E7" s="8">
        <v>-0.18</v>
      </c>
      <c r="F7" s="8">
        <v>0.14000000000000001</v>
      </c>
      <c r="G7" s="7">
        <v>-3.46</v>
      </c>
    </row>
    <row r="8" spans="1:7" ht="16.5" x14ac:dyDescent="0.3">
      <c r="A8" s="9">
        <v>2017</v>
      </c>
      <c r="B8" s="8">
        <v>-1.47</v>
      </c>
      <c r="C8" s="8">
        <v>1.39</v>
      </c>
      <c r="D8" s="8">
        <v>0.09</v>
      </c>
      <c r="E8" s="8">
        <v>2.92</v>
      </c>
      <c r="F8" s="8">
        <v>1.57</v>
      </c>
      <c r="G8" s="7">
        <v>4.5</v>
      </c>
    </row>
    <row r="9" spans="1:7" ht="16.5" x14ac:dyDescent="0.3">
      <c r="A9" s="9">
        <v>2018</v>
      </c>
      <c r="B9" s="8">
        <v>-2.2599999999999998</v>
      </c>
      <c r="C9" s="8">
        <v>0.83</v>
      </c>
      <c r="D9" s="8">
        <v>0.23</v>
      </c>
      <c r="E9" s="8">
        <v>3.44</v>
      </c>
      <c r="F9" s="8">
        <v>-0.23</v>
      </c>
      <c r="G9" s="7">
        <v>2.02</v>
      </c>
    </row>
    <row r="10" spans="1:7" ht="16.5" x14ac:dyDescent="0.3">
      <c r="A10" s="9">
        <v>2019</v>
      </c>
      <c r="B10" s="8">
        <v>0.86</v>
      </c>
      <c r="C10" s="8">
        <v>0.18</v>
      </c>
      <c r="D10" s="8">
        <v>-0.99</v>
      </c>
      <c r="E10" s="8">
        <v>0.36</v>
      </c>
      <c r="F10" s="8">
        <v>-0.32</v>
      </c>
      <c r="G10" s="7">
        <v>0.09</v>
      </c>
    </row>
    <row r="11" spans="1:7" ht="16.5" x14ac:dyDescent="0.3">
      <c r="A11" s="9">
        <v>2020</v>
      </c>
      <c r="B11" s="8">
        <v>4.25</v>
      </c>
      <c r="C11" s="8">
        <v>-3.12</v>
      </c>
      <c r="D11" s="8">
        <v>-3.61</v>
      </c>
      <c r="E11" s="8">
        <v>-2.6</v>
      </c>
      <c r="F11" s="8">
        <v>-2.75</v>
      </c>
      <c r="G11" s="7">
        <v>-7.83</v>
      </c>
    </row>
    <row r="12" spans="1:7" ht="16.5" x14ac:dyDescent="0.3">
      <c r="A12" s="9">
        <v>2021</v>
      </c>
      <c r="B12" s="8">
        <v>-3.98</v>
      </c>
      <c r="C12" s="8">
        <v>2.21</v>
      </c>
      <c r="D12" s="8">
        <v>1.89</v>
      </c>
      <c r="E12" s="8">
        <v>1.95</v>
      </c>
      <c r="F12" s="8">
        <v>2.5299999999999998</v>
      </c>
      <c r="G12" s="7">
        <v>4.5999999999999996</v>
      </c>
    </row>
    <row r="13" spans="1:7" ht="16.5" x14ac:dyDescent="0.3">
      <c r="A13" s="9">
        <v>2022</v>
      </c>
      <c r="B13" s="8">
        <v>-3.17</v>
      </c>
      <c r="C13" s="8">
        <v>1.4</v>
      </c>
      <c r="D13" s="8">
        <v>1.69</v>
      </c>
      <c r="E13" s="8">
        <v>2.98</v>
      </c>
      <c r="F13" s="8">
        <v>2.1</v>
      </c>
      <c r="G13" s="7">
        <v>5</v>
      </c>
    </row>
    <row r="14" spans="1:7" ht="16.5" x14ac:dyDescent="0.3">
      <c r="A14" s="9" t="s">
        <v>1</v>
      </c>
      <c r="B14" s="8">
        <v>-0.55000000000000004</v>
      </c>
      <c r="C14" s="8">
        <v>1.51</v>
      </c>
      <c r="D14" s="8">
        <v>1</v>
      </c>
      <c r="E14" s="8">
        <v>1.54</v>
      </c>
      <c r="F14" s="8">
        <v>-1</v>
      </c>
      <c r="G14" s="7">
        <v>2.5</v>
      </c>
    </row>
    <row r="15" spans="1:7" ht="16.5" x14ac:dyDescent="0.3">
      <c r="A15" s="9" t="s">
        <v>2</v>
      </c>
      <c r="B15" s="8">
        <v>-2.2200000000000002</v>
      </c>
      <c r="C15" s="8">
        <v>1.5</v>
      </c>
      <c r="D15" s="8">
        <v>1.05</v>
      </c>
      <c r="E15" s="8">
        <v>1.71</v>
      </c>
      <c r="F15" s="8">
        <v>0.86</v>
      </c>
      <c r="G15" s="7">
        <v>2.9</v>
      </c>
    </row>
    <row r="16" spans="1:7" ht="16.5" x14ac:dyDescent="0.3">
      <c r="A16" s="9" t="s">
        <v>3</v>
      </c>
      <c r="B16" s="8">
        <v>-2.0099999999999998</v>
      </c>
      <c r="C16" s="8">
        <v>1.36</v>
      </c>
      <c r="D16" s="8">
        <v>1.1499999999999999</v>
      </c>
      <c r="E16" s="8">
        <v>1.76</v>
      </c>
      <c r="F16" s="8">
        <v>1.03</v>
      </c>
      <c r="G16" s="7">
        <v>3.3</v>
      </c>
    </row>
    <row r="17" spans="1:7" ht="16.5" x14ac:dyDescent="0.3">
      <c r="A17" s="9" t="s">
        <v>4</v>
      </c>
      <c r="B17" s="8">
        <v>-1.64</v>
      </c>
      <c r="C17" s="8">
        <v>1.27</v>
      </c>
      <c r="D17" s="8">
        <v>1.08</v>
      </c>
      <c r="E17" s="8">
        <v>1.56</v>
      </c>
      <c r="F17" s="8">
        <v>0.53</v>
      </c>
      <c r="G17" s="7">
        <v>2.8</v>
      </c>
    </row>
    <row r="18" spans="1:7" ht="16.5" x14ac:dyDescent="0.3">
      <c r="A18" s="9" t="s">
        <v>5</v>
      </c>
      <c r="B18" s="8">
        <v>-1.43</v>
      </c>
      <c r="C18" s="8">
        <v>1.18</v>
      </c>
      <c r="D18" s="8">
        <v>0.81</v>
      </c>
      <c r="E18" s="8">
        <v>1.42</v>
      </c>
      <c r="F18" s="8">
        <v>0.62</v>
      </c>
      <c r="G18" s="7">
        <v>2.6</v>
      </c>
    </row>
    <row r="19" spans="1:7" ht="16.5" x14ac:dyDescent="0.3">
      <c r="A19" s="9" t="s">
        <v>6</v>
      </c>
      <c r="B19" s="8">
        <v>-1.28</v>
      </c>
      <c r="C19" s="8">
        <v>1.19</v>
      </c>
      <c r="D19" s="8">
        <v>0.65</v>
      </c>
      <c r="E19" s="8">
        <v>1.23</v>
      </c>
      <c r="F19" s="8">
        <v>0.61</v>
      </c>
      <c r="G19" s="7">
        <v>2.4</v>
      </c>
    </row>
    <row r="20" spans="1:7" x14ac:dyDescent="0.25">
      <c r="B20" s="7"/>
      <c r="C20" s="7"/>
      <c r="D20" s="7"/>
      <c r="E20" s="7"/>
      <c r="F20" s="7"/>
      <c r="G20" s="7"/>
    </row>
    <row r="21" spans="1:7" x14ac:dyDescent="0.25">
      <c r="B21" s="7"/>
      <c r="C21" s="7"/>
      <c r="D21" s="7"/>
      <c r="E21" s="7"/>
      <c r="F21" s="7"/>
      <c r="G21" s="7"/>
    </row>
    <row r="22" spans="1:7" x14ac:dyDescent="0.25">
      <c r="A22" s="6" t="s">
        <v>47</v>
      </c>
      <c r="B22" s="7"/>
      <c r="C22" s="7"/>
      <c r="D22" s="7"/>
      <c r="E22" s="7"/>
      <c r="F22" s="7"/>
      <c r="G22" s="7"/>
    </row>
    <row r="23" spans="1:7" x14ac:dyDescent="0.25">
      <c r="A23" s="6" t="s">
        <v>108</v>
      </c>
    </row>
    <row r="24" spans="1:7" x14ac:dyDescent="0.25">
      <c r="A24" s="6" t="s">
        <v>7</v>
      </c>
    </row>
  </sheetData>
  <pageMargins left="0.7" right="0.7" top="0.75" bottom="0.75" header="0.3" footer="0.3"/>
  <pageSetup orientation="portrait" r:id="rId1"/>
  <headerFooter>
    <oddFooter>&amp;L_x000D_&amp;1#&amp;"Calibri"&amp;11&amp;K000000 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8307-8A62-44B1-84B0-E2BD5A0DF57F}">
  <dimension ref="A1:D18"/>
  <sheetViews>
    <sheetView zoomScaleNormal="100" workbookViewId="0"/>
  </sheetViews>
  <sheetFormatPr defaultRowHeight="15" x14ac:dyDescent="0.25"/>
  <cols>
    <col min="1" max="4" width="12.7109375" customWidth="1"/>
  </cols>
  <sheetData>
    <row r="1" spans="1:4" ht="15.75" x14ac:dyDescent="0.25">
      <c r="A1" s="5" t="s">
        <v>114</v>
      </c>
    </row>
    <row r="3" spans="1:4" s="3" customFormat="1" ht="38.25" x14ac:dyDescent="0.25">
      <c r="A3" s="4" t="s">
        <v>45</v>
      </c>
      <c r="B3" s="4" t="s">
        <v>115</v>
      </c>
      <c r="C3" s="4" t="s">
        <v>116</v>
      </c>
      <c r="D3" s="4" t="s">
        <v>24</v>
      </c>
    </row>
    <row r="4" spans="1:4" ht="16.5" x14ac:dyDescent="0.3">
      <c r="A4" s="9" t="s">
        <v>17</v>
      </c>
      <c r="B4" s="8">
        <v>93.71</v>
      </c>
      <c r="C4" s="8">
        <v>97.29</v>
      </c>
      <c r="D4" s="13">
        <v>100</v>
      </c>
    </row>
    <row r="5" spans="1:4" ht="16.5" x14ac:dyDescent="0.3">
      <c r="A5" s="9" t="s">
        <v>18</v>
      </c>
      <c r="B5" s="8">
        <v>97.93</v>
      </c>
      <c r="C5" s="8">
        <v>100.66</v>
      </c>
      <c r="D5" s="13">
        <v>100</v>
      </c>
    </row>
    <row r="6" spans="1:4" ht="16.5" x14ac:dyDescent="0.3">
      <c r="A6" s="9" t="s">
        <v>19</v>
      </c>
      <c r="B6" s="8">
        <v>99.91</v>
      </c>
      <c r="C6" s="8">
        <v>101.37</v>
      </c>
      <c r="D6" s="13">
        <v>100</v>
      </c>
    </row>
    <row r="7" spans="1:4" ht="16.5" x14ac:dyDescent="0.3">
      <c r="A7" s="9" t="s">
        <v>20</v>
      </c>
      <c r="B7" s="8">
        <v>100</v>
      </c>
      <c r="C7" s="8">
        <v>100</v>
      </c>
      <c r="D7" s="13">
        <v>100</v>
      </c>
    </row>
    <row r="8" spans="1:4" ht="16.5" x14ac:dyDescent="0.3">
      <c r="A8" s="9" t="s">
        <v>21</v>
      </c>
      <c r="B8" s="8">
        <v>92.17</v>
      </c>
      <c r="C8" s="8">
        <v>91.08</v>
      </c>
      <c r="D8" s="13">
        <v>100</v>
      </c>
    </row>
    <row r="9" spans="1:4" ht="16.5" x14ac:dyDescent="0.3">
      <c r="A9" s="9" t="s">
        <v>22</v>
      </c>
      <c r="B9" s="8">
        <v>96.41</v>
      </c>
      <c r="C9" s="8">
        <v>94.76</v>
      </c>
      <c r="D9" s="13">
        <v>100</v>
      </c>
    </row>
    <row r="10" spans="1:4" ht="16.5" x14ac:dyDescent="0.3">
      <c r="A10" s="9" t="s">
        <v>23</v>
      </c>
      <c r="B10" s="8">
        <v>101.24</v>
      </c>
      <c r="C10" s="8">
        <v>97.75</v>
      </c>
      <c r="D10" s="13">
        <v>100</v>
      </c>
    </row>
    <row r="11" spans="1:4" ht="16.5" x14ac:dyDescent="0.3">
      <c r="A11" s="9" t="s">
        <v>1</v>
      </c>
      <c r="B11" s="8">
        <v>103.72</v>
      </c>
      <c r="C11" s="8">
        <v>96.21</v>
      </c>
      <c r="D11" s="13">
        <v>100</v>
      </c>
    </row>
    <row r="12" spans="1:4" ht="16.5" x14ac:dyDescent="0.3">
      <c r="A12" s="9" t="s">
        <v>2</v>
      </c>
      <c r="B12" s="8">
        <v>106.72</v>
      </c>
      <c r="C12" s="8">
        <v>95.44</v>
      </c>
      <c r="D12" s="13">
        <v>100</v>
      </c>
    </row>
    <row r="13" spans="1:4" ht="16.5" x14ac:dyDescent="0.3">
      <c r="A13" s="9" t="s">
        <v>3</v>
      </c>
      <c r="B13" s="8">
        <v>110.25</v>
      </c>
      <c r="C13" s="8">
        <v>96.39</v>
      </c>
      <c r="D13" s="13">
        <v>100</v>
      </c>
    </row>
    <row r="14" spans="1:4" ht="16.5" x14ac:dyDescent="0.3">
      <c r="A14" s="9" t="s">
        <v>4</v>
      </c>
      <c r="B14" s="8">
        <v>113.39</v>
      </c>
      <c r="C14" s="8">
        <v>97.16</v>
      </c>
      <c r="D14" s="13">
        <v>100</v>
      </c>
    </row>
    <row r="15" spans="1:4" ht="16.5" x14ac:dyDescent="0.3">
      <c r="A15" s="9" t="s">
        <v>5</v>
      </c>
      <c r="B15" s="8">
        <v>116.32</v>
      </c>
      <c r="C15" s="8">
        <v>98.14</v>
      </c>
      <c r="D15" s="13">
        <v>100</v>
      </c>
    </row>
    <row r="18" spans="1:1" x14ac:dyDescent="0.25">
      <c r="A18" s="6" t="s">
        <v>47</v>
      </c>
    </row>
  </sheetData>
  <pageMargins left="0.7" right="0.7" top="0.75" bottom="0.75" header="0.3" footer="0.3"/>
  <headerFooter>
    <oddFooter>&amp;L_x000D_&amp;1#&amp;"Calibri"&amp;11&amp;K000000 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2D73-CCFD-4D80-973A-C0FB2437EB58}">
  <dimension ref="A1:E10"/>
  <sheetViews>
    <sheetView zoomScaleNormal="100" workbookViewId="0"/>
  </sheetViews>
  <sheetFormatPr defaultRowHeight="15" x14ac:dyDescent="0.25"/>
  <cols>
    <col min="1" max="6" width="12.7109375" customWidth="1"/>
  </cols>
  <sheetData>
    <row r="1" spans="1:5" ht="15.75" x14ac:dyDescent="0.25">
      <c r="A1" s="5" t="s">
        <v>117</v>
      </c>
    </row>
    <row r="3" spans="1:5" ht="25.5" x14ac:dyDescent="0.25">
      <c r="A3" s="4" t="s">
        <v>45</v>
      </c>
      <c r="B3" s="4" t="s">
        <v>119</v>
      </c>
      <c r="C3" s="4" t="s">
        <v>121</v>
      </c>
      <c r="D3" s="4" t="s">
        <v>122</v>
      </c>
      <c r="E3" s="4" t="s">
        <v>120</v>
      </c>
    </row>
    <row r="4" spans="1:5" ht="16.5" x14ac:dyDescent="0.3">
      <c r="A4" s="9">
        <v>2022</v>
      </c>
      <c r="B4" s="8">
        <v>1.94</v>
      </c>
      <c r="C4" s="8">
        <v>3.8</v>
      </c>
      <c r="D4" s="8">
        <v>3.43</v>
      </c>
      <c r="E4" s="8">
        <v>2.99</v>
      </c>
    </row>
    <row r="5" spans="1:5" ht="16.5" x14ac:dyDescent="0.3">
      <c r="A5" s="9" t="s">
        <v>1</v>
      </c>
      <c r="B5" s="7">
        <v>2.5</v>
      </c>
      <c r="C5" s="7">
        <v>1.1000000000000001</v>
      </c>
      <c r="D5" s="7">
        <v>0.5</v>
      </c>
      <c r="E5" s="7">
        <v>5.2</v>
      </c>
    </row>
    <row r="6" spans="1:5" ht="16.5" x14ac:dyDescent="0.3">
      <c r="A6" s="9" t="s">
        <v>2</v>
      </c>
      <c r="B6" s="7">
        <v>1.4</v>
      </c>
      <c r="C6" s="7">
        <v>0.8</v>
      </c>
      <c r="D6" s="7">
        <v>0.5</v>
      </c>
      <c r="E6" s="7">
        <v>4.5999999999999996</v>
      </c>
    </row>
    <row r="7" spans="1:5" ht="16.5" x14ac:dyDescent="0.3">
      <c r="A7" s="9" t="s">
        <v>3</v>
      </c>
      <c r="B7" s="7">
        <v>1.6</v>
      </c>
      <c r="C7" s="7">
        <v>2</v>
      </c>
      <c r="D7" s="7">
        <v>1.5</v>
      </c>
      <c r="E7" s="7">
        <v>4.4000000000000004</v>
      </c>
    </row>
    <row r="8" spans="1:5" ht="16.5" x14ac:dyDescent="0.3">
      <c r="A8" s="9"/>
    </row>
    <row r="9" spans="1:5" ht="16.5" x14ac:dyDescent="0.3">
      <c r="A9" s="9"/>
    </row>
    <row r="10" spans="1:5" x14ac:dyDescent="0.25">
      <c r="A10" s="6" t="s">
        <v>118</v>
      </c>
    </row>
  </sheetData>
  <pageMargins left="0.7" right="0.7" top="0.75" bottom="0.75" header="0.3" footer="0.3"/>
  <headerFooter>
    <oddFooter>&amp;L_x000D_&amp;1#&amp;"Calibri"&amp;11&amp;K000000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738B-9365-4BF1-91D3-59331CC56085}">
  <dimension ref="A1:E20"/>
  <sheetViews>
    <sheetView zoomScaleNormal="100" workbookViewId="0"/>
  </sheetViews>
  <sheetFormatPr defaultRowHeight="15" x14ac:dyDescent="0.25"/>
  <cols>
    <col min="1" max="5" width="12.7109375" customWidth="1"/>
  </cols>
  <sheetData>
    <row r="1" spans="1:5" ht="15.75" x14ac:dyDescent="0.25">
      <c r="A1" s="5" t="s">
        <v>124</v>
      </c>
    </row>
    <row r="3" spans="1:5" ht="25.5" x14ac:dyDescent="0.25">
      <c r="A3" s="4" t="s">
        <v>123</v>
      </c>
      <c r="B3" s="4" t="s">
        <v>125</v>
      </c>
      <c r="D3" s="4" t="s">
        <v>45</v>
      </c>
      <c r="E3" s="4" t="s">
        <v>126</v>
      </c>
    </row>
    <row r="4" spans="1:5" ht="16.5" x14ac:dyDescent="0.3">
      <c r="A4" s="9" t="s">
        <v>25</v>
      </c>
      <c r="B4" s="8">
        <v>-3.02</v>
      </c>
      <c r="C4" s="2"/>
      <c r="D4" s="9" t="s">
        <v>2</v>
      </c>
      <c r="E4" s="7">
        <v>0.8</v>
      </c>
    </row>
    <row r="5" spans="1:5" ht="16.5" x14ac:dyDescent="0.3">
      <c r="A5" s="9" t="s">
        <v>26</v>
      </c>
      <c r="B5" s="8">
        <v>0.33</v>
      </c>
      <c r="C5" s="2"/>
      <c r="D5" s="9" t="s">
        <v>3</v>
      </c>
      <c r="E5" s="7">
        <v>2</v>
      </c>
    </row>
    <row r="6" spans="1:5" ht="16.5" x14ac:dyDescent="0.3">
      <c r="A6" s="9" t="s">
        <v>27</v>
      </c>
      <c r="B6" s="8">
        <v>12.38</v>
      </c>
      <c r="C6" s="2"/>
      <c r="D6" s="9" t="s">
        <v>4</v>
      </c>
      <c r="E6" s="7">
        <v>1.9</v>
      </c>
    </row>
    <row r="7" spans="1:5" ht="16.5" x14ac:dyDescent="0.3">
      <c r="A7" s="9" t="s">
        <v>28</v>
      </c>
      <c r="B7" s="8">
        <v>4.75</v>
      </c>
      <c r="C7" s="2"/>
      <c r="D7" s="9"/>
    </row>
    <row r="8" spans="1:5" ht="16.5" x14ac:dyDescent="0.3">
      <c r="A8" s="9" t="s">
        <v>29</v>
      </c>
      <c r="B8" s="8">
        <v>4.4400000000000004</v>
      </c>
      <c r="C8" s="2"/>
    </row>
    <row r="9" spans="1:5" ht="16.5" x14ac:dyDescent="0.3">
      <c r="A9" s="9" t="s">
        <v>30</v>
      </c>
      <c r="B9" s="8">
        <v>3.94</v>
      </c>
      <c r="C9" s="2"/>
    </row>
    <row r="10" spans="1:5" ht="16.5" x14ac:dyDescent="0.3">
      <c r="A10" s="9" t="s">
        <v>31</v>
      </c>
      <c r="B10" s="8">
        <v>5.25</v>
      </c>
      <c r="C10" s="2"/>
    </row>
    <row r="11" spans="1:5" ht="16.5" x14ac:dyDescent="0.3">
      <c r="A11" s="9" t="s">
        <v>32</v>
      </c>
      <c r="B11" s="8">
        <v>3.98</v>
      </c>
      <c r="C11" s="2"/>
    </row>
    <row r="12" spans="1:5" ht="16.5" x14ac:dyDescent="0.3">
      <c r="A12" s="9" t="s">
        <v>33</v>
      </c>
      <c r="B12" s="8">
        <v>2.16</v>
      </c>
      <c r="C12" s="2"/>
    </row>
    <row r="13" spans="1:5" ht="16.5" x14ac:dyDescent="0.3">
      <c r="A13" s="9" t="s">
        <v>34</v>
      </c>
      <c r="B13" s="8">
        <v>1.8</v>
      </c>
      <c r="C13" s="2"/>
    </row>
    <row r="14" spans="1:5" ht="16.5" x14ac:dyDescent="0.3">
      <c r="A14" s="9" t="s">
        <v>35</v>
      </c>
      <c r="B14" s="8">
        <v>1.2</v>
      </c>
      <c r="C14" s="2"/>
    </row>
    <row r="15" spans="1:5" ht="16.5" x14ac:dyDescent="0.3">
      <c r="A15" s="9" t="s">
        <v>36</v>
      </c>
      <c r="B15" s="8">
        <v>0.47</v>
      </c>
      <c r="C15" s="2"/>
    </row>
    <row r="16" spans="1:5" ht="16.5" x14ac:dyDescent="0.3">
      <c r="A16" s="9"/>
      <c r="B16" s="2"/>
      <c r="C16" s="2"/>
    </row>
    <row r="18" spans="1:3" x14ac:dyDescent="0.25">
      <c r="A18" s="6" t="s">
        <v>70</v>
      </c>
    </row>
    <row r="20" spans="1:3" ht="16.5" x14ac:dyDescent="0.3">
      <c r="A20" s="9"/>
      <c r="B20" s="2"/>
      <c r="C20" s="2"/>
    </row>
  </sheetData>
  <pageMargins left="0.7" right="0.7" top="0.75" bottom="0.75" header="0.3" footer="0.3"/>
  <headerFooter>
    <oddFooter>&amp;L_x000D_&amp;1#&amp;"Calibri"&amp;11&amp;K000000 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88F92-3796-48C6-B2EC-51AC89840DA5}">
  <dimension ref="A1:F68"/>
  <sheetViews>
    <sheetView zoomScaleNormal="100" workbookViewId="0"/>
  </sheetViews>
  <sheetFormatPr defaultRowHeight="15" x14ac:dyDescent="0.25"/>
  <cols>
    <col min="1" max="1" width="9.140625" style="10"/>
    <col min="2" max="6" width="12.7109375" customWidth="1"/>
  </cols>
  <sheetData>
    <row r="1" spans="1:6" ht="15.75" x14ac:dyDescent="0.25">
      <c r="A1" s="5" t="s">
        <v>37</v>
      </c>
    </row>
    <row r="3" spans="1:6" ht="25.5" x14ac:dyDescent="0.25">
      <c r="A3" s="4" t="s">
        <v>53</v>
      </c>
      <c r="B3" s="4" t="s">
        <v>128</v>
      </c>
      <c r="C3" s="4" t="s">
        <v>129</v>
      </c>
      <c r="D3" s="4" t="s">
        <v>122</v>
      </c>
      <c r="E3" s="4" t="s">
        <v>130</v>
      </c>
      <c r="F3" s="4" t="s">
        <v>126</v>
      </c>
    </row>
    <row r="4" spans="1:6" ht="16.5" x14ac:dyDescent="0.3">
      <c r="A4" s="11">
        <v>43861</v>
      </c>
      <c r="B4" s="8">
        <v>1.625</v>
      </c>
      <c r="C4" s="8">
        <v>0.75</v>
      </c>
      <c r="D4" s="8">
        <v>0</v>
      </c>
      <c r="E4" s="8">
        <v>1.75</v>
      </c>
      <c r="F4" s="8"/>
    </row>
    <row r="5" spans="1:6" ht="16.5" x14ac:dyDescent="0.3">
      <c r="A5" s="11">
        <v>43890</v>
      </c>
      <c r="B5" s="8">
        <v>1.625</v>
      </c>
      <c r="C5" s="8">
        <v>0.75</v>
      </c>
      <c r="D5" s="8">
        <v>0</v>
      </c>
      <c r="E5" s="8">
        <v>1.75</v>
      </c>
      <c r="F5" s="8"/>
    </row>
    <row r="6" spans="1:6" ht="16.5" x14ac:dyDescent="0.3">
      <c r="A6" s="11">
        <v>43921</v>
      </c>
      <c r="B6" s="8">
        <v>0.125</v>
      </c>
      <c r="C6" s="8">
        <v>0.1</v>
      </c>
      <c r="D6" s="8">
        <v>0</v>
      </c>
      <c r="E6" s="8">
        <v>0.25</v>
      </c>
      <c r="F6" s="8"/>
    </row>
    <row r="7" spans="1:6" ht="16.5" x14ac:dyDescent="0.3">
      <c r="A7" s="11">
        <v>43951</v>
      </c>
      <c r="B7" s="8">
        <v>0.125</v>
      </c>
      <c r="C7" s="8">
        <v>0.1</v>
      </c>
      <c r="D7" s="8">
        <v>0</v>
      </c>
      <c r="E7" s="8">
        <v>0.25</v>
      </c>
      <c r="F7" s="8"/>
    </row>
    <row r="8" spans="1:6" ht="16.5" x14ac:dyDescent="0.3">
      <c r="A8" s="11">
        <v>43982</v>
      </c>
      <c r="B8" s="8">
        <v>0.125</v>
      </c>
      <c r="C8" s="8">
        <v>0.1</v>
      </c>
      <c r="D8" s="8">
        <v>0</v>
      </c>
      <c r="E8" s="8">
        <v>0.25</v>
      </c>
      <c r="F8" s="8"/>
    </row>
    <row r="9" spans="1:6" ht="16.5" x14ac:dyDescent="0.3">
      <c r="A9" s="11">
        <v>44012</v>
      </c>
      <c r="B9" s="8">
        <v>0.125</v>
      </c>
      <c r="C9" s="8">
        <v>0.1</v>
      </c>
      <c r="D9" s="8">
        <v>0</v>
      </c>
      <c r="E9" s="8">
        <v>0.25</v>
      </c>
      <c r="F9" s="8"/>
    </row>
    <row r="10" spans="1:6" ht="16.5" x14ac:dyDescent="0.3">
      <c r="A10" s="11">
        <v>44043</v>
      </c>
      <c r="B10" s="8">
        <v>0.125</v>
      </c>
      <c r="C10" s="8">
        <v>0.1</v>
      </c>
      <c r="D10" s="8">
        <v>0</v>
      </c>
      <c r="E10" s="8">
        <v>0.25</v>
      </c>
      <c r="F10" s="8"/>
    </row>
    <row r="11" spans="1:6" ht="16.5" x14ac:dyDescent="0.3">
      <c r="A11" s="11">
        <v>44074</v>
      </c>
      <c r="B11" s="8">
        <v>0.125</v>
      </c>
      <c r="C11" s="8">
        <v>0.1</v>
      </c>
      <c r="D11" s="8">
        <v>0</v>
      </c>
      <c r="E11" s="8">
        <v>0.25</v>
      </c>
      <c r="F11" s="8"/>
    </row>
    <row r="12" spans="1:6" ht="16.5" x14ac:dyDescent="0.3">
      <c r="A12" s="11">
        <v>44104</v>
      </c>
      <c r="B12" s="8">
        <v>0.125</v>
      </c>
      <c r="C12" s="8">
        <v>0.1</v>
      </c>
      <c r="D12" s="8">
        <v>0</v>
      </c>
      <c r="E12" s="8">
        <v>0.25</v>
      </c>
      <c r="F12" s="8"/>
    </row>
    <row r="13" spans="1:6" ht="16.5" x14ac:dyDescent="0.3">
      <c r="A13" s="11">
        <v>44135</v>
      </c>
      <c r="B13" s="8">
        <v>0.125</v>
      </c>
      <c r="C13" s="8">
        <v>0.1</v>
      </c>
      <c r="D13" s="8">
        <v>0</v>
      </c>
      <c r="E13" s="8">
        <v>0.25</v>
      </c>
      <c r="F13" s="8"/>
    </row>
    <row r="14" spans="1:6" ht="16.5" x14ac:dyDescent="0.3">
      <c r="A14" s="11">
        <v>44165</v>
      </c>
      <c r="B14" s="8">
        <v>0.125</v>
      </c>
      <c r="C14" s="8">
        <v>0.1</v>
      </c>
      <c r="D14" s="8">
        <v>0</v>
      </c>
      <c r="E14" s="8">
        <v>0.25</v>
      </c>
      <c r="F14" s="8"/>
    </row>
    <row r="15" spans="1:6" ht="16.5" x14ac:dyDescent="0.3">
      <c r="A15" s="11">
        <v>44196</v>
      </c>
      <c r="B15" s="8">
        <v>0.125</v>
      </c>
      <c r="C15" s="8">
        <v>0.1</v>
      </c>
      <c r="D15" s="8">
        <v>0</v>
      </c>
      <c r="E15" s="8">
        <v>0.25</v>
      </c>
      <c r="F15" s="8"/>
    </row>
    <row r="16" spans="1:6" ht="16.5" x14ac:dyDescent="0.3">
      <c r="A16" s="11">
        <v>44227</v>
      </c>
      <c r="B16" s="8">
        <v>0.125</v>
      </c>
      <c r="C16" s="8">
        <v>0.1</v>
      </c>
      <c r="D16" s="8">
        <v>0</v>
      </c>
      <c r="E16" s="8">
        <v>0.25</v>
      </c>
      <c r="F16" s="8"/>
    </row>
    <row r="17" spans="1:6" ht="16.5" x14ac:dyDescent="0.3">
      <c r="A17" s="11">
        <v>44255</v>
      </c>
      <c r="B17" s="8">
        <v>0.125</v>
      </c>
      <c r="C17" s="8">
        <v>0.1</v>
      </c>
      <c r="D17" s="8">
        <v>0</v>
      </c>
      <c r="E17" s="8">
        <v>0.25</v>
      </c>
      <c r="F17" s="8"/>
    </row>
    <row r="18" spans="1:6" ht="16.5" x14ac:dyDescent="0.3">
      <c r="A18" s="11">
        <v>44286</v>
      </c>
      <c r="B18" s="8">
        <v>0.125</v>
      </c>
      <c r="C18" s="8">
        <v>0.1</v>
      </c>
      <c r="D18" s="8">
        <v>0</v>
      </c>
      <c r="E18" s="8">
        <v>0.25</v>
      </c>
      <c r="F18" s="8"/>
    </row>
    <row r="19" spans="1:6" ht="16.5" x14ac:dyDescent="0.3">
      <c r="A19" s="11">
        <v>44316</v>
      </c>
      <c r="B19" s="8">
        <v>0.125</v>
      </c>
      <c r="C19" s="8">
        <v>0.1</v>
      </c>
      <c r="D19" s="8">
        <v>0</v>
      </c>
      <c r="E19" s="8">
        <v>0.25</v>
      </c>
      <c r="F19" s="8"/>
    </row>
    <row r="20" spans="1:6" ht="16.5" x14ac:dyDescent="0.3">
      <c r="A20" s="11">
        <v>44347</v>
      </c>
      <c r="B20" s="8">
        <v>0.125</v>
      </c>
      <c r="C20" s="8">
        <v>0.1</v>
      </c>
      <c r="D20" s="8">
        <v>0</v>
      </c>
      <c r="E20" s="8">
        <v>0.25</v>
      </c>
      <c r="F20" s="8"/>
    </row>
    <row r="21" spans="1:6" ht="16.5" x14ac:dyDescent="0.3">
      <c r="A21" s="11">
        <v>44377</v>
      </c>
      <c r="B21" s="8">
        <v>0.125</v>
      </c>
      <c r="C21" s="8">
        <v>0.1</v>
      </c>
      <c r="D21" s="8">
        <v>0</v>
      </c>
      <c r="E21" s="8">
        <v>0.25</v>
      </c>
      <c r="F21" s="8"/>
    </row>
    <row r="22" spans="1:6" ht="16.5" x14ac:dyDescent="0.3">
      <c r="A22" s="11">
        <v>44408</v>
      </c>
      <c r="B22" s="8">
        <v>0.125</v>
      </c>
      <c r="C22" s="8">
        <v>0.1</v>
      </c>
      <c r="D22" s="8">
        <v>0</v>
      </c>
      <c r="E22" s="8">
        <v>0.25</v>
      </c>
      <c r="F22" s="8"/>
    </row>
    <row r="23" spans="1:6" ht="16.5" x14ac:dyDescent="0.3">
      <c r="A23" s="11">
        <v>44439</v>
      </c>
      <c r="B23" s="8">
        <v>0.125</v>
      </c>
      <c r="C23" s="8">
        <v>0.1</v>
      </c>
      <c r="D23" s="8">
        <v>0</v>
      </c>
      <c r="E23" s="8">
        <v>0.25</v>
      </c>
      <c r="F23" s="8"/>
    </row>
    <row r="24" spans="1:6" ht="16.5" x14ac:dyDescent="0.3">
      <c r="A24" s="11">
        <v>44469</v>
      </c>
      <c r="B24" s="8">
        <v>0.125</v>
      </c>
      <c r="C24" s="8">
        <v>0.1</v>
      </c>
      <c r="D24" s="8">
        <v>0</v>
      </c>
      <c r="E24" s="8">
        <v>0.25</v>
      </c>
      <c r="F24" s="8"/>
    </row>
    <row r="25" spans="1:6" ht="16.5" x14ac:dyDescent="0.3">
      <c r="A25" s="11">
        <v>44500</v>
      </c>
      <c r="B25" s="8">
        <v>0.125</v>
      </c>
      <c r="C25" s="8">
        <v>0.1</v>
      </c>
      <c r="D25" s="8">
        <v>0</v>
      </c>
      <c r="E25" s="8">
        <v>0.25</v>
      </c>
      <c r="F25" s="8"/>
    </row>
    <row r="26" spans="1:6" ht="16.5" x14ac:dyDescent="0.3">
      <c r="A26" s="11">
        <v>44530</v>
      </c>
      <c r="B26" s="8">
        <v>0.125</v>
      </c>
      <c r="C26" s="8">
        <v>0.1</v>
      </c>
      <c r="D26" s="8">
        <v>0</v>
      </c>
      <c r="E26" s="8">
        <v>0.25</v>
      </c>
      <c r="F26" s="8"/>
    </row>
    <row r="27" spans="1:6" ht="16.5" x14ac:dyDescent="0.3">
      <c r="A27" s="11">
        <v>44561</v>
      </c>
      <c r="B27" s="8">
        <v>0.125</v>
      </c>
      <c r="C27" s="8">
        <v>0.25</v>
      </c>
      <c r="D27" s="8">
        <v>0</v>
      </c>
      <c r="E27" s="8">
        <v>0.25</v>
      </c>
      <c r="F27" s="8"/>
    </row>
    <row r="28" spans="1:6" ht="16.5" x14ac:dyDescent="0.3">
      <c r="A28" s="11">
        <v>44592</v>
      </c>
      <c r="B28" s="8">
        <v>0.125</v>
      </c>
      <c r="C28" s="8">
        <v>0.25</v>
      </c>
      <c r="D28" s="8">
        <v>0</v>
      </c>
      <c r="E28" s="8">
        <v>0.25</v>
      </c>
      <c r="F28" s="8"/>
    </row>
    <row r="29" spans="1:6" ht="16.5" x14ac:dyDescent="0.3">
      <c r="A29" s="11">
        <v>44620</v>
      </c>
      <c r="B29" s="8">
        <v>0.125</v>
      </c>
      <c r="C29" s="8">
        <v>0.5</v>
      </c>
      <c r="D29" s="8">
        <v>0</v>
      </c>
      <c r="E29" s="8">
        <v>0.25</v>
      </c>
      <c r="F29" s="8"/>
    </row>
    <row r="30" spans="1:6" ht="16.5" x14ac:dyDescent="0.3">
      <c r="A30" s="11">
        <v>44651</v>
      </c>
      <c r="B30" s="8">
        <v>0.375</v>
      </c>
      <c r="C30" s="8">
        <v>0.75</v>
      </c>
      <c r="D30" s="8">
        <v>0</v>
      </c>
      <c r="E30" s="8">
        <v>0.5</v>
      </c>
      <c r="F30" s="8"/>
    </row>
    <row r="31" spans="1:6" ht="16.5" x14ac:dyDescent="0.3">
      <c r="A31" s="11">
        <v>44681</v>
      </c>
      <c r="B31" s="8">
        <v>0.375</v>
      </c>
      <c r="C31" s="8">
        <v>0.75</v>
      </c>
      <c r="D31" s="8">
        <v>0</v>
      </c>
      <c r="E31" s="8">
        <v>1</v>
      </c>
      <c r="F31" s="8"/>
    </row>
    <row r="32" spans="1:6" ht="16.5" x14ac:dyDescent="0.3">
      <c r="A32" s="11">
        <v>44712</v>
      </c>
      <c r="B32" s="8">
        <v>0.875</v>
      </c>
      <c r="C32" s="8">
        <v>1</v>
      </c>
      <c r="D32" s="8">
        <v>0</v>
      </c>
      <c r="E32" s="8">
        <v>1</v>
      </c>
      <c r="F32" s="8"/>
    </row>
    <row r="33" spans="1:6" ht="16.5" x14ac:dyDescent="0.3">
      <c r="A33" s="11">
        <v>44742</v>
      </c>
      <c r="B33" s="8">
        <v>1.625</v>
      </c>
      <c r="C33" s="8">
        <v>1.25</v>
      </c>
      <c r="D33" s="8">
        <v>0</v>
      </c>
      <c r="E33" s="8">
        <v>1.5</v>
      </c>
      <c r="F33" s="8"/>
    </row>
    <row r="34" spans="1:6" ht="16.5" x14ac:dyDescent="0.3">
      <c r="A34" s="11">
        <v>44773</v>
      </c>
      <c r="B34" s="8">
        <v>2.375</v>
      </c>
      <c r="C34" s="8">
        <v>1.25</v>
      </c>
      <c r="D34" s="8">
        <v>0.5</v>
      </c>
      <c r="E34" s="8">
        <v>2.5</v>
      </c>
      <c r="F34" s="8"/>
    </row>
    <row r="35" spans="1:6" ht="16.5" x14ac:dyDescent="0.3">
      <c r="A35" s="11">
        <v>44804</v>
      </c>
      <c r="B35" s="8">
        <v>2.375</v>
      </c>
      <c r="C35" s="8">
        <v>1.75</v>
      </c>
      <c r="D35" s="8">
        <v>0.5</v>
      </c>
      <c r="E35" s="8">
        <v>2.5</v>
      </c>
      <c r="F35" s="8"/>
    </row>
    <row r="36" spans="1:6" ht="16.5" x14ac:dyDescent="0.3">
      <c r="A36" s="11">
        <v>44834</v>
      </c>
      <c r="B36" s="8">
        <v>3.125</v>
      </c>
      <c r="C36" s="8">
        <v>2.25</v>
      </c>
      <c r="D36" s="8">
        <v>1.25</v>
      </c>
      <c r="E36" s="8">
        <v>3.25</v>
      </c>
      <c r="F36" s="8"/>
    </row>
    <row r="37" spans="1:6" ht="16.5" x14ac:dyDescent="0.3">
      <c r="A37" s="11">
        <v>44865</v>
      </c>
      <c r="B37" s="8">
        <v>3.125</v>
      </c>
      <c r="C37" s="8">
        <v>2.25</v>
      </c>
      <c r="D37" s="8">
        <v>2</v>
      </c>
      <c r="E37" s="8">
        <v>3.75</v>
      </c>
      <c r="F37" s="8"/>
    </row>
    <row r="38" spans="1:6" ht="16.5" x14ac:dyDescent="0.3">
      <c r="A38" s="11">
        <v>44895</v>
      </c>
      <c r="B38" s="8">
        <v>3.875</v>
      </c>
      <c r="C38" s="8">
        <v>3</v>
      </c>
      <c r="D38" s="8">
        <v>2</v>
      </c>
      <c r="E38" s="8">
        <v>3.75</v>
      </c>
      <c r="F38" s="8"/>
    </row>
    <row r="39" spans="1:6" ht="16.5" x14ac:dyDescent="0.3">
      <c r="A39" s="11">
        <v>44926</v>
      </c>
      <c r="B39" s="8">
        <v>4.375</v>
      </c>
      <c r="C39" s="8">
        <v>3.5</v>
      </c>
      <c r="D39" s="8">
        <v>2.5</v>
      </c>
      <c r="E39" s="8">
        <v>4.25</v>
      </c>
      <c r="F39" s="8"/>
    </row>
    <row r="40" spans="1:6" ht="16.5" x14ac:dyDescent="0.3">
      <c r="A40" s="11">
        <v>44957</v>
      </c>
      <c r="B40" s="8">
        <v>4.375</v>
      </c>
      <c r="C40" s="8">
        <v>3.5</v>
      </c>
      <c r="D40" s="8">
        <v>2.5</v>
      </c>
      <c r="E40" s="8">
        <v>4.5</v>
      </c>
      <c r="F40" s="8"/>
    </row>
    <row r="41" spans="1:6" ht="16.5" x14ac:dyDescent="0.3">
      <c r="A41" s="11">
        <v>44985</v>
      </c>
      <c r="B41" s="8">
        <v>4.625</v>
      </c>
      <c r="C41" s="8">
        <v>4</v>
      </c>
      <c r="D41" s="8">
        <v>3</v>
      </c>
      <c r="E41" s="8">
        <v>4.5</v>
      </c>
      <c r="F41" s="8"/>
    </row>
    <row r="42" spans="1:6" ht="16.5" x14ac:dyDescent="0.3">
      <c r="A42" s="11">
        <v>45016</v>
      </c>
      <c r="B42" s="8">
        <v>4.875</v>
      </c>
      <c r="C42" s="8">
        <v>4.25</v>
      </c>
      <c r="D42" s="8">
        <v>3.5</v>
      </c>
      <c r="E42" s="8">
        <v>4.5</v>
      </c>
      <c r="F42" s="8"/>
    </row>
    <row r="43" spans="1:6" ht="16.5" x14ac:dyDescent="0.3">
      <c r="A43" s="11">
        <v>45046</v>
      </c>
      <c r="B43" s="8">
        <v>4.875</v>
      </c>
      <c r="C43" s="8">
        <v>4.25</v>
      </c>
      <c r="D43" s="8">
        <v>3.5</v>
      </c>
      <c r="E43" s="8">
        <v>4.5</v>
      </c>
      <c r="F43" s="8"/>
    </row>
    <row r="44" spans="1:6" ht="16.5" x14ac:dyDescent="0.3">
      <c r="A44" s="11">
        <v>45077</v>
      </c>
      <c r="B44" s="8">
        <v>5.125</v>
      </c>
      <c r="C44" s="8">
        <v>4.5</v>
      </c>
      <c r="D44" s="8">
        <v>3.75</v>
      </c>
      <c r="E44" s="8">
        <v>4.5</v>
      </c>
      <c r="F44" s="8"/>
    </row>
    <row r="45" spans="1:6" ht="16.5" x14ac:dyDescent="0.3">
      <c r="A45" s="11">
        <v>45107</v>
      </c>
      <c r="B45" s="8">
        <v>5.125</v>
      </c>
      <c r="C45" s="8">
        <v>5</v>
      </c>
      <c r="D45" s="8">
        <v>4</v>
      </c>
      <c r="E45" s="8">
        <v>4.75</v>
      </c>
      <c r="F45" s="8"/>
    </row>
    <row r="46" spans="1:6" ht="16.5" x14ac:dyDescent="0.3">
      <c r="A46" s="11">
        <v>45138</v>
      </c>
      <c r="B46" s="8">
        <v>5.375</v>
      </c>
      <c r="C46" s="8">
        <v>5</v>
      </c>
      <c r="D46" s="8">
        <v>4.25</v>
      </c>
      <c r="E46" s="8">
        <v>5</v>
      </c>
      <c r="F46" s="8"/>
    </row>
    <row r="47" spans="1:6" ht="16.5" x14ac:dyDescent="0.3">
      <c r="A47" s="11">
        <v>45169</v>
      </c>
      <c r="B47" s="8">
        <v>5.375</v>
      </c>
      <c r="C47" s="8">
        <v>5.25</v>
      </c>
      <c r="D47" s="8">
        <v>4.25</v>
      </c>
      <c r="E47" s="8">
        <v>5</v>
      </c>
      <c r="F47" s="8"/>
    </row>
    <row r="48" spans="1:6" ht="16.5" x14ac:dyDescent="0.3">
      <c r="A48" s="11">
        <v>45199</v>
      </c>
      <c r="B48" s="8">
        <v>5.375</v>
      </c>
      <c r="C48" s="8">
        <v>5.25</v>
      </c>
      <c r="D48" s="8">
        <v>4.5</v>
      </c>
      <c r="E48" s="8">
        <v>5</v>
      </c>
      <c r="F48" s="8"/>
    </row>
    <row r="49" spans="1:6" ht="16.5" x14ac:dyDescent="0.3">
      <c r="A49" s="11">
        <v>45230</v>
      </c>
      <c r="B49" s="8">
        <v>5.375</v>
      </c>
      <c r="C49" s="8">
        <v>5.25</v>
      </c>
      <c r="D49" s="8">
        <v>4.5</v>
      </c>
      <c r="E49" s="8">
        <v>5</v>
      </c>
      <c r="F49" s="8"/>
    </row>
    <row r="50" spans="1:6" ht="16.5" x14ac:dyDescent="0.3">
      <c r="A50" s="11">
        <v>45260</v>
      </c>
      <c r="B50" s="8">
        <v>5.375</v>
      </c>
      <c r="C50" s="8">
        <v>5.25</v>
      </c>
      <c r="D50" s="8">
        <v>4.5</v>
      </c>
      <c r="E50" s="8">
        <v>5</v>
      </c>
      <c r="F50" s="8"/>
    </row>
    <row r="51" spans="1:6" ht="16.5" x14ac:dyDescent="0.3">
      <c r="A51" s="11">
        <v>45291</v>
      </c>
      <c r="B51" s="8">
        <v>5.375</v>
      </c>
      <c r="C51" s="8">
        <v>5.25</v>
      </c>
      <c r="D51" s="8">
        <v>4.5</v>
      </c>
      <c r="E51" s="8">
        <v>5</v>
      </c>
      <c r="F51" s="8"/>
    </row>
    <row r="52" spans="1:6" ht="16.5" x14ac:dyDescent="0.3">
      <c r="A52" s="11">
        <v>45322</v>
      </c>
      <c r="B52" s="8">
        <v>5.375</v>
      </c>
      <c r="C52" s="8">
        <v>5.25</v>
      </c>
      <c r="D52" s="8">
        <v>4.5</v>
      </c>
      <c r="E52" s="8">
        <v>5</v>
      </c>
      <c r="F52" s="8"/>
    </row>
    <row r="53" spans="1:6" ht="16.5" x14ac:dyDescent="0.3">
      <c r="A53" s="11">
        <v>45351</v>
      </c>
      <c r="B53" s="8"/>
      <c r="C53" s="8">
        <v>5.25</v>
      </c>
      <c r="D53" s="8"/>
      <c r="E53" s="8">
        <v>5</v>
      </c>
      <c r="F53" s="8"/>
    </row>
    <row r="54" spans="1:6" ht="16.5" x14ac:dyDescent="0.3">
      <c r="A54" s="11">
        <v>45382</v>
      </c>
      <c r="B54" s="8"/>
      <c r="C54" s="8"/>
      <c r="D54" s="8"/>
      <c r="E54" s="8"/>
      <c r="F54" s="8">
        <v>5</v>
      </c>
    </row>
    <row r="55" spans="1:6" ht="16.5" x14ac:dyDescent="0.3">
      <c r="A55" s="11">
        <v>45412</v>
      </c>
      <c r="B55" s="8"/>
      <c r="C55" s="8"/>
      <c r="D55" s="8"/>
      <c r="E55" s="8"/>
      <c r="F55" s="8">
        <v>5</v>
      </c>
    </row>
    <row r="56" spans="1:6" ht="16.5" x14ac:dyDescent="0.3">
      <c r="A56" s="11">
        <v>45443</v>
      </c>
      <c r="B56" s="8"/>
      <c r="C56" s="8"/>
      <c r="D56" s="8"/>
      <c r="E56" s="8"/>
      <c r="F56" s="8">
        <v>5</v>
      </c>
    </row>
    <row r="57" spans="1:6" ht="16.5" x14ac:dyDescent="0.3">
      <c r="A57" s="11">
        <v>45473</v>
      </c>
      <c r="B57" s="8"/>
      <c r="C57" s="8"/>
      <c r="D57" s="8"/>
      <c r="E57" s="8"/>
      <c r="F57" s="8">
        <v>4.75</v>
      </c>
    </row>
    <row r="58" spans="1:6" ht="16.5" x14ac:dyDescent="0.3">
      <c r="A58" s="11">
        <v>45504</v>
      </c>
      <c r="B58" s="8"/>
      <c r="C58" s="8"/>
      <c r="D58" s="8"/>
      <c r="E58" s="8"/>
      <c r="F58" s="8">
        <v>4.5</v>
      </c>
    </row>
    <row r="59" spans="1:6" ht="16.5" x14ac:dyDescent="0.3">
      <c r="A59" s="11">
        <v>45535</v>
      </c>
      <c r="B59" s="8"/>
      <c r="C59" s="8"/>
      <c r="D59" s="8"/>
      <c r="E59" s="8"/>
      <c r="F59" s="8">
        <v>4.5</v>
      </c>
    </row>
    <row r="60" spans="1:6" ht="16.5" x14ac:dyDescent="0.3">
      <c r="A60" s="11">
        <v>45565</v>
      </c>
      <c r="B60" s="8"/>
      <c r="C60" s="8"/>
      <c r="D60" s="8"/>
      <c r="E60" s="8"/>
      <c r="F60" s="8">
        <v>4.25</v>
      </c>
    </row>
    <row r="61" spans="1:6" ht="16.5" x14ac:dyDescent="0.3">
      <c r="A61" s="11">
        <v>45596</v>
      </c>
      <c r="B61" s="8"/>
      <c r="C61" s="8"/>
      <c r="D61" s="8"/>
      <c r="E61" s="8"/>
      <c r="F61" s="8">
        <v>4</v>
      </c>
    </row>
    <row r="62" spans="1:6" ht="16.5" x14ac:dyDescent="0.3">
      <c r="A62" s="11">
        <v>45626</v>
      </c>
      <c r="B62" s="8"/>
      <c r="C62" s="8"/>
      <c r="D62" s="8"/>
      <c r="E62" s="8"/>
      <c r="F62" s="8">
        <v>4</v>
      </c>
    </row>
    <row r="63" spans="1:6" ht="16.5" x14ac:dyDescent="0.3">
      <c r="A63" s="11">
        <v>45657</v>
      </c>
      <c r="B63" s="8"/>
      <c r="C63" s="8"/>
      <c r="D63" s="8"/>
      <c r="E63" s="8"/>
      <c r="F63" s="8">
        <v>3.75</v>
      </c>
    </row>
    <row r="64" spans="1:6" ht="16.5" x14ac:dyDescent="0.3">
      <c r="A64" s="11"/>
      <c r="B64" s="2"/>
      <c r="C64" s="2"/>
      <c r="D64" s="2"/>
      <c r="E64" s="2"/>
      <c r="F64" s="2"/>
    </row>
    <row r="65" spans="1:1" ht="16.5" x14ac:dyDescent="0.3">
      <c r="A65" s="11"/>
    </row>
    <row r="66" spans="1:1" x14ac:dyDescent="0.25">
      <c r="A66" s="6" t="s">
        <v>131</v>
      </c>
    </row>
    <row r="67" spans="1:1" x14ac:dyDescent="0.25">
      <c r="A67" s="6" t="s">
        <v>132</v>
      </c>
    </row>
    <row r="68" spans="1:1" x14ac:dyDescent="0.25">
      <c r="A68" s="6"/>
    </row>
  </sheetData>
  <pageMargins left="0.7" right="0.7" top="0.75" bottom="0.75" header="0.3" footer="0.3"/>
  <headerFooter>
    <oddFooter>&amp;L_x000D_&amp;1#&amp;"Calibri"&amp;11&amp;K000000 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5BF3-1125-4FB4-9E4D-CF63BC0CAD40}">
  <dimension ref="A1:D18"/>
  <sheetViews>
    <sheetView zoomScaleNormal="100" workbookViewId="0"/>
  </sheetViews>
  <sheetFormatPr defaultRowHeight="15" x14ac:dyDescent="0.25"/>
  <cols>
    <col min="1" max="4" width="12.7109375" customWidth="1"/>
  </cols>
  <sheetData>
    <row r="1" spans="1:4" ht="15.75" x14ac:dyDescent="0.25">
      <c r="A1" s="5" t="s">
        <v>133</v>
      </c>
    </row>
    <row r="3" spans="1:4" ht="38.25" x14ac:dyDescent="0.25">
      <c r="A3" s="4" t="s">
        <v>45</v>
      </c>
      <c r="B3" s="4" t="s">
        <v>134</v>
      </c>
      <c r="C3" s="4" t="s">
        <v>135</v>
      </c>
      <c r="D3" s="4" t="s">
        <v>136</v>
      </c>
    </row>
    <row r="4" spans="1:4" ht="16.5" x14ac:dyDescent="0.3">
      <c r="A4" s="9">
        <v>2017</v>
      </c>
      <c r="B4" s="8">
        <v>97.78</v>
      </c>
      <c r="C4" s="8">
        <v>99.04</v>
      </c>
      <c r="D4" s="8">
        <v>-1.26</v>
      </c>
    </row>
    <row r="5" spans="1:4" ht="16.5" x14ac:dyDescent="0.3">
      <c r="A5" s="9">
        <v>2018</v>
      </c>
      <c r="B5" s="8">
        <v>100.47</v>
      </c>
      <c r="C5" s="8">
        <v>100.05</v>
      </c>
      <c r="D5" s="8">
        <v>0.41</v>
      </c>
    </row>
    <row r="6" spans="1:4" ht="16.5" x14ac:dyDescent="0.3">
      <c r="A6" s="9">
        <v>2019</v>
      </c>
      <c r="B6" s="8">
        <v>100.29</v>
      </c>
      <c r="C6" s="8">
        <v>100.89</v>
      </c>
      <c r="D6" s="8">
        <v>-0.6</v>
      </c>
    </row>
    <row r="7" spans="1:4" ht="16.5" x14ac:dyDescent="0.3">
      <c r="A7" s="9">
        <v>2020</v>
      </c>
      <c r="B7" s="8">
        <v>93.9</v>
      </c>
      <c r="C7" s="8">
        <v>91.58</v>
      </c>
      <c r="D7" s="8">
        <v>2.3199999999999998</v>
      </c>
    </row>
    <row r="8" spans="1:4" ht="16.5" x14ac:dyDescent="0.3">
      <c r="A8" s="9">
        <v>2021</v>
      </c>
      <c r="B8" s="8">
        <v>95.7</v>
      </c>
      <c r="C8" s="8">
        <v>97.12</v>
      </c>
      <c r="D8" s="8">
        <v>-1.42</v>
      </c>
    </row>
    <row r="9" spans="1:4" ht="16.5" x14ac:dyDescent="0.3">
      <c r="A9" s="9">
        <v>2022</v>
      </c>
      <c r="B9" s="8">
        <v>100.01</v>
      </c>
      <c r="C9" s="8">
        <v>99.16</v>
      </c>
      <c r="D9" s="8">
        <v>0.85</v>
      </c>
    </row>
    <row r="10" spans="1:4" ht="16.5" x14ac:dyDescent="0.3">
      <c r="A10" s="9">
        <v>2023</v>
      </c>
      <c r="B10" s="8">
        <v>101.65</v>
      </c>
      <c r="C10" s="8">
        <v>101</v>
      </c>
      <c r="D10" s="8">
        <v>0.65</v>
      </c>
    </row>
    <row r="11" spans="1:4" ht="16.5" x14ac:dyDescent="0.3">
      <c r="A11" s="9" t="s">
        <v>2</v>
      </c>
      <c r="B11" s="8">
        <v>103.08</v>
      </c>
      <c r="C11" s="8">
        <v>102.34</v>
      </c>
      <c r="D11" s="8">
        <v>0.74</v>
      </c>
    </row>
    <row r="12" spans="1:4" ht="16.5" x14ac:dyDescent="0.3">
      <c r="A12" s="9" t="s">
        <v>3</v>
      </c>
      <c r="B12" s="8">
        <v>103.37</v>
      </c>
      <c r="C12" s="8">
        <v>102.98</v>
      </c>
      <c r="D12" s="8">
        <v>0.4</v>
      </c>
    </row>
    <row r="13" spans="1:4" ht="16.5" x14ac:dyDescent="0.3">
      <c r="A13" s="9" t="s">
        <v>4</v>
      </c>
      <c r="B13" s="8">
        <v>104.41</v>
      </c>
      <c r="C13" s="8">
        <v>103.92</v>
      </c>
      <c r="D13" s="8">
        <v>0.5</v>
      </c>
    </row>
    <row r="14" spans="1:4" ht="16.5" x14ac:dyDescent="0.3">
      <c r="A14" s="9" t="s">
        <v>5</v>
      </c>
      <c r="B14" s="8">
        <v>105.27</v>
      </c>
      <c r="C14" s="8">
        <v>104.76</v>
      </c>
      <c r="D14" s="8">
        <v>0.51</v>
      </c>
    </row>
    <row r="17" spans="1:1" x14ac:dyDescent="0.25">
      <c r="A17" s="6" t="s">
        <v>38</v>
      </c>
    </row>
    <row r="18" spans="1:1" x14ac:dyDescent="0.25">
      <c r="A18" s="6" t="s">
        <v>7</v>
      </c>
    </row>
  </sheetData>
  <pageMargins left="0.7" right="0.7" top="0.75" bottom="0.75" header="0.3" footer="0.3"/>
  <headerFooter>
    <oddFooter>&amp;L_x000D_&amp;1#&amp;"Calibri"&amp;11&amp;K000000 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1C01-2B76-4309-B5D2-34997D2D3559}">
  <dimension ref="A1:G16"/>
  <sheetViews>
    <sheetView zoomScaleNormal="100" workbookViewId="0"/>
  </sheetViews>
  <sheetFormatPr defaultRowHeight="15" x14ac:dyDescent="0.25"/>
  <cols>
    <col min="1" max="7" width="12.7109375" customWidth="1"/>
  </cols>
  <sheetData>
    <row r="1" spans="1:7" ht="15.75" x14ac:dyDescent="0.25">
      <c r="A1" s="5" t="s">
        <v>39</v>
      </c>
    </row>
    <row r="3" spans="1:7" ht="51" x14ac:dyDescent="0.25">
      <c r="A3" s="4" t="s">
        <v>45</v>
      </c>
      <c r="B3" s="4" t="s">
        <v>137</v>
      </c>
      <c r="C3" s="4" t="s">
        <v>138</v>
      </c>
      <c r="D3" s="4" t="s">
        <v>139</v>
      </c>
      <c r="E3" s="4" t="s">
        <v>140</v>
      </c>
      <c r="F3" s="4" t="s">
        <v>141</v>
      </c>
      <c r="G3" s="4" t="s">
        <v>142</v>
      </c>
    </row>
    <row r="4" spans="1:7" ht="16.5" x14ac:dyDescent="0.3">
      <c r="A4" s="9">
        <v>2019</v>
      </c>
      <c r="B4" s="13">
        <v>4018</v>
      </c>
      <c r="C4" s="13">
        <v>0</v>
      </c>
      <c r="D4" s="13">
        <v>0</v>
      </c>
      <c r="E4" s="13">
        <v>602</v>
      </c>
      <c r="F4" s="13">
        <v>280</v>
      </c>
      <c r="G4" s="13">
        <v>4779</v>
      </c>
    </row>
    <row r="5" spans="1:7" ht="16.5" x14ac:dyDescent="0.3">
      <c r="A5" s="9">
        <v>2020</v>
      </c>
      <c r="B5" s="13">
        <v>3906</v>
      </c>
      <c r="C5" s="13">
        <v>0</v>
      </c>
      <c r="D5" s="13">
        <v>0</v>
      </c>
      <c r="E5" s="13">
        <v>544</v>
      </c>
      <c r="F5" s="13">
        <v>170</v>
      </c>
      <c r="G5" s="13">
        <v>4527</v>
      </c>
    </row>
    <row r="6" spans="1:7" ht="16.5" x14ac:dyDescent="0.3">
      <c r="A6" s="9">
        <v>2021</v>
      </c>
      <c r="B6" s="13">
        <v>4188</v>
      </c>
      <c r="C6" s="13">
        <v>0</v>
      </c>
      <c r="D6" s="13">
        <v>0</v>
      </c>
      <c r="E6" s="13">
        <v>557</v>
      </c>
      <c r="F6" s="13">
        <v>146</v>
      </c>
      <c r="G6" s="13">
        <v>4852</v>
      </c>
    </row>
    <row r="7" spans="1:7" ht="16.5" x14ac:dyDescent="0.3">
      <c r="A7" s="9">
        <v>2022</v>
      </c>
      <c r="B7" s="13">
        <v>4456</v>
      </c>
      <c r="C7" s="13">
        <v>0</v>
      </c>
      <c r="D7" s="13">
        <v>0</v>
      </c>
      <c r="E7" s="13">
        <v>600</v>
      </c>
      <c r="F7" s="13">
        <v>143</v>
      </c>
      <c r="G7" s="13">
        <v>5024</v>
      </c>
    </row>
    <row r="8" spans="1:7" ht="16.5" x14ac:dyDescent="0.3">
      <c r="A8" s="9" t="s">
        <v>1</v>
      </c>
      <c r="B8" s="13">
        <v>4592</v>
      </c>
      <c r="C8" s="13">
        <v>0</v>
      </c>
      <c r="D8" s="13">
        <v>0</v>
      </c>
      <c r="E8" s="13">
        <v>590</v>
      </c>
      <c r="F8" s="13">
        <v>115</v>
      </c>
      <c r="G8" s="13">
        <v>5104</v>
      </c>
    </row>
    <row r="9" spans="1:7" ht="16.5" x14ac:dyDescent="0.3">
      <c r="A9" s="9" t="s">
        <v>2</v>
      </c>
      <c r="B9" s="13">
        <v>4592</v>
      </c>
      <c r="C9" s="13">
        <v>280</v>
      </c>
      <c r="D9" s="13">
        <v>0</v>
      </c>
      <c r="E9" s="13">
        <v>590</v>
      </c>
      <c r="F9" s="13">
        <v>120</v>
      </c>
      <c r="G9" s="13">
        <v>5215</v>
      </c>
    </row>
    <row r="10" spans="1:7" ht="16.5" x14ac:dyDescent="0.3">
      <c r="A10" s="9" t="s">
        <v>3</v>
      </c>
      <c r="B10" s="13">
        <v>4592</v>
      </c>
      <c r="C10" s="13">
        <v>561</v>
      </c>
      <c r="D10" s="13">
        <v>0</v>
      </c>
      <c r="E10" s="13">
        <v>590</v>
      </c>
      <c r="F10" s="13">
        <v>120</v>
      </c>
      <c r="G10" s="13">
        <v>5349</v>
      </c>
    </row>
    <row r="11" spans="1:7" ht="16.5" x14ac:dyDescent="0.3">
      <c r="A11" s="9" t="s">
        <v>4</v>
      </c>
      <c r="B11" s="13">
        <v>4592</v>
      </c>
      <c r="C11" s="13">
        <v>561</v>
      </c>
      <c r="D11" s="13">
        <v>190</v>
      </c>
      <c r="E11" s="13">
        <v>590</v>
      </c>
      <c r="F11" s="13">
        <v>120</v>
      </c>
      <c r="G11" s="13">
        <v>5472</v>
      </c>
    </row>
    <row r="12" spans="1:7" ht="16.5" x14ac:dyDescent="0.3">
      <c r="A12" s="9" t="s">
        <v>5</v>
      </c>
      <c r="B12" s="13">
        <v>4592</v>
      </c>
      <c r="C12" s="13">
        <v>561</v>
      </c>
      <c r="D12" s="13">
        <v>190</v>
      </c>
      <c r="E12" s="13">
        <v>590</v>
      </c>
      <c r="F12" s="13">
        <v>120</v>
      </c>
      <c r="G12" s="13">
        <v>5570</v>
      </c>
    </row>
    <row r="13" spans="1:7" ht="16.5" x14ac:dyDescent="0.3">
      <c r="A13" s="9" t="s">
        <v>6</v>
      </c>
      <c r="B13" s="13">
        <v>4592</v>
      </c>
      <c r="C13" s="13">
        <v>561</v>
      </c>
      <c r="D13" s="13">
        <v>190</v>
      </c>
      <c r="E13" s="13">
        <v>590</v>
      </c>
      <c r="F13" s="13">
        <v>120</v>
      </c>
      <c r="G13" s="13">
        <v>5548</v>
      </c>
    </row>
    <row r="16" spans="1:7" s="6" customFormat="1" ht="12" x14ac:dyDescent="0.2">
      <c r="A16" s="6" t="s">
        <v>164</v>
      </c>
    </row>
  </sheetData>
  <pageMargins left="0.7" right="0.7" top="0.75" bottom="0.75" header="0.3" footer="0.3"/>
  <headerFooter>
    <oddFooter>&amp;L_x000D_&amp;1#&amp;"Calibri"&amp;11&amp;K000000 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7E52-F634-44C7-A297-0C6E13D0D013}">
  <dimension ref="A1:D23"/>
  <sheetViews>
    <sheetView zoomScaleNormal="100" workbookViewId="0"/>
  </sheetViews>
  <sheetFormatPr defaultRowHeight="15" x14ac:dyDescent="0.25"/>
  <cols>
    <col min="1" max="4" width="12.7109375" customWidth="1"/>
  </cols>
  <sheetData>
    <row r="1" spans="1:4" ht="15.75" x14ac:dyDescent="0.25">
      <c r="A1" s="5" t="s">
        <v>40</v>
      </c>
    </row>
    <row r="3" spans="1:4" ht="38.25" x14ac:dyDescent="0.25">
      <c r="A3" s="4" t="s">
        <v>45</v>
      </c>
      <c r="B3" s="4" t="s">
        <v>143</v>
      </c>
      <c r="C3" s="4" t="s">
        <v>144</v>
      </c>
      <c r="D3" s="4" t="s">
        <v>145</v>
      </c>
    </row>
    <row r="4" spans="1:4" ht="16.5" x14ac:dyDescent="0.3">
      <c r="A4" s="9" t="s">
        <v>12</v>
      </c>
      <c r="B4" s="13">
        <v>22814</v>
      </c>
      <c r="C4" s="13">
        <v>22501</v>
      </c>
      <c r="D4" s="13">
        <v>2190</v>
      </c>
    </row>
    <row r="5" spans="1:4" ht="16.5" x14ac:dyDescent="0.3">
      <c r="A5" s="9" t="s">
        <v>13</v>
      </c>
      <c r="B5" s="13">
        <v>27329</v>
      </c>
      <c r="C5" s="13">
        <v>25288</v>
      </c>
      <c r="D5" s="13">
        <v>2441</v>
      </c>
    </row>
    <row r="6" spans="1:4" ht="16.5" x14ac:dyDescent="0.3">
      <c r="A6" s="9" t="s">
        <v>14</v>
      </c>
      <c r="B6" s="13">
        <v>29971</v>
      </c>
      <c r="C6" s="13">
        <v>26748</v>
      </c>
      <c r="D6" s="13">
        <v>2616</v>
      </c>
    </row>
    <row r="7" spans="1:4" ht="16.5" x14ac:dyDescent="0.3">
      <c r="A7" s="9" t="s">
        <v>15</v>
      </c>
      <c r="B7" s="13">
        <v>36124</v>
      </c>
      <c r="C7" s="13">
        <v>27014</v>
      </c>
      <c r="D7" s="13">
        <v>2839</v>
      </c>
    </row>
    <row r="8" spans="1:4" ht="16.5" x14ac:dyDescent="0.3">
      <c r="A8" s="9" t="s">
        <v>16</v>
      </c>
      <c r="B8" s="13">
        <v>24253</v>
      </c>
      <c r="C8" s="13">
        <v>17160</v>
      </c>
      <c r="D8" s="13">
        <v>2997</v>
      </c>
    </row>
    <row r="9" spans="1:4" ht="16.5" x14ac:dyDescent="0.3">
      <c r="A9" s="9" t="s">
        <v>17</v>
      </c>
      <c r="B9" s="13">
        <v>17184</v>
      </c>
      <c r="C9" s="13">
        <v>12088</v>
      </c>
      <c r="D9" s="13">
        <v>2930</v>
      </c>
    </row>
    <row r="10" spans="1:4" ht="16.5" x14ac:dyDescent="0.3">
      <c r="A10" s="9" t="s">
        <v>18</v>
      </c>
      <c r="B10" s="13">
        <v>14513</v>
      </c>
      <c r="C10" s="13">
        <v>16569</v>
      </c>
      <c r="D10" s="13">
        <v>3224</v>
      </c>
    </row>
    <row r="11" spans="1:4" ht="16.5" x14ac:dyDescent="0.3">
      <c r="A11" s="9" t="s">
        <v>19</v>
      </c>
      <c r="B11" s="13">
        <v>12003</v>
      </c>
      <c r="C11" s="13">
        <v>17400</v>
      </c>
      <c r="D11" s="13">
        <v>3491</v>
      </c>
    </row>
    <row r="12" spans="1:4" ht="16.5" x14ac:dyDescent="0.3">
      <c r="A12" s="9" t="s">
        <v>20</v>
      </c>
      <c r="B12" s="13">
        <v>10544</v>
      </c>
      <c r="C12" s="13">
        <v>15747</v>
      </c>
      <c r="D12" s="13">
        <v>3531</v>
      </c>
    </row>
    <row r="13" spans="1:4" ht="16.5" x14ac:dyDescent="0.3">
      <c r="A13" s="9" t="s">
        <v>21</v>
      </c>
      <c r="B13" s="13">
        <v>7574</v>
      </c>
      <c r="C13" s="13">
        <v>9900</v>
      </c>
      <c r="D13" s="13">
        <v>3353</v>
      </c>
    </row>
    <row r="14" spans="1:4" ht="16.5" x14ac:dyDescent="0.3">
      <c r="A14" s="9" t="s">
        <v>22</v>
      </c>
      <c r="B14" s="13">
        <v>9139</v>
      </c>
      <c r="C14" s="13">
        <v>10531</v>
      </c>
      <c r="D14" s="13">
        <v>3638</v>
      </c>
    </row>
    <row r="15" spans="1:4" ht="16.5" x14ac:dyDescent="0.3">
      <c r="A15" s="9" t="s">
        <v>23</v>
      </c>
      <c r="B15" s="13">
        <v>12061</v>
      </c>
      <c r="C15" s="13">
        <v>15637</v>
      </c>
      <c r="D15" s="13">
        <v>3725</v>
      </c>
    </row>
    <row r="16" spans="1:4" ht="16.5" x14ac:dyDescent="0.3">
      <c r="A16" s="9" t="s">
        <v>1</v>
      </c>
      <c r="B16" s="13">
        <v>14112</v>
      </c>
      <c r="C16" s="13">
        <v>18410</v>
      </c>
      <c r="D16" s="13">
        <v>3794</v>
      </c>
    </row>
    <row r="17" spans="1:4" ht="16.5" x14ac:dyDescent="0.3">
      <c r="A17" s="9" t="s">
        <v>2</v>
      </c>
      <c r="B17" s="13">
        <v>15412</v>
      </c>
      <c r="C17" s="13">
        <v>19512</v>
      </c>
      <c r="D17" s="13">
        <v>3897</v>
      </c>
    </row>
    <row r="18" spans="1:4" ht="16.5" x14ac:dyDescent="0.3">
      <c r="A18" s="9" t="s">
        <v>3</v>
      </c>
      <c r="B18" s="13">
        <v>16886</v>
      </c>
      <c r="C18" s="13">
        <v>20820</v>
      </c>
      <c r="D18" s="13">
        <v>4019</v>
      </c>
    </row>
    <row r="19" spans="1:4" ht="16.5" x14ac:dyDescent="0.3">
      <c r="A19" s="9" t="s">
        <v>4</v>
      </c>
      <c r="B19" s="13">
        <v>18241</v>
      </c>
      <c r="C19" s="13">
        <v>22086</v>
      </c>
      <c r="D19" s="13">
        <v>4132</v>
      </c>
    </row>
    <row r="20" spans="1:4" ht="16.5" x14ac:dyDescent="0.3">
      <c r="A20" s="9" t="s">
        <v>5</v>
      </c>
      <c r="B20" s="13">
        <v>19541</v>
      </c>
      <c r="C20" s="13">
        <v>23277</v>
      </c>
      <c r="D20" s="13">
        <v>4221</v>
      </c>
    </row>
    <row r="23" spans="1:4" x14ac:dyDescent="0.25">
      <c r="A23" s="6" t="s">
        <v>44</v>
      </c>
    </row>
  </sheetData>
  <pageMargins left="0.7" right="0.7" top="0.75" bottom="0.75" header="0.3" footer="0.3"/>
  <headerFooter>
    <oddFooter>&amp;L_x000D_&amp;1#&amp;"Calibri"&amp;11&amp;K000000 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DA80-9641-4A67-9D7F-026EF133C0E0}">
  <dimension ref="A1:E17"/>
  <sheetViews>
    <sheetView zoomScaleNormal="100" workbookViewId="0"/>
  </sheetViews>
  <sheetFormatPr defaultRowHeight="15" x14ac:dyDescent="0.25"/>
  <cols>
    <col min="1" max="5" width="12.7109375" customWidth="1"/>
  </cols>
  <sheetData>
    <row r="1" spans="1:5" ht="15.75" x14ac:dyDescent="0.25">
      <c r="A1" s="5" t="s">
        <v>146</v>
      </c>
    </row>
    <row r="3" spans="1:5" ht="38.25" x14ac:dyDescent="0.25">
      <c r="A3" s="4" t="s">
        <v>45</v>
      </c>
      <c r="B3" s="4" t="s">
        <v>147</v>
      </c>
      <c r="C3" s="4" t="s">
        <v>148</v>
      </c>
      <c r="D3" s="4" t="s">
        <v>149</v>
      </c>
      <c r="E3" s="4" t="s">
        <v>150</v>
      </c>
    </row>
    <row r="4" spans="1:5" ht="16.5" x14ac:dyDescent="0.3">
      <c r="A4" s="9">
        <v>2020</v>
      </c>
      <c r="B4" s="7">
        <v>-11.9</v>
      </c>
      <c r="C4" s="7">
        <v>-8.8000000000000007</v>
      </c>
      <c r="D4" s="8">
        <v>-0.75</v>
      </c>
      <c r="E4" s="7">
        <v>-2.2999999999999998</v>
      </c>
    </row>
    <row r="5" spans="1:5" ht="16.5" x14ac:dyDescent="0.3">
      <c r="A5" s="9">
        <v>2021</v>
      </c>
      <c r="B5" s="7">
        <v>7.8</v>
      </c>
      <c r="C5" s="7">
        <v>2.2000000000000002</v>
      </c>
      <c r="D5" s="8">
        <v>0.2</v>
      </c>
      <c r="E5" s="7">
        <v>5.4</v>
      </c>
    </row>
    <row r="6" spans="1:5" ht="16.5" x14ac:dyDescent="0.3">
      <c r="A6" s="9">
        <v>2022</v>
      </c>
      <c r="B6" s="7">
        <v>11.7</v>
      </c>
      <c r="C6" s="7">
        <v>8</v>
      </c>
      <c r="D6" s="8">
        <v>0.12</v>
      </c>
      <c r="E6" s="7">
        <v>3.5</v>
      </c>
    </row>
    <row r="7" spans="1:5" ht="16.5" x14ac:dyDescent="0.3">
      <c r="A7" s="9" t="s">
        <v>1</v>
      </c>
      <c r="B7" s="7">
        <v>7.3</v>
      </c>
      <c r="C7" s="7">
        <v>4.8</v>
      </c>
      <c r="D7" s="8">
        <v>0.11</v>
      </c>
      <c r="E7" s="7">
        <v>2.4</v>
      </c>
    </row>
    <row r="8" spans="1:5" ht="16.5" x14ac:dyDescent="0.3">
      <c r="A8" s="9" t="s">
        <v>2</v>
      </c>
      <c r="B8" s="7">
        <v>6.9</v>
      </c>
      <c r="C8" s="7">
        <v>2.4</v>
      </c>
      <c r="D8" s="8">
        <v>7.0000000000000007E-2</v>
      </c>
      <c r="E8" s="7">
        <v>4.4000000000000004</v>
      </c>
    </row>
    <row r="9" spans="1:5" ht="16.5" x14ac:dyDescent="0.3">
      <c r="A9" s="9" t="s">
        <v>3</v>
      </c>
      <c r="B9" s="7">
        <v>8</v>
      </c>
      <c r="C9" s="7">
        <v>2.8</v>
      </c>
      <c r="D9" s="8">
        <v>0.04</v>
      </c>
      <c r="E9" s="7">
        <v>5.0999999999999996</v>
      </c>
    </row>
    <row r="10" spans="1:5" ht="16.5" x14ac:dyDescent="0.3">
      <c r="A10" s="9" t="s">
        <v>4</v>
      </c>
      <c r="B10" s="7">
        <v>8.3000000000000007</v>
      </c>
      <c r="C10" s="7">
        <v>2.6</v>
      </c>
      <c r="D10" s="8">
        <v>0.04</v>
      </c>
      <c r="E10" s="7">
        <v>5.7</v>
      </c>
    </row>
    <row r="11" spans="1:5" ht="16.5" x14ac:dyDescent="0.3">
      <c r="A11" s="9" t="s">
        <v>5</v>
      </c>
      <c r="B11" s="7">
        <v>7.2</v>
      </c>
      <c r="C11" s="7">
        <v>2.5</v>
      </c>
      <c r="D11" s="8">
        <v>0.04</v>
      </c>
      <c r="E11" s="7">
        <v>4.7</v>
      </c>
    </row>
    <row r="12" spans="1:5" ht="16.5" x14ac:dyDescent="0.3">
      <c r="A12" s="9" t="s">
        <v>6</v>
      </c>
      <c r="B12" s="7">
        <v>6.7</v>
      </c>
      <c r="C12" s="7">
        <v>2.5</v>
      </c>
      <c r="D12" s="8">
        <v>0.04</v>
      </c>
      <c r="E12" s="7">
        <v>4.0999999999999996</v>
      </c>
    </row>
    <row r="13" spans="1:5" ht="16.5" x14ac:dyDescent="0.3">
      <c r="A13" s="9"/>
      <c r="B13" s="7"/>
      <c r="C13" s="7"/>
      <c r="D13" s="8"/>
      <c r="E13" s="7"/>
    </row>
    <row r="15" spans="1:5" x14ac:dyDescent="0.25">
      <c r="A15" s="6" t="s">
        <v>47</v>
      </c>
    </row>
    <row r="16" spans="1:5" x14ac:dyDescent="0.25">
      <c r="A16" s="6" t="s">
        <v>42</v>
      </c>
    </row>
    <row r="17" spans="1:1" x14ac:dyDescent="0.25">
      <c r="A17" s="6" t="s">
        <v>7</v>
      </c>
    </row>
  </sheetData>
  <pageMargins left="0.7" right="0.7" top="0.75" bottom="0.75" header="0.3" footer="0.3"/>
  <headerFooter>
    <oddFooter>&amp;L_x000D_&amp;1#&amp;"Calibri"&amp;11&amp;K000000 Classification: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4BB6-3B19-454D-8D9A-6BAE37F139EA}">
  <dimension ref="A1:E15"/>
  <sheetViews>
    <sheetView zoomScaleNormal="100" workbookViewId="0"/>
  </sheetViews>
  <sheetFormatPr defaultRowHeight="15" x14ac:dyDescent="0.25"/>
  <cols>
    <col min="1" max="5" width="12.7109375" customWidth="1"/>
  </cols>
  <sheetData>
    <row r="1" spans="1:5" ht="15.75" x14ac:dyDescent="0.25">
      <c r="A1" s="5" t="s">
        <v>43</v>
      </c>
    </row>
    <row r="3" spans="1:5" ht="51" x14ac:dyDescent="0.25">
      <c r="A3" s="4" t="s">
        <v>45</v>
      </c>
      <c r="B3" s="4" t="s">
        <v>151</v>
      </c>
      <c r="C3" s="4" t="s">
        <v>152</v>
      </c>
      <c r="D3" s="4" t="s">
        <v>153</v>
      </c>
      <c r="E3" s="4" t="s">
        <v>154</v>
      </c>
    </row>
    <row r="4" spans="1:5" ht="16.5" x14ac:dyDescent="0.3">
      <c r="A4" s="9">
        <v>2020</v>
      </c>
      <c r="B4">
        <v>-6.6</v>
      </c>
      <c r="C4">
        <v>0.7</v>
      </c>
      <c r="D4">
        <v>-2.8</v>
      </c>
      <c r="E4">
        <v>-4.3</v>
      </c>
    </row>
    <row r="5" spans="1:5" ht="16.5" x14ac:dyDescent="0.3">
      <c r="A5" s="9">
        <v>2021</v>
      </c>
      <c r="B5">
        <v>1.7</v>
      </c>
      <c r="C5">
        <v>-1.3</v>
      </c>
      <c r="D5">
        <v>0.5</v>
      </c>
      <c r="E5">
        <v>2.6</v>
      </c>
    </row>
    <row r="6" spans="1:5" ht="16.5" x14ac:dyDescent="0.3">
      <c r="A6" s="9">
        <v>2022</v>
      </c>
      <c r="B6">
        <v>4.7</v>
      </c>
      <c r="C6">
        <v>0.3</v>
      </c>
      <c r="D6">
        <v>-0.3</v>
      </c>
      <c r="E6">
        <v>4.4000000000000004</v>
      </c>
    </row>
    <row r="7" spans="1:5" ht="16.5" x14ac:dyDescent="0.3">
      <c r="A7" s="9" t="s">
        <v>1</v>
      </c>
      <c r="B7">
        <v>3</v>
      </c>
      <c r="C7">
        <v>1.4</v>
      </c>
      <c r="D7">
        <v>0.5</v>
      </c>
      <c r="E7">
        <v>1.4</v>
      </c>
    </row>
    <row r="8" spans="1:5" ht="16.5" x14ac:dyDescent="0.3">
      <c r="A8" s="9" t="s">
        <v>2</v>
      </c>
      <c r="B8">
        <v>2.2999999999999998</v>
      </c>
      <c r="C8">
        <v>-0.2</v>
      </c>
      <c r="D8">
        <v>1</v>
      </c>
      <c r="E8">
        <v>1.5</v>
      </c>
    </row>
    <row r="9" spans="1:5" ht="16.5" x14ac:dyDescent="0.3">
      <c r="A9" s="9" t="s">
        <v>3</v>
      </c>
      <c r="B9">
        <v>2.9</v>
      </c>
      <c r="C9">
        <v>0.3</v>
      </c>
      <c r="D9">
        <v>1.3</v>
      </c>
      <c r="E9">
        <v>1.3</v>
      </c>
    </row>
    <row r="10" spans="1:5" ht="16.5" x14ac:dyDescent="0.3">
      <c r="A10" s="9" t="s">
        <v>4</v>
      </c>
      <c r="B10">
        <v>2.9</v>
      </c>
      <c r="C10">
        <v>0.3</v>
      </c>
      <c r="D10">
        <v>1.5</v>
      </c>
      <c r="E10">
        <v>1.2</v>
      </c>
    </row>
    <row r="11" spans="1:5" ht="16.5" x14ac:dyDescent="0.3">
      <c r="A11" s="9" t="s">
        <v>5</v>
      </c>
      <c r="B11">
        <v>2.9</v>
      </c>
      <c r="C11">
        <v>0.2</v>
      </c>
      <c r="D11">
        <v>1.5</v>
      </c>
      <c r="E11">
        <v>1.2</v>
      </c>
    </row>
    <row r="14" spans="1:5" x14ac:dyDescent="0.25">
      <c r="A14" s="6" t="s">
        <v>44</v>
      </c>
    </row>
    <row r="15" spans="1:5" x14ac:dyDescent="0.25">
      <c r="A15" s="6" t="s">
        <v>7</v>
      </c>
    </row>
  </sheetData>
  <pageMargins left="0.7" right="0.7" top="0.75" bottom="0.75" header="0.3" footer="0.3"/>
  <headerFooter>
    <oddFooter>&amp;L_x000D_&amp;1#&amp;"Calibri"&amp;11&amp;K000000 Classification: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A917-BEC9-4B88-8B98-F9475DC4BFD9}">
  <dimension ref="A1:L29"/>
  <sheetViews>
    <sheetView zoomScaleNormal="100" workbookViewId="0"/>
  </sheetViews>
  <sheetFormatPr defaultRowHeight="15" x14ac:dyDescent="0.25"/>
  <cols>
    <col min="1" max="6" width="12.7109375" customWidth="1"/>
  </cols>
  <sheetData>
    <row r="1" spans="1:12" ht="15.75" x14ac:dyDescent="0.25">
      <c r="A1" s="5" t="s">
        <v>46</v>
      </c>
    </row>
    <row r="3" spans="1:12" ht="38.25" x14ac:dyDescent="0.25">
      <c r="A3" s="4" t="s">
        <v>45</v>
      </c>
      <c r="B3" s="4" t="s">
        <v>48</v>
      </c>
      <c r="C3" s="4" t="s">
        <v>49</v>
      </c>
      <c r="D3" s="4" t="s">
        <v>51</v>
      </c>
      <c r="E3" s="4" t="s">
        <v>50</v>
      </c>
      <c r="F3" s="4" t="s">
        <v>155</v>
      </c>
    </row>
    <row r="4" spans="1:12" ht="16.5" x14ac:dyDescent="0.3">
      <c r="A4" s="9">
        <v>2005</v>
      </c>
      <c r="B4" s="16">
        <v>17.445</v>
      </c>
      <c r="C4" s="16">
        <v>-3.9529999999999998</v>
      </c>
      <c r="D4" s="16">
        <v>2.6539999999999999</v>
      </c>
      <c r="E4" s="16">
        <v>34.423000000000002</v>
      </c>
      <c r="F4" s="7">
        <v>2.6</v>
      </c>
      <c r="L4" s="15"/>
    </row>
    <row r="5" spans="1:12" ht="16.5" x14ac:dyDescent="0.3">
      <c r="A5" s="9">
        <v>2006</v>
      </c>
      <c r="B5" s="16">
        <v>19.93</v>
      </c>
      <c r="C5" s="16">
        <v>-4.4640000000000004</v>
      </c>
      <c r="D5" s="16">
        <v>5.7229999999999999</v>
      </c>
      <c r="E5" s="16">
        <v>45.795000000000002</v>
      </c>
      <c r="F5" s="7">
        <v>3</v>
      </c>
      <c r="L5" s="15"/>
    </row>
    <row r="6" spans="1:12" ht="16.5" x14ac:dyDescent="0.3">
      <c r="A6" s="9">
        <v>2007</v>
      </c>
      <c r="B6" s="16">
        <v>20.152999999999999</v>
      </c>
      <c r="C6" s="16">
        <v>-3.282</v>
      </c>
      <c r="D6" s="16">
        <v>13.597</v>
      </c>
      <c r="E6" s="16">
        <v>33.808999999999997</v>
      </c>
      <c r="F6" s="7">
        <v>2.7</v>
      </c>
      <c r="L6" s="15"/>
    </row>
    <row r="7" spans="1:12" ht="16.5" x14ac:dyDescent="0.3">
      <c r="A7" s="9">
        <v>2008</v>
      </c>
      <c r="B7" s="16">
        <v>23.809000000000001</v>
      </c>
      <c r="C7" s="16">
        <v>-6.25</v>
      </c>
      <c r="D7" s="16">
        <v>18.777999999999999</v>
      </c>
      <c r="E7" s="16">
        <v>15.317</v>
      </c>
      <c r="F7" s="7">
        <v>2.2999999999999998</v>
      </c>
      <c r="L7" s="15"/>
    </row>
    <row r="8" spans="1:12" ht="16.5" x14ac:dyDescent="0.3">
      <c r="A8" s="9">
        <v>2009</v>
      </c>
      <c r="B8" s="16">
        <v>25.163</v>
      </c>
      <c r="C8" s="16">
        <v>-5.7519999999999998</v>
      </c>
      <c r="D8" s="16">
        <v>19.603000000000002</v>
      </c>
      <c r="E8" s="16">
        <v>13.183999999999999</v>
      </c>
      <c r="F8" s="7">
        <v>2.2999999999999998</v>
      </c>
      <c r="L8" s="15"/>
    </row>
    <row r="9" spans="1:12" ht="16.5" x14ac:dyDescent="0.3">
      <c r="A9" s="9">
        <v>2010</v>
      </c>
      <c r="B9" s="16">
        <v>30.016999999999999</v>
      </c>
      <c r="C9" s="16">
        <v>-5.1959999999999997</v>
      </c>
      <c r="D9" s="16">
        <v>1.9E-2</v>
      </c>
      <c r="E9" s="16">
        <v>-3.2709999999999999</v>
      </c>
      <c r="F9" s="7">
        <v>1.4</v>
      </c>
      <c r="L9" s="15"/>
    </row>
    <row r="10" spans="1:12" ht="16.5" x14ac:dyDescent="0.3">
      <c r="A10" s="9">
        <v>2011</v>
      </c>
      <c r="B10" s="16">
        <v>30.463999999999999</v>
      </c>
      <c r="C10" s="16">
        <v>-3.6859999999999999</v>
      </c>
      <c r="D10" s="16">
        <v>-8.4610000000000003</v>
      </c>
      <c r="E10" s="16">
        <v>8.4429999999999996</v>
      </c>
      <c r="F10" s="7">
        <v>1.5</v>
      </c>
      <c r="L10" s="15"/>
    </row>
    <row r="11" spans="1:12" ht="16.5" x14ac:dyDescent="0.3">
      <c r="A11" s="9">
        <v>2012</v>
      </c>
      <c r="B11" s="16">
        <v>34.563000000000002</v>
      </c>
      <c r="C11" s="16">
        <v>-5.4640000000000004</v>
      </c>
      <c r="D11" s="16">
        <v>6.4960000000000004</v>
      </c>
      <c r="E11" s="16">
        <v>27.652000000000001</v>
      </c>
      <c r="F11" s="7">
        <v>2.2000000000000002</v>
      </c>
      <c r="L11" s="15"/>
    </row>
    <row r="12" spans="1:12" ht="16.5" x14ac:dyDescent="0.3">
      <c r="A12" s="9">
        <v>2013</v>
      </c>
      <c r="B12" s="16">
        <v>36.865000000000002</v>
      </c>
      <c r="C12" s="16">
        <v>-4.93</v>
      </c>
      <c r="D12" s="16">
        <v>14.14</v>
      </c>
      <c r="E12" s="16">
        <v>38.597999999999999</v>
      </c>
      <c r="F12" s="7">
        <v>2.8</v>
      </c>
      <c r="L12" s="15"/>
    </row>
    <row r="13" spans="1:12" ht="16.5" x14ac:dyDescent="0.3">
      <c r="A13" s="9">
        <v>2014</v>
      </c>
      <c r="B13" s="16">
        <v>41.058</v>
      </c>
      <c r="C13" s="16">
        <v>-4.5490000000000004</v>
      </c>
      <c r="D13" s="16">
        <v>7.5750000000000002</v>
      </c>
      <c r="E13" s="16">
        <v>35.381999999999998</v>
      </c>
      <c r="F13" s="7">
        <v>2.6</v>
      </c>
      <c r="L13" s="15"/>
    </row>
    <row r="14" spans="1:12" ht="16.5" x14ac:dyDescent="0.3">
      <c r="A14" s="9">
        <v>2015</v>
      </c>
      <c r="B14" s="16">
        <v>39.595999999999997</v>
      </c>
      <c r="C14" s="16">
        <v>-5.1909999999999998</v>
      </c>
      <c r="D14" s="16">
        <v>-10.523</v>
      </c>
      <c r="E14" s="16">
        <v>21.594000000000001</v>
      </c>
      <c r="F14" s="7">
        <v>1.7</v>
      </c>
      <c r="L14" s="15"/>
    </row>
    <row r="15" spans="1:12" ht="16.5" x14ac:dyDescent="0.3">
      <c r="A15" s="9">
        <v>2016</v>
      </c>
      <c r="B15" s="16">
        <v>57.866999999999997</v>
      </c>
      <c r="C15" s="16">
        <v>-6.1150000000000002</v>
      </c>
      <c r="D15" s="16">
        <v>-16.687000000000001</v>
      </c>
      <c r="E15" s="16">
        <v>-15.108000000000001</v>
      </c>
      <c r="F15" s="7">
        <v>1.1000000000000001</v>
      </c>
      <c r="L15" s="15"/>
    </row>
    <row r="16" spans="1:12" ht="16.5" x14ac:dyDescent="0.3">
      <c r="A16" s="9">
        <v>2017</v>
      </c>
      <c r="B16" s="16">
        <v>44.125999999999998</v>
      </c>
      <c r="C16" s="16">
        <v>-8.3680000000000003</v>
      </c>
      <c r="D16" s="16">
        <v>-7.77</v>
      </c>
      <c r="E16" s="16">
        <v>-15.558999999999999</v>
      </c>
      <c r="F16" s="7">
        <v>1</v>
      </c>
      <c r="L16" s="15"/>
    </row>
    <row r="17" spans="1:12" ht="16.5" x14ac:dyDescent="0.3">
      <c r="A17" s="9">
        <v>2018</v>
      </c>
      <c r="B17" s="16">
        <v>38.697000000000003</v>
      </c>
      <c r="C17" s="16">
        <v>-5.5739999999999998</v>
      </c>
      <c r="D17" s="16">
        <v>-1.105</v>
      </c>
      <c r="E17" s="16">
        <v>-3.2469999999999999</v>
      </c>
      <c r="F17" s="7">
        <v>1.3</v>
      </c>
      <c r="L17" s="15"/>
    </row>
    <row r="18" spans="1:12" ht="16.5" x14ac:dyDescent="0.3">
      <c r="A18" s="9">
        <v>2019</v>
      </c>
      <c r="B18" s="16">
        <v>40.722999999999999</v>
      </c>
      <c r="C18" s="16">
        <v>-5.1310000000000002</v>
      </c>
      <c r="D18" s="16">
        <v>3.0880000000000001</v>
      </c>
      <c r="E18" s="16">
        <v>-2.032</v>
      </c>
      <c r="F18" s="7">
        <v>1.5</v>
      </c>
      <c r="L18" s="15"/>
    </row>
    <row r="19" spans="1:12" ht="16.5" x14ac:dyDescent="0.3">
      <c r="A19" s="9">
        <v>2020</v>
      </c>
      <c r="B19" s="16">
        <v>35.494</v>
      </c>
      <c r="C19" s="16">
        <v>-4.4550000000000001</v>
      </c>
      <c r="D19" s="16">
        <v>0.19800000000000001</v>
      </c>
      <c r="E19" s="16">
        <v>-2.3769999999999998</v>
      </c>
      <c r="F19" s="7">
        <v>1.2</v>
      </c>
      <c r="L19" s="15"/>
    </row>
    <row r="20" spans="1:12" ht="16.5" x14ac:dyDescent="0.3">
      <c r="A20" s="9">
        <v>2021</v>
      </c>
      <c r="B20" s="16">
        <v>24.021999999999998</v>
      </c>
      <c r="C20" s="16">
        <v>-4.5780000000000003</v>
      </c>
      <c r="D20" s="16">
        <v>-4.4989999999999997</v>
      </c>
      <c r="E20" s="16">
        <v>-9.4580000000000002</v>
      </c>
      <c r="F20" s="7">
        <v>0.5</v>
      </c>
      <c r="L20" s="15"/>
    </row>
    <row r="21" spans="1:12" ht="16.5" x14ac:dyDescent="0.3">
      <c r="A21" s="9">
        <v>2022</v>
      </c>
      <c r="B21" s="16">
        <v>52.56</v>
      </c>
      <c r="C21" s="16">
        <v>-4.9109999999999996</v>
      </c>
      <c r="D21" s="16">
        <v>9.6630000000000003</v>
      </c>
      <c r="E21" s="16">
        <v>5.6459999999999999</v>
      </c>
      <c r="F21" s="7">
        <v>1.8</v>
      </c>
      <c r="L21" s="15"/>
    </row>
    <row r="22" spans="1:12" ht="16.5" x14ac:dyDescent="0.3">
      <c r="A22" s="9">
        <v>2023</v>
      </c>
      <c r="B22" s="16">
        <v>54.286999999999999</v>
      </c>
      <c r="C22" s="16">
        <v>-5.0019999999999998</v>
      </c>
      <c r="D22" s="16">
        <v>63.277000000000001</v>
      </c>
      <c r="E22" s="16">
        <v>56.244999999999997</v>
      </c>
      <c r="F22" s="7">
        <v>4.0999999999999996</v>
      </c>
      <c r="L22" s="15"/>
    </row>
    <row r="23" spans="1:12" ht="16.5" x14ac:dyDescent="0.3">
      <c r="A23" s="9" t="s">
        <v>2</v>
      </c>
      <c r="B23" s="7">
        <v>57</v>
      </c>
      <c r="C23" s="7">
        <v>-5.6</v>
      </c>
      <c r="D23" s="7">
        <v>52</v>
      </c>
      <c r="E23" s="7">
        <v>53.4</v>
      </c>
      <c r="F23" s="7">
        <v>3.7</v>
      </c>
      <c r="H23" s="15"/>
      <c r="I23" s="15"/>
      <c r="J23" s="15"/>
      <c r="K23" s="15"/>
      <c r="L23" s="15"/>
    </row>
    <row r="24" spans="1:12" ht="16.5" x14ac:dyDescent="0.3">
      <c r="A24" s="9" t="s">
        <v>3</v>
      </c>
      <c r="B24" s="7">
        <v>58</v>
      </c>
      <c r="C24" s="7">
        <v>-5.2</v>
      </c>
      <c r="D24" s="7">
        <v>19</v>
      </c>
      <c r="E24" s="7">
        <v>20</v>
      </c>
      <c r="F24" s="7">
        <v>2.2999999999999998</v>
      </c>
      <c r="H24" s="15"/>
      <c r="I24" s="15"/>
      <c r="J24" s="15"/>
      <c r="K24" s="15"/>
      <c r="L24" s="15"/>
    </row>
    <row r="25" spans="1:12" ht="16.5" x14ac:dyDescent="0.3">
      <c r="A25" s="9" t="s">
        <v>4</v>
      </c>
      <c r="B25" s="7">
        <v>59.5</v>
      </c>
      <c r="C25" s="7">
        <v>-5.6</v>
      </c>
      <c r="D25" s="7">
        <v>10</v>
      </c>
      <c r="E25" s="7">
        <v>16</v>
      </c>
      <c r="F25" s="7">
        <v>2</v>
      </c>
      <c r="H25" s="15"/>
      <c r="I25" s="15"/>
      <c r="J25" s="15"/>
      <c r="K25" s="15"/>
      <c r="L25" s="15"/>
    </row>
    <row r="26" spans="1:12" ht="16.5" x14ac:dyDescent="0.3">
      <c r="A26" s="9" t="s">
        <v>5</v>
      </c>
      <c r="B26" s="7">
        <v>57</v>
      </c>
      <c r="C26" s="7">
        <v>-7</v>
      </c>
      <c r="D26" s="7">
        <v>-6</v>
      </c>
      <c r="E26" s="7">
        <v>14</v>
      </c>
      <c r="F26" s="7">
        <v>1.6</v>
      </c>
      <c r="H26" s="15"/>
      <c r="I26" s="15"/>
      <c r="J26" s="15"/>
      <c r="K26" s="15"/>
      <c r="L26" s="15"/>
    </row>
    <row r="27" spans="1:12" ht="16.5" x14ac:dyDescent="0.3">
      <c r="A27" s="9"/>
    </row>
    <row r="29" spans="1:12" x14ac:dyDescent="0.25">
      <c r="A29" s="6" t="s">
        <v>47</v>
      </c>
    </row>
  </sheetData>
  <pageMargins left="0.7" right="0.7" top="0.75" bottom="0.75" header="0.3" footer="0.3"/>
  <headerFooter>
    <oddFooter>&amp;L_x000D_&amp;1#&amp;"Calibri"&amp;11&amp;K000000 Classification: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2F75-3BBC-460B-A771-136F46C35581}">
  <dimension ref="A1:C115"/>
  <sheetViews>
    <sheetView zoomScaleNormal="100" workbookViewId="0"/>
  </sheetViews>
  <sheetFormatPr defaultRowHeight="15" x14ac:dyDescent="0.25"/>
  <cols>
    <col min="1" max="3" width="12.7109375" customWidth="1"/>
  </cols>
  <sheetData>
    <row r="1" spans="1:3" ht="15.75" x14ac:dyDescent="0.25">
      <c r="A1" s="5" t="s">
        <v>54</v>
      </c>
    </row>
    <row r="3" spans="1:3" ht="25.5" x14ac:dyDescent="0.25">
      <c r="A3" s="4" t="s">
        <v>53</v>
      </c>
      <c r="B3" s="4" t="s">
        <v>41</v>
      </c>
      <c r="C3" s="4" t="s">
        <v>52</v>
      </c>
    </row>
    <row r="4" spans="1:3" ht="16.5" x14ac:dyDescent="0.3">
      <c r="A4" s="11">
        <v>41974</v>
      </c>
      <c r="B4" s="13">
        <v>1447</v>
      </c>
      <c r="C4" s="13">
        <v>559</v>
      </c>
    </row>
    <row r="5" spans="1:3" ht="16.5" x14ac:dyDescent="0.3">
      <c r="A5" s="11">
        <v>42005</v>
      </c>
      <c r="B5" s="13">
        <v>1399</v>
      </c>
      <c r="C5" s="13">
        <v>528</v>
      </c>
    </row>
    <row r="6" spans="1:3" ht="16.5" x14ac:dyDescent="0.3">
      <c r="A6" s="11">
        <v>42036</v>
      </c>
      <c r="B6" s="13">
        <v>1413</v>
      </c>
      <c r="C6" s="13">
        <v>517</v>
      </c>
    </row>
    <row r="7" spans="1:3" ht="16.5" x14ac:dyDescent="0.3">
      <c r="A7" s="11">
        <v>42064</v>
      </c>
      <c r="B7" s="13">
        <v>1600</v>
      </c>
      <c r="C7" s="13">
        <v>626</v>
      </c>
    </row>
    <row r="8" spans="1:3" ht="16.5" x14ac:dyDescent="0.3">
      <c r="A8" s="11">
        <v>42095</v>
      </c>
      <c r="B8" s="13">
        <v>1594</v>
      </c>
      <c r="C8" s="13">
        <v>625</v>
      </c>
    </row>
    <row r="9" spans="1:3" ht="16.5" x14ac:dyDescent="0.3">
      <c r="A9" s="11">
        <v>42125</v>
      </c>
      <c r="B9" s="13">
        <v>1676</v>
      </c>
      <c r="C9" s="13">
        <v>691</v>
      </c>
    </row>
    <row r="10" spans="1:3" ht="16.5" x14ac:dyDescent="0.3">
      <c r="A10" s="11">
        <v>42156</v>
      </c>
      <c r="B10" s="13">
        <v>1711</v>
      </c>
      <c r="C10" s="13">
        <v>749</v>
      </c>
    </row>
    <row r="11" spans="1:3" ht="16.5" x14ac:dyDescent="0.3">
      <c r="A11" s="11">
        <v>42186</v>
      </c>
      <c r="B11" s="13">
        <v>1838</v>
      </c>
      <c r="C11" s="13">
        <v>855</v>
      </c>
    </row>
    <row r="12" spans="1:3" ht="16.5" x14ac:dyDescent="0.3">
      <c r="A12" s="11">
        <v>42217</v>
      </c>
      <c r="B12" s="13">
        <v>1825</v>
      </c>
      <c r="C12" s="13">
        <v>893</v>
      </c>
    </row>
    <row r="13" spans="1:3" ht="16.5" x14ac:dyDescent="0.3">
      <c r="A13" s="11">
        <v>42248</v>
      </c>
      <c r="B13" s="13">
        <v>1876</v>
      </c>
      <c r="C13" s="13">
        <v>925</v>
      </c>
    </row>
    <row r="14" spans="1:3" ht="16.5" x14ac:dyDescent="0.3">
      <c r="A14" s="11">
        <v>42278</v>
      </c>
      <c r="B14" s="13">
        <v>1872</v>
      </c>
      <c r="C14" s="13">
        <v>939</v>
      </c>
    </row>
    <row r="15" spans="1:3" ht="16.5" x14ac:dyDescent="0.3">
      <c r="A15" s="11">
        <v>42309</v>
      </c>
      <c r="B15" s="13">
        <v>2129</v>
      </c>
      <c r="C15" s="13">
        <v>1109</v>
      </c>
    </row>
    <row r="16" spans="1:3" ht="16.5" x14ac:dyDescent="0.3">
      <c r="A16" s="11">
        <v>42339</v>
      </c>
      <c r="B16" s="13">
        <v>2429</v>
      </c>
      <c r="C16" s="13">
        <v>1301</v>
      </c>
    </row>
    <row r="17" spans="1:3" ht="16.5" x14ac:dyDescent="0.3">
      <c r="A17" s="11">
        <v>42370</v>
      </c>
      <c r="B17" s="13">
        <v>2581</v>
      </c>
      <c r="C17" s="13">
        <v>1395</v>
      </c>
    </row>
    <row r="18" spans="1:3" ht="16.5" x14ac:dyDescent="0.3">
      <c r="A18" s="11">
        <v>42401</v>
      </c>
      <c r="B18" s="13">
        <v>2626</v>
      </c>
      <c r="C18" s="13">
        <v>1438</v>
      </c>
    </row>
    <row r="19" spans="1:3" ht="16.5" x14ac:dyDescent="0.3">
      <c r="A19" s="11">
        <v>42430</v>
      </c>
      <c r="B19" s="13">
        <v>2767</v>
      </c>
      <c r="C19" s="13">
        <v>1562</v>
      </c>
    </row>
    <row r="20" spans="1:3" ht="16.5" x14ac:dyDescent="0.3">
      <c r="A20" s="11">
        <v>42461</v>
      </c>
      <c r="B20" s="13">
        <v>2840</v>
      </c>
      <c r="C20" s="13">
        <v>1607</v>
      </c>
    </row>
    <row r="21" spans="1:3" ht="16.5" x14ac:dyDescent="0.3">
      <c r="A21" s="11">
        <v>42491</v>
      </c>
      <c r="B21" s="13">
        <v>2915</v>
      </c>
      <c r="C21" s="13">
        <v>1670</v>
      </c>
    </row>
    <row r="22" spans="1:3" ht="16.5" x14ac:dyDescent="0.3">
      <c r="A22" s="11">
        <v>42522</v>
      </c>
      <c r="B22" s="13">
        <v>2959</v>
      </c>
      <c r="C22" s="13">
        <v>1800</v>
      </c>
    </row>
    <row r="23" spans="1:3" ht="16.5" x14ac:dyDescent="0.3">
      <c r="A23" s="11">
        <v>42552</v>
      </c>
      <c r="B23" s="13">
        <v>3001</v>
      </c>
      <c r="C23" s="13">
        <v>1928</v>
      </c>
    </row>
    <row r="24" spans="1:3" ht="16.5" x14ac:dyDescent="0.3">
      <c r="A24" s="11">
        <v>42583</v>
      </c>
      <c r="B24" s="13">
        <v>3159</v>
      </c>
      <c r="C24" s="13">
        <v>2111</v>
      </c>
    </row>
    <row r="25" spans="1:3" ht="16.5" x14ac:dyDescent="0.3">
      <c r="A25" s="11">
        <v>42614</v>
      </c>
      <c r="B25" s="13">
        <v>3116</v>
      </c>
      <c r="C25" s="13">
        <v>2117</v>
      </c>
    </row>
    <row r="26" spans="1:3" ht="16.5" x14ac:dyDescent="0.3">
      <c r="A26" s="11">
        <v>42644</v>
      </c>
      <c r="B26" s="13">
        <v>3325</v>
      </c>
      <c r="C26" s="13">
        <v>2346</v>
      </c>
    </row>
    <row r="27" spans="1:3" ht="16.5" x14ac:dyDescent="0.3">
      <c r="A27" s="11">
        <v>42675</v>
      </c>
      <c r="B27" s="13">
        <v>3375</v>
      </c>
      <c r="C27" s="13">
        <v>2350</v>
      </c>
    </row>
    <row r="28" spans="1:3" ht="16.5" x14ac:dyDescent="0.3">
      <c r="A28" s="11">
        <v>42705</v>
      </c>
      <c r="B28" s="13">
        <v>3477</v>
      </c>
      <c r="C28" s="13">
        <v>2509</v>
      </c>
    </row>
    <row r="29" spans="1:3" ht="16.5" x14ac:dyDescent="0.3">
      <c r="A29" s="11">
        <v>42736</v>
      </c>
      <c r="B29" s="13">
        <v>3459</v>
      </c>
      <c r="C29" s="13">
        <v>2479</v>
      </c>
    </row>
    <row r="30" spans="1:3" ht="16.5" x14ac:dyDescent="0.3">
      <c r="A30" s="11">
        <v>42767</v>
      </c>
      <c r="B30" s="13">
        <v>3794</v>
      </c>
      <c r="C30" s="13">
        <v>2762</v>
      </c>
    </row>
    <row r="31" spans="1:3" ht="16.5" x14ac:dyDescent="0.3">
      <c r="A31" s="11">
        <v>42795</v>
      </c>
      <c r="B31" s="13">
        <v>4124</v>
      </c>
      <c r="C31" s="13">
        <v>3057</v>
      </c>
    </row>
    <row r="32" spans="1:3" ht="16.5" x14ac:dyDescent="0.3">
      <c r="A32" s="11">
        <v>42826</v>
      </c>
      <c r="B32" s="13">
        <v>4097</v>
      </c>
      <c r="C32" s="13">
        <v>3058</v>
      </c>
    </row>
    <row r="33" spans="1:3" ht="16.5" x14ac:dyDescent="0.3">
      <c r="A33" s="11">
        <v>42856</v>
      </c>
      <c r="B33" s="13">
        <v>4056</v>
      </c>
      <c r="C33" s="13">
        <v>3009</v>
      </c>
    </row>
    <row r="34" spans="1:3" ht="16.5" x14ac:dyDescent="0.3">
      <c r="A34" s="11">
        <v>42887</v>
      </c>
      <c r="B34" s="13">
        <v>4157</v>
      </c>
      <c r="C34" s="13">
        <v>3051</v>
      </c>
    </row>
    <row r="35" spans="1:3" ht="16.5" x14ac:dyDescent="0.3">
      <c r="A35" s="11">
        <v>42917</v>
      </c>
      <c r="B35" s="13">
        <v>4133</v>
      </c>
      <c r="C35" s="13">
        <v>3012</v>
      </c>
    </row>
    <row r="36" spans="1:3" ht="16.5" x14ac:dyDescent="0.3">
      <c r="A36" s="11">
        <v>42948</v>
      </c>
      <c r="B36" s="13">
        <v>3999</v>
      </c>
      <c r="C36" s="13">
        <v>2910</v>
      </c>
    </row>
    <row r="37" spans="1:3" ht="16.5" x14ac:dyDescent="0.3">
      <c r="A37" s="11">
        <v>42979</v>
      </c>
      <c r="B37" s="13">
        <v>3727</v>
      </c>
      <c r="C37" s="13">
        <v>2695</v>
      </c>
    </row>
    <row r="38" spans="1:3" ht="16.5" x14ac:dyDescent="0.3">
      <c r="A38" s="11">
        <v>43009</v>
      </c>
      <c r="B38" s="13">
        <v>3806</v>
      </c>
      <c r="C38" s="13">
        <v>2770</v>
      </c>
    </row>
    <row r="39" spans="1:3" ht="16.5" x14ac:dyDescent="0.3">
      <c r="A39" s="11">
        <v>43040</v>
      </c>
      <c r="B39" s="13">
        <v>3993</v>
      </c>
      <c r="C39" s="13">
        <v>2836</v>
      </c>
    </row>
    <row r="40" spans="1:3" ht="16.5" x14ac:dyDescent="0.3">
      <c r="A40" s="11">
        <v>43070</v>
      </c>
      <c r="B40" s="13">
        <v>4143</v>
      </c>
      <c r="C40" s="13">
        <v>2983</v>
      </c>
    </row>
    <row r="41" spans="1:3" ht="16.5" x14ac:dyDescent="0.3">
      <c r="A41" s="11">
        <v>43101</v>
      </c>
      <c r="B41" s="13">
        <v>4154</v>
      </c>
      <c r="C41" s="13">
        <v>2967</v>
      </c>
    </row>
    <row r="42" spans="1:3" ht="16.5" x14ac:dyDescent="0.3">
      <c r="A42" s="11">
        <v>43132</v>
      </c>
      <c r="B42" s="13">
        <v>4292</v>
      </c>
      <c r="C42" s="13">
        <v>3058</v>
      </c>
    </row>
    <row r="43" spans="1:3" ht="16.5" x14ac:dyDescent="0.3">
      <c r="A43" s="11">
        <v>43160</v>
      </c>
      <c r="B43" s="13">
        <v>4275</v>
      </c>
      <c r="C43" s="13">
        <v>2986</v>
      </c>
    </row>
    <row r="44" spans="1:3" ht="16.5" x14ac:dyDescent="0.3">
      <c r="A44" s="11">
        <v>43191</v>
      </c>
      <c r="B44" s="13">
        <v>4167</v>
      </c>
      <c r="C44" s="13">
        <v>2829</v>
      </c>
    </row>
    <row r="45" spans="1:3" ht="16.5" x14ac:dyDescent="0.3">
      <c r="A45" s="11">
        <v>43221</v>
      </c>
      <c r="B45" s="13">
        <v>4163</v>
      </c>
      <c r="C45" s="13">
        <v>2830</v>
      </c>
    </row>
    <row r="46" spans="1:3" ht="16.5" x14ac:dyDescent="0.3">
      <c r="A46" s="11">
        <v>43252</v>
      </c>
      <c r="B46" s="13">
        <v>4167</v>
      </c>
      <c r="C46" s="13">
        <v>2827</v>
      </c>
    </row>
    <row r="47" spans="1:3" ht="16.5" x14ac:dyDescent="0.3">
      <c r="A47" s="11">
        <v>43282</v>
      </c>
      <c r="B47" s="13">
        <v>4136</v>
      </c>
      <c r="C47" s="13">
        <v>2801</v>
      </c>
    </row>
    <row r="48" spans="1:3" ht="16.5" x14ac:dyDescent="0.3">
      <c r="A48" s="11">
        <v>43313</v>
      </c>
      <c r="B48" s="13">
        <v>4299</v>
      </c>
      <c r="C48" s="13">
        <v>2876</v>
      </c>
    </row>
    <row r="49" spans="1:3" ht="16.5" x14ac:dyDescent="0.3">
      <c r="A49" s="11">
        <v>43344</v>
      </c>
      <c r="B49" s="13">
        <v>4320</v>
      </c>
      <c r="C49" s="13">
        <v>2898</v>
      </c>
    </row>
    <row r="50" spans="1:3" ht="16.5" x14ac:dyDescent="0.3">
      <c r="A50" s="11">
        <v>43374</v>
      </c>
      <c r="B50" s="13">
        <v>4515</v>
      </c>
      <c r="C50" s="13">
        <v>2949</v>
      </c>
    </row>
    <row r="51" spans="1:3" ht="16.5" x14ac:dyDescent="0.3">
      <c r="A51" s="11">
        <v>43405</v>
      </c>
      <c r="B51" s="13">
        <v>4504</v>
      </c>
      <c r="C51" s="13">
        <v>2840</v>
      </c>
    </row>
    <row r="52" spans="1:3" ht="16.5" x14ac:dyDescent="0.3">
      <c r="A52" s="11">
        <v>43435</v>
      </c>
      <c r="B52" s="13">
        <v>4704</v>
      </c>
      <c r="C52" s="13">
        <v>2956</v>
      </c>
    </row>
    <row r="53" spans="1:3" ht="16.5" x14ac:dyDescent="0.3">
      <c r="A53" s="11">
        <v>43466</v>
      </c>
      <c r="B53" s="13">
        <v>4974</v>
      </c>
      <c r="C53" s="13">
        <v>3119</v>
      </c>
    </row>
    <row r="54" spans="1:3" ht="16.5" x14ac:dyDescent="0.3">
      <c r="A54" s="11">
        <v>43497</v>
      </c>
      <c r="B54" s="13">
        <v>5002</v>
      </c>
      <c r="C54" s="13">
        <v>3180</v>
      </c>
    </row>
    <row r="55" spans="1:3" ht="16.5" x14ac:dyDescent="0.3">
      <c r="A55" s="11">
        <v>43525</v>
      </c>
      <c r="B55" s="13">
        <v>5025</v>
      </c>
      <c r="C55" s="13">
        <v>3192</v>
      </c>
    </row>
    <row r="56" spans="1:3" ht="16.5" x14ac:dyDescent="0.3">
      <c r="A56" s="11">
        <v>43556</v>
      </c>
      <c r="B56" s="13">
        <v>5082</v>
      </c>
      <c r="C56" s="13">
        <v>3214</v>
      </c>
    </row>
    <row r="57" spans="1:3" ht="16.5" x14ac:dyDescent="0.3">
      <c r="A57" s="11">
        <v>43586</v>
      </c>
      <c r="B57" s="13">
        <v>4910</v>
      </c>
      <c r="C57" s="13">
        <v>3106</v>
      </c>
    </row>
    <row r="58" spans="1:3" ht="16.5" x14ac:dyDescent="0.3">
      <c r="A58" s="11">
        <v>43617</v>
      </c>
      <c r="B58" s="13">
        <v>5058</v>
      </c>
      <c r="C58" s="13">
        <v>3209</v>
      </c>
    </row>
    <row r="59" spans="1:3" ht="16.5" x14ac:dyDescent="0.3">
      <c r="A59" s="11">
        <v>43647</v>
      </c>
      <c r="B59" s="13">
        <v>5047</v>
      </c>
      <c r="C59" s="13">
        <v>3269</v>
      </c>
    </row>
    <row r="60" spans="1:3" ht="16.5" x14ac:dyDescent="0.3">
      <c r="A60" s="11">
        <v>43678</v>
      </c>
      <c r="B60" s="13">
        <v>5036</v>
      </c>
      <c r="C60" s="13">
        <v>3276</v>
      </c>
    </row>
    <row r="61" spans="1:3" ht="16.5" x14ac:dyDescent="0.3">
      <c r="A61" s="11">
        <v>43709</v>
      </c>
      <c r="B61" s="13">
        <v>4913</v>
      </c>
      <c r="C61" s="13">
        <v>3214</v>
      </c>
    </row>
    <row r="62" spans="1:3" ht="16.5" x14ac:dyDescent="0.3">
      <c r="A62" s="11">
        <v>43739</v>
      </c>
      <c r="B62" s="13">
        <v>4986</v>
      </c>
      <c r="C62" s="13">
        <v>3193</v>
      </c>
    </row>
    <row r="63" spans="1:3" ht="16.5" x14ac:dyDescent="0.3">
      <c r="A63" s="11">
        <v>43770</v>
      </c>
      <c r="B63" s="13">
        <v>4994</v>
      </c>
      <c r="C63" s="13">
        <v>3183</v>
      </c>
    </row>
    <row r="64" spans="1:3" ht="16.5" x14ac:dyDescent="0.3">
      <c r="A64" s="11">
        <v>43800</v>
      </c>
      <c r="B64" s="13">
        <v>5145</v>
      </c>
      <c r="C64" s="13">
        <v>3351</v>
      </c>
    </row>
    <row r="65" spans="1:3" ht="16.5" x14ac:dyDescent="0.3">
      <c r="A65" s="11">
        <v>43831</v>
      </c>
      <c r="B65" s="13">
        <v>5204</v>
      </c>
      <c r="C65" s="13">
        <v>3396</v>
      </c>
    </row>
    <row r="66" spans="1:3" ht="16.5" x14ac:dyDescent="0.3">
      <c r="A66" s="11">
        <v>43862</v>
      </c>
      <c r="B66" s="13">
        <v>5276</v>
      </c>
      <c r="C66" s="13">
        <v>3523</v>
      </c>
    </row>
    <row r="67" spans="1:3" ht="16.5" x14ac:dyDescent="0.3">
      <c r="A67" s="11">
        <v>43891</v>
      </c>
      <c r="B67" s="13">
        <v>4992</v>
      </c>
      <c r="C67" s="13">
        <v>3253</v>
      </c>
    </row>
    <row r="68" spans="1:3" ht="16.5" x14ac:dyDescent="0.3">
      <c r="A68" s="11">
        <v>43922</v>
      </c>
      <c r="B68" s="13">
        <v>5015</v>
      </c>
      <c r="C68" s="13">
        <v>3315</v>
      </c>
    </row>
    <row r="69" spans="1:3" ht="16.5" x14ac:dyDescent="0.3">
      <c r="A69" s="11">
        <v>43952</v>
      </c>
      <c r="B69" s="13">
        <v>4780</v>
      </c>
      <c r="C69" s="13">
        <v>3112</v>
      </c>
    </row>
    <row r="70" spans="1:3" ht="16.5" x14ac:dyDescent="0.3">
      <c r="A70" s="11">
        <v>43983</v>
      </c>
      <c r="B70" s="13">
        <v>4836</v>
      </c>
      <c r="C70" s="13">
        <v>3164</v>
      </c>
    </row>
    <row r="71" spans="1:3" ht="16.5" x14ac:dyDescent="0.3">
      <c r="A71" s="11">
        <v>44013</v>
      </c>
      <c r="B71" s="13">
        <v>4594</v>
      </c>
      <c r="C71" s="13">
        <v>3031</v>
      </c>
    </row>
    <row r="72" spans="1:3" ht="16.5" x14ac:dyDescent="0.3">
      <c r="A72" s="11">
        <v>44044</v>
      </c>
      <c r="B72" s="13">
        <v>4394</v>
      </c>
      <c r="C72" s="13">
        <v>2957</v>
      </c>
    </row>
    <row r="73" spans="1:3" ht="16.5" x14ac:dyDescent="0.3">
      <c r="A73" s="11">
        <v>44075</v>
      </c>
      <c r="B73" s="13">
        <v>4169</v>
      </c>
      <c r="C73" s="13">
        <v>2780</v>
      </c>
    </row>
    <row r="74" spans="1:3" ht="16.5" x14ac:dyDescent="0.3">
      <c r="A74" s="11">
        <v>44105</v>
      </c>
      <c r="B74" s="13">
        <v>4058</v>
      </c>
      <c r="C74" s="13">
        <v>2724</v>
      </c>
    </row>
    <row r="75" spans="1:3" ht="16.5" x14ac:dyDescent="0.3">
      <c r="A75" s="11">
        <v>44136</v>
      </c>
      <c r="B75" s="13">
        <v>4039</v>
      </c>
      <c r="C75" s="13">
        <v>2742</v>
      </c>
    </row>
    <row r="76" spans="1:3" ht="16.5" x14ac:dyDescent="0.3">
      <c r="A76" s="11">
        <v>44166</v>
      </c>
      <c r="B76" s="13">
        <v>3885</v>
      </c>
      <c r="C76" s="13">
        <v>2679</v>
      </c>
    </row>
    <row r="77" spans="1:3" ht="16.5" x14ac:dyDescent="0.3">
      <c r="A77" s="11">
        <v>44197</v>
      </c>
      <c r="B77" s="13">
        <v>4057</v>
      </c>
      <c r="C77" s="13">
        <v>2918</v>
      </c>
    </row>
    <row r="78" spans="1:3" ht="16.5" x14ac:dyDescent="0.3">
      <c r="A78" s="11">
        <v>44228</v>
      </c>
      <c r="B78" s="13">
        <v>3921</v>
      </c>
      <c r="C78" s="13">
        <v>2822</v>
      </c>
    </row>
    <row r="79" spans="1:3" ht="16.5" x14ac:dyDescent="0.3">
      <c r="A79" s="11">
        <v>44256</v>
      </c>
      <c r="B79" s="13">
        <v>3767</v>
      </c>
      <c r="C79" s="13">
        <v>2697</v>
      </c>
    </row>
    <row r="80" spans="1:3" ht="16.5" x14ac:dyDescent="0.3">
      <c r="A80" s="11">
        <v>44287</v>
      </c>
      <c r="B80" s="13">
        <v>3593</v>
      </c>
      <c r="C80" s="13">
        <v>2569</v>
      </c>
    </row>
    <row r="81" spans="1:3" ht="16.5" x14ac:dyDescent="0.3">
      <c r="A81" s="11">
        <v>44317</v>
      </c>
      <c r="B81" s="13">
        <v>3225</v>
      </c>
      <c r="C81" s="13">
        <v>2249</v>
      </c>
    </row>
    <row r="82" spans="1:3" ht="16.5" x14ac:dyDescent="0.3">
      <c r="A82" s="11">
        <v>44348</v>
      </c>
      <c r="B82" s="13">
        <v>3006</v>
      </c>
      <c r="C82" s="13">
        <v>2050</v>
      </c>
    </row>
    <row r="83" spans="1:3" ht="16.5" x14ac:dyDescent="0.3">
      <c r="A83" s="11">
        <v>44378</v>
      </c>
      <c r="B83" s="13">
        <v>2794</v>
      </c>
      <c r="C83" s="13">
        <v>1902</v>
      </c>
    </row>
    <row r="84" spans="1:3" ht="16.5" x14ac:dyDescent="0.3">
      <c r="A84" s="11">
        <v>44409</v>
      </c>
      <c r="B84" s="13">
        <v>2770</v>
      </c>
      <c r="C84" s="13">
        <v>1865</v>
      </c>
    </row>
    <row r="85" spans="1:3" ht="16.5" x14ac:dyDescent="0.3">
      <c r="A85" s="11">
        <v>44440</v>
      </c>
      <c r="B85" s="13">
        <v>2725</v>
      </c>
      <c r="C85" s="13">
        <v>1771</v>
      </c>
    </row>
    <row r="86" spans="1:3" ht="16.5" x14ac:dyDescent="0.3">
      <c r="A86" s="11">
        <v>44470</v>
      </c>
      <c r="B86" s="13">
        <v>2744</v>
      </c>
      <c r="C86" s="13">
        <v>1795</v>
      </c>
    </row>
    <row r="87" spans="1:3" ht="16.5" x14ac:dyDescent="0.3">
      <c r="A87" s="11">
        <v>44501</v>
      </c>
      <c r="B87" s="13">
        <v>2692</v>
      </c>
      <c r="C87" s="13">
        <v>1713</v>
      </c>
    </row>
    <row r="88" spans="1:3" ht="16.5" x14ac:dyDescent="0.3">
      <c r="A88" s="11">
        <v>44531</v>
      </c>
      <c r="B88" s="13">
        <v>2697</v>
      </c>
      <c r="C88" s="13">
        <v>1734</v>
      </c>
    </row>
    <row r="89" spans="1:3" ht="16.5" x14ac:dyDescent="0.3">
      <c r="A89" s="11">
        <v>44562</v>
      </c>
      <c r="B89" s="13">
        <v>2414</v>
      </c>
      <c r="C89" s="13">
        <v>1438</v>
      </c>
    </row>
    <row r="90" spans="1:3" ht="16.5" x14ac:dyDescent="0.3">
      <c r="A90" s="11">
        <v>44593</v>
      </c>
      <c r="B90" s="13">
        <v>2249</v>
      </c>
      <c r="C90" s="13">
        <v>1344</v>
      </c>
    </row>
    <row r="91" spans="1:3" ht="16.5" x14ac:dyDescent="0.3">
      <c r="A91" s="11">
        <v>44621</v>
      </c>
      <c r="B91" s="13">
        <v>2073</v>
      </c>
      <c r="C91" s="13">
        <v>1214</v>
      </c>
    </row>
    <row r="92" spans="1:3" ht="16.5" x14ac:dyDescent="0.3">
      <c r="A92" s="11">
        <v>44652</v>
      </c>
      <c r="B92" s="13">
        <v>1938</v>
      </c>
      <c r="C92" s="13">
        <v>1065</v>
      </c>
    </row>
    <row r="93" spans="1:3" ht="16.5" x14ac:dyDescent="0.3">
      <c r="A93" s="11">
        <v>44682</v>
      </c>
      <c r="B93" s="13">
        <v>1929</v>
      </c>
      <c r="C93" s="13">
        <v>1005</v>
      </c>
    </row>
    <row r="94" spans="1:3" ht="16.5" x14ac:dyDescent="0.3">
      <c r="A94" s="11">
        <v>44713</v>
      </c>
      <c r="B94" s="13">
        <v>1837</v>
      </c>
      <c r="C94" s="13">
        <v>888</v>
      </c>
    </row>
    <row r="95" spans="1:3" ht="16.5" x14ac:dyDescent="0.3">
      <c r="A95" s="11">
        <v>44743</v>
      </c>
      <c r="B95" s="13">
        <v>1830</v>
      </c>
      <c r="C95" s="13">
        <v>872</v>
      </c>
    </row>
    <row r="96" spans="1:3" ht="16.5" x14ac:dyDescent="0.3">
      <c r="A96" s="11">
        <v>44774</v>
      </c>
      <c r="B96" s="13">
        <v>1933</v>
      </c>
      <c r="C96" s="13">
        <v>910</v>
      </c>
    </row>
    <row r="97" spans="1:3" ht="16.5" x14ac:dyDescent="0.3">
      <c r="A97" s="11">
        <v>44805</v>
      </c>
      <c r="B97" s="13">
        <v>2035</v>
      </c>
      <c r="C97" s="13">
        <v>937</v>
      </c>
    </row>
    <row r="98" spans="1:3" ht="16.5" x14ac:dyDescent="0.3">
      <c r="A98" s="11">
        <v>44835</v>
      </c>
      <c r="B98" s="13">
        <v>2119</v>
      </c>
      <c r="C98" s="13">
        <v>936</v>
      </c>
    </row>
    <row r="99" spans="1:3" ht="16.5" x14ac:dyDescent="0.3">
      <c r="A99" s="11">
        <v>44866</v>
      </c>
      <c r="B99" s="13">
        <v>2290</v>
      </c>
      <c r="C99" s="13">
        <v>989</v>
      </c>
    </row>
    <row r="100" spans="1:3" ht="16.5" x14ac:dyDescent="0.3">
      <c r="A100" s="11">
        <v>44896</v>
      </c>
      <c r="B100" s="13">
        <v>2391</v>
      </c>
      <c r="C100" s="13">
        <v>1028</v>
      </c>
    </row>
    <row r="101" spans="1:3" ht="16.5" x14ac:dyDescent="0.3">
      <c r="A101" s="11">
        <v>44927</v>
      </c>
      <c r="B101" s="13">
        <v>2549</v>
      </c>
      <c r="C101" s="13">
        <v>1027</v>
      </c>
    </row>
    <row r="102" spans="1:3" ht="16.5" x14ac:dyDescent="0.3">
      <c r="A102" s="11">
        <v>44958</v>
      </c>
      <c r="B102" s="13">
        <v>2648</v>
      </c>
      <c r="C102" s="13">
        <v>1095</v>
      </c>
    </row>
    <row r="103" spans="1:3" ht="16.5" x14ac:dyDescent="0.3">
      <c r="A103" s="11">
        <v>44986</v>
      </c>
      <c r="B103" s="13">
        <v>2638</v>
      </c>
      <c r="C103" s="13">
        <v>1086</v>
      </c>
    </row>
    <row r="104" spans="1:3" ht="16.5" x14ac:dyDescent="0.3">
      <c r="A104" s="11">
        <v>45017</v>
      </c>
      <c r="B104" s="13">
        <v>2803</v>
      </c>
      <c r="C104" s="13">
        <v>1035</v>
      </c>
    </row>
    <row r="105" spans="1:3" ht="16.5" x14ac:dyDescent="0.3">
      <c r="A105" s="11">
        <v>45047</v>
      </c>
      <c r="B105" s="13">
        <v>2893</v>
      </c>
      <c r="C105" s="13">
        <v>1072</v>
      </c>
    </row>
    <row r="106" spans="1:3" ht="16.5" x14ac:dyDescent="0.3">
      <c r="A106" s="11">
        <v>45078</v>
      </c>
      <c r="B106" s="13">
        <v>2920</v>
      </c>
      <c r="C106" s="13">
        <v>1071</v>
      </c>
    </row>
    <row r="107" spans="1:3" ht="16.5" x14ac:dyDescent="0.3">
      <c r="A107" s="11">
        <v>45108</v>
      </c>
      <c r="B107" s="13">
        <v>2770</v>
      </c>
      <c r="C107" s="13">
        <v>949</v>
      </c>
    </row>
    <row r="108" spans="1:3" ht="16.5" x14ac:dyDescent="0.3">
      <c r="A108" s="11">
        <v>45139</v>
      </c>
      <c r="B108" s="13">
        <v>2713</v>
      </c>
      <c r="C108" s="13">
        <v>944</v>
      </c>
    </row>
    <row r="109" spans="1:3" ht="16.5" x14ac:dyDescent="0.3">
      <c r="A109" s="11">
        <v>45170</v>
      </c>
      <c r="B109" s="13">
        <v>2652</v>
      </c>
      <c r="C109" s="13">
        <v>925</v>
      </c>
    </row>
    <row r="110" spans="1:3" ht="16.5" x14ac:dyDescent="0.3">
      <c r="A110" s="11">
        <v>45200</v>
      </c>
      <c r="B110" s="13">
        <v>2756</v>
      </c>
      <c r="C110" s="13">
        <v>984</v>
      </c>
    </row>
    <row r="111" spans="1:3" ht="16.5" x14ac:dyDescent="0.3">
      <c r="A111" s="11">
        <v>45231</v>
      </c>
      <c r="B111" s="13">
        <v>2863</v>
      </c>
      <c r="C111" s="13">
        <v>1019</v>
      </c>
    </row>
    <row r="112" spans="1:3" ht="16.5" x14ac:dyDescent="0.3">
      <c r="A112" s="11">
        <v>45261</v>
      </c>
      <c r="B112" s="13">
        <v>2889</v>
      </c>
      <c r="C112" s="13">
        <v>1023</v>
      </c>
    </row>
    <row r="115" spans="1:1" x14ac:dyDescent="0.25">
      <c r="A115" s="6" t="s">
        <v>156</v>
      </c>
    </row>
  </sheetData>
  <pageMargins left="0.7" right="0.7" top="0.75" bottom="0.75" header="0.3" footer="0.3"/>
  <headerFooter>
    <oddFooter>&amp;L_x000D_&amp;1#&amp;"Calibri"&amp;11&amp;K000000 Classification: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EC56-9091-4918-AC90-C9D602F1B28D}">
  <dimension ref="A1:D21"/>
  <sheetViews>
    <sheetView zoomScaleNormal="100" workbookViewId="0"/>
  </sheetViews>
  <sheetFormatPr defaultRowHeight="15" x14ac:dyDescent="0.25"/>
  <cols>
    <col min="1" max="1" width="29.85546875" customWidth="1"/>
    <col min="2" max="2" width="12.7109375" customWidth="1"/>
  </cols>
  <sheetData>
    <row r="1" spans="1:4" ht="15.75" x14ac:dyDescent="0.25">
      <c r="A1" s="18" t="s">
        <v>165</v>
      </c>
      <c r="B1" s="19"/>
      <c r="C1" s="19"/>
      <c r="D1" s="19"/>
    </row>
    <row r="2" spans="1:4" x14ac:dyDescent="0.25">
      <c r="A2" s="19"/>
      <c r="B2" s="19"/>
      <c r="C2" s="19"/>
      <c r="D2" s="19"/>
    </row>
    <row r="3" spans="1:4" ht="51" x14ac:dyDescent="0.25">
      <c r="A3" s="20" t="s">
        <v>68</v>
      </c>
      <c r="B3" s="21" t="s">
        <v>69</v>
      </c>
      <c r="C3" s="19"/>
      <c r="D3" s="19"/>
    </row>
    <row r="4" spans="1:4" ht="16.5" x14ac:dyDescent="0.3">
      <c r="A4" s="22" t="s">
        <v>41</v>
      </c>
      <c r="B4" s="23">
        <v>41.700000000000017</v>
      </c>
      <c r="C4" s="19"/>
      <c r="D4" s="19"/>
    </row>
    <row r="5" spans="1:4" ht="16.5" x14ac:dyDescent="0.3">
      <c r="A5" s="17" t="s">
        <v>55</v>
      </c>
      <c r="B5" s="7">
        <v>-3.2</v>
      </c>
    </row>
    <row r="6" spans="1:4" ht="16.5" x14ac:dyDescent="0.3">
      <c r="A6" s="17" t="s">
        <v>56</v>
      </c>
      <c r="B6" s="7">
        <v>-1.1999999999999997</v>
      </c>
    </row>
    <row r="7" spans="1:4" ht="16.5" x14ac:dyDescent="0.3">
      <c r="A7" s="17" t="s">
        <v>57</v>
      </c>
      <c r="B7" s="7">
        <v>-1.0999999999999996</v>
      </c>
    </row>
    <row r="8" spans="1:4" ht="16.5" x14ac:dyDescent="0.3">
      <c r="A8" s="17" t="s">
        <v>58</v>
      </c>
      <c r="B8" s="7">
        <v>-1.0999999999999996</v>
      </c>
    </row>
    <row r="9" spans="1:4" ht="16.5" x14ac:dyDescent="0.3">
      <c r="A9" s="17" t="s">
        <v>59</v>
      </c>
      <c r="B9" s="7">
        <v>0.69999999999999574</v>
      </c>
    </row>
    <row r="10" spans="1:4" ht="16.5" x14ac:dyDescent="0.3">
      <c r="A10" s="17" t="s">
        <v>60</v>
      </c>
      <c r="B10" s="7">
        <v>0.79999999999999982</v>
      </c>
    </row>
    <row r="11" spans="1:4" ht="16.5" x14ac:dyDescent="0.3">
      <c r="A11" s="17" t="s">
        <v>157</v>
      </c>
      <c r="B11" s="7">
        <v>1</v>
      </c>
    </row>
    <row r="12" spans="1:4" ht="16.5" x14ac:dyDescent="0.3">
      <c r="A12" s="17" t="s">
        <v>61</v>
      </c>
      <c r="B12" s="7">
        <v>2.3999999999999986</v>
      </c>
    </row>
    <row r="13" spans="1:4" ht="16.5" x14ac:dyDescent="0.3">
      <c r="A13" s="17" t="s">
        <v>62</v>
      </c>
      <c r="B13" s="7">
        <v>3.6999999999999993</v>
      </c>
    </row>
    <row r="14" spans="1:4" ht="16.5" x14ac:dyDescent="0.3">
      <c r="A14" s="17" t="s">
        <v>63</v>
      </c>
      <c r="B14" s="7">
        <v>4.8999999999999995</v>
      </c>
    </row>
    <row r="15" spans="1:4" ht="16.5" x14ac:dyDescent="0.3">
      <c r="A15" s="17" t="s">
        <v>64</v>
      </c>
      <c r="B15" s="7">
        <v>5.4</v>
      </c>
    </row>
    <row r="16" spans="1:4" ht="16.5" x14ac:dyDescent="0.3">
      <c r="A16" s="17" t="s">
        <v>65</v>
      </c>
      <c r="B16" s="7">
        <v>7.4000000000000021</v>
      </c>
    </row>
    <row r="17" spans="1:2" ht="16.5" x14ac:dyDescent="0.3">
      <c r="A17" s="17" t="s">
        <v>66</v>
      </c>
      <c r="B17" s="7">
        <v>7.6000000000000014</v>
      </c>
    </row>
    <row r="18" spans="1:2" ht="16.5" x14ac:dyDescent="0.3">
      <c r="A18" s="17" t="s">
        <v>67</v>
      </c>
      <c r="B18" s="7">
        <v>11.200000000000001</v>
      </c>
    </row>
    <row r="19" spans="1:2" x14ac:dyDescent="0.25">
      <c r="B19" s="7"/>
    </row>
    <row r="21" spans="1:2" x14ac:dyDescent="0.25">
      <c r="A21" s="6" t="s">
        <v>156</v>
      </c>
    </row>
  </sheetData>
  <pageMargins left="0.7" right="0.7" top="0.75" bottom="0.75" header="0.3" footer="0.3"/>
  <headerFooter>
    <oddFooter>&amp;L_x000D_&amp;1#&amp;"Calibri"&amp;11&amp;K000000 Classification: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6765-5370-4EF1-ACE0-44EEBDFA723E}">
  <dimension ref="A1:D27"/>
  <sheetViews>
    <sheetView zoomScaleNormal="100" workbookViewId="0">
      <selection activeCell="F34" sqref="F34"/>
    </sheetView>
  </sheetViews>
  <sheetFormatPr defaultRowHeight="15" x14ac:dyDescent="0.25"/>
  <cols>
    <col min="1" max="4" width="12.7109375" customWidth="1"/>
  </cols>
  <sheetData>
    <row r="1" spans="1:4" ht="15.75" x14ac:dyDescent="0.25">
      <c r="A1" s="5" t="s">
        <v>85</v>
      </c>
    </row>
    <row r="3" spans="1:4" ht="38.25" x14ac:dyDescent="0.25">
      <c r="A3" s="4" t="s">
        <v>45</v>
      </c>
      <c r="B3" s="4" t="s">
        <v>71</v>
      </c>
      <c r="C3" s="4" t="s">
        <v>158</v>
      </c>
      <c r="D3" s="4" t="s">
        <v>159</v>
      </c>
    </row>
    <row r="4" spans="1:4" ht="16.5" x14ac:dyDescent="0.3">
      <c r="A4" s="9">
        <v>2007</v>
      </c>
      <c r="B4" s="7">
        <v>1994.4</v>
      </c>
      <c r="C4" s="7">
        <v>4.0999999999999996</v>
      </c>
      <c r="D4" s="7">
        <v>3.7</v>
      </c>
    </row>
    <row r="5" spans="1:4" ht="16.5" x14ac:dyDescent="0.3">
      <c r="A5" s="9">
        <v>2008</v>
      </c>
      <c r="B5" s="7">
        <v>2050.3000000000002</v>
      </c>
      <c r="C5" s="7">
        <v>2.8</v>
      </c>
      <c r="D5" s="7">
        <v>3.8</v>
      </c>
    </row>
    <row r="6" spans="1:4" ht="16.5" x14ac:dyDescent="0.3">
      <c r="A6" s="9">
        <v>2009</v>
      </c>
      <c r="B6" s="7">
        <v>2030.2</v>
      </c>
      <c r="C6" s="7">
        <v>-1</v>
      </c>
      <c r="D6" s="7">
        <v>6.8</v>
      </c>
    </row>
    <row r="7" spans="1:4" ht="16.5" x14ac:dyDescent="0.3">
      <c r="A7" s="9">
        <v>2010</v>
      </c>
      <c r="B7" s="7">
        <v>2029.1</v>
      </c>
      <c r="C7" s="7">
        <v>-0.1</v>
      </c>
      <c r="D7" s="7">
        <v>6.6</v>
      </c>
    </row>
    <row r="8" spans="1:4" ht="16.5" x14ac:dyDescent="0.3">
      <c r="A8" s="9">
        <v>2011</v>
      </c>
      <c r="B8" s="7">
        <v>2103.1999999999998</v>
      </c>
      <c r="C8" s="7">
        <v>3.7</v>
      </c>
      <c r="D8" s="7">
        <v>5.5</v>
      </c>
    </row>
    <row r="9" spans="1:4" ht="16.5" x14ac:dyDescent="0.3">
      <c r="A9" s="9">
        <v>2012</v>
      </c>
      <c r="B9" s="7">
        <v>2166.6</v>
      </c>
      <c r="C9" s="7">
        <v>3</v>
      </c>
      <c r="D9" s="7">
        <v>4.7</v>
      </c>
    </row>
    <row r="10" spans="1:4" ht="16.5" x14ac:dyDescent="0.3">
      <c r="A10" s="9">
        <v>2013</v>
      </c>
      <c r="B10" s="7">
        <v>2211.1</v>
      </c>
      <c r="C10" s="7">
        <v>2.1</v>
      </c>
      <c r="D10" s="7">
        <v>4.5999999999999996</v>
      </c>
    </row>
    <row r="11" spans="1:4" ht="16.5" x14ac:dyDescent="0.3">
      <c r="A11" s="9">
        <v>2014</v>
      </c>
      <c r="B11" s="7">
        <v>2246.9</v>
      </c>
      <c r="C11" s="7">
        <v>1.6</v>
      </c>
      <c r="D11" s="7">
        <v>4.8</v>
      </c>
    </row>
    <row r="12" spans="1:4" ht="16.5" x14ac:dyDescent="0.3">
      <c r="A12" s="9">
        <v>2015</v>
      </c>
      <c r="B12" s="7">
        <v>2265.6</v>
      </c>
      <c r="C12" s="7">
        <v>0.8</v>
      </c>
      <c r="D12" s="7">
        <v>6.1</v>
      </c>
    </row>
    <row r="13" spans="1:4" ht="16.5" x14ac:dyDescent="0.3">
      <c r="A13" s="9">
        <v>2016</v>
      </c>
      <c r="B13" s="7">
        <v>2204.6</v>
      </c>
      <c r="C13" s="7">
        <v>-2.7</v>
      </c>
      <c r="D13" s="7">
        <v>8.1999999999999993</v>
      </c>
    </row>
    <row r="14" spans="1:4" ht="16.5" x14ac:dyDescent="0.3">
      <c r="A14" s="9">
        <v>2017</v>
      </c>
      <c r="B14" s="7">
        <v>2221.1</v>
      </c>
      <c r="C14" s="7">
        <v>0.7</v>
      </c>
      <c r="D14" s="7">
        <v>8</v>
      </c>
    </row>
    <row r="15" spans="1:4" ht="16.5" x14ac:dyDescent="0.3">
      <c r="A15" s="9">
        <v>2018</v>
      </c>
      <c r="B15" s="7">
        <v>2280.1</v>
      </c>
      <c r="C15" s="7">
        <v>2.7</v>
      </c>
      <c r="D15" s="7">
        <v>6.5</v>
      </c>
    </row>
    <row r="16" spans="1:4" ht="16.5" x14ac:dyDescent="0.3">
      <c r="A16" s="9">
        <v>2019</v>
      </c>
      <c r="B16" s="7">
        <v>2307.8000000000002</v>
      </c>
      <c r="C16" s="7">
        <v>1.2</v>
      </c>
      <c r="D16" s="7">
        <v>6.8</v>
      </c>
    </row>
    <row r="17" spans="1:4" ht="16.5" x14ac:dyDescent="0.3">
      <c r="A17" s="9">
        <v>2020</v>
      </c>
      <c r="B17" s="7">
        <v>2143.6999999999998</v>
      </c>
      <c r="C17" s="7">
        <v>-7.1</v>
      </c>
      <c r="D17" s="7">
        <v>11.3</v>
      </c>
    </row>
    <row r="18" spans="1:4" ht="16.5" x14ac:dyDescent="0.3">
      <c r="A18" s="9">
        <v>2021</v>
      </c>
      <c r="B18" s="7">
        <v>2259.6</v>
      </c>
      <c r="C18" s="7">
        <v>5.4</v>
      </c>
      <c r="D18" s="7">
        <v>8.6</v>
      </c>
    </row>
    <row r="19" spans="1:4" ht="16.5" x14ac:dyDescent="0.3">
      <c r="A19" s="9">
        <v>2022</v>
      </c>
      <c r="B19" s="7">
        <v>2376.1</v>
      </c>
      <c r="C19" s="7">
        <v>5.2</v>
      </c>
      <c r="D19" s="7">
        <v>5.8</v>
      </c>
    </row>
    <row r="20" spans="1:4" ht="16.5" x14ac:dyDescent="0.3">
      <c r="A20" s="9">
        <v>2023</v>
      </c>
      <c r="B20" s="7">
        <v>2461.1</v>
      </c>
      <c r="C20" s="7">
        <v>3.6</v>
      </c>
      <c r="D20" s="7">
        <v>5.9</v>
      </c>
    </row>
    <row r="21" spans="1:4" ht="16.5" x14ac:dyDescent="0.3">
      <c r="A21" s="9" t="s">
        <v>2</v>
      </c>
      <c r="B21" s="7">
        <v>2534.9</v>
      </c>
      <c r="C21" s="7">
        <v>3</v>
      </c>
      <c r="D21" s="7">
        <v>6.5</v>
      </c>
    </row>
    <row r="22" spans="1:4" ht="16.5" x14ac:dyDescent="0.3">
      <c r="A22" s="9" t="s">
        <v>3</v>
      </c>
      <c r="B22" s="7">
        <v>2613.5</v>
      </c>
      <c r="C22" s="7">
        <v>3.1</v>
      </c>
      <c r="D22" s="7">
        <v>6</v>
      </c>
    </row>
    <row r="23" spans="1:4" ht="16.5" x14ac:dyDescent="0.3">
      <c r="A23" s="9" t="s">
        <v>4</v>
      </c>
      <c r="B23" s="7">
        <v>2678.8</v>
      </c>
      <c r="C23" s="7">
        <v>2.5</v>
      </c>
      <c r="D23" s="7">
        <v>5.8</v>
      </c>
    </row>
    <row r="24" spans="1:4" ht="16.5" x14ac:dyDescent="0.3">
      <c r="A24" s="9" t="s">
        <v>5</v>
      </c>
      <c r="B24" s="7">
        <v>2732.4</v>
      </c>
      <c r="C24" s="7">
        <v>2</v>
      </c>
      <c r="D24" s="7">
        <v>5.6</v>
      </c>
    </row>
    <row r="27" spans="1:4" x14ac:dyDescent="0.25">
      <c r="A27" s="6" t="s">
        <v>70</v>
      </c>
    </row>
  </sheetData>
  <pageMargins left="0.7" right="0.7" top="0.75" bottom="0.75" header="0.3" footer="0.3"/>
  <headerFooter>
    <oddFooter>&amp;L_x000D_&amp;1#&amp;"Calibri"&amp;11&amp;K000000 Classification: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2B61-EA1C-402A-9F43-997F185D760B}">
  <dimension ref="A1:F20"/>
  <sheetViews>
    <sheetView zoomScaleNormal="100" workbookViewId="0"/>
  </sheetViews>
  <sheetFormatPr defaultRowHeight="15" x14ac:dyDescent="0.25"/>
  <cols>
    <col min="1" max="3" width="12.7109375" customWidth="1"/>
  </cols>
  <sheetData>
    <row r="1" spans="1:6" ht="15.75" x14ac:dyDescent="0.25">
      <c r="A1" s="5" t="s">
        <v>84</v>
      </c>
    </row>
    <row r="3" spans="1:6" ht="25.5" x14ac:dyDescent="0.25">
      <c r="A3" s="4" t="s">
        <v>45</v>
      </c>
      <c r="B3" s="4" t="s">
        <v>160</v>
      </c>
      <c r="C3" s="4" t="s">
        <v>161</v>
      </c>
      <c r="E3" s="4" t="s">
        <v>86</v>
      </c>
      <c r="F3" s="4" t="s">
        <v>162</v>
      </c>
    </row>
    <row r="4" spans="1:6" ht="16.5" x14ac:dyDescent="0.3">
      <c r="A4" s="9" t="s">
        <v>11</v>
      </c>
      <c r="B4" s="8">
        <v>25.688333333333333</v>
      </c>
      <c r="C4" s="8">
        <v>23.095833333333331</v>
      </c>
      <c r="E4" s="9" t="s">
        <v>74</v>
      </c>
      <c r="F4" s="8">
        <v>30.947500000000005</v>
      </c>
    </row>
    <row r="5" spans="1:6" ht="16.5" x14ac:dyDescent="0.3">
      <c r="A5" s="9" t="s">
        <v>12</v>
      </c>
      <c r="B5" s="8">
        <v>26.276666666666667</v>
      </c>
      <c r="C5" s="8">
        <v>23.60083333333333</v>
      </c>
      <c r="E5" s="9" t="s">
        <v>75</v>
      </c>
      <c r="F5" s="8">
        <v>27.997499999999999</v>
      </c>
    </row>
    <row r="6" spans="1:6" ht="16.5" x14ac:dyDescent="0.3">
      <c r="A6" s="9" t="s">
        <v>13</v>
      </c>
      <c r="B6" s="8">
        <v>27.641666666666666</v>
      </c>
      <c r="C6" s="8">
        <v>24.22666666666667</v>
      </c>
      <c r="E6" s="9" t="s">
        <v>76</v>
      </c>
      <c r="F6" s="8">
        <v>28.844999999999999</v>
      </c>
    </row>
    <row r="7" spans="1:6" ht="16.5" x14ac:dyDescent="0.3">
      <c r="A7" s="9" t="s">
        <v>14</v>
      </c>
      <c r="B7" s="8">
        <v>28.517499999999998</v>
      </c>
      <c r="C7" s="8">
        <v>24.751666666666665</v>
      </c>
      <c r="E7" s="9" t="s">
        <v>77</v>
      </c>
      <c r="F7" s="8">
        <v>28.734999999999999</v>
      </c>
    </row>
    <row r="8" spans="1:6" ht="16.5" x14ac:dyDescent="0.3">
      <c r="A8" s="9" t="s">
        <v>15</v>
      </c>
      <c r="B8" s="8">
        <v>29.093333333333334</v>
      </c>
      <c r="C8" s="8">
        <v>25.180833333333336</v>
      </c>
      <c r="E8" s="9" t="s">
        <v>78</v>
      </c>
      <c r="F8" s="8">
        <v>32.386666666666663</v>
      </c>
    </row>
    <row r="9" spans="1:6" ht="16.5" x14ac:dyDescent="0.3">
      <c r="A9" s="9" t="s">
        <v>16</v>
      </c>
      <c r="B9" s="8">
        <v>29.93416666666667</v>
      </c>
      <c r="C9" s="8">
        <v>25.876666666666665</v>
      </c>
      <c r="E9" s="9" t="s">
        <v>79</v>
      </c>
      <c r="F9" s="8">
        <v>34.62583333333334</v>
      </c>
    </row>
    <row r="10" spans="1:6" ht="16.5" x14ac:dyDescent="0.3">
      <c r="A10" s="9" t="s">
        <v>17</v>
      </c>
      <c r="B10" s="8">
        <v>30.442499999999995</v>
      </c>
      <c r="C10" s="8">
        <v>26.407499999999995</v>
      </c>
      <c r="E10" s="9" t="s">
        <v>80</v>
      </c>
      <c r="F10" s="8">
        <v>29.523333333333326</v>
      </c>
    </row>
    <row r="11" spans="1:6" ht="16.5" x14ac:dyDescent="0.3">
      <c r="A11" s="9" t="s">
        <v>18</v>
      </c>
      <c r="B11" s="8">
        <v>30.760833333333334</v>
      </c>
      <c r="C11" s="8">
        <v>26.82083333333334</v>
      </c>
      <c r="E11" s="9" t="s">
        <v>81</v>
      </c>
      <c r="F11" s="8">
        <v>31.633333333333329</v>
      </c>
    </row>
    <row r="12" spans="1:6" ht="16.5" x14ac:dyDescent="0.3">
      <c r="A12" s="9" t="s">
        <v>19</v>
      </c>
      <c r="B12" s="8">
        <v>31.39083333333333</v>
      </c>
      <c r="C12" s="8">
        <v>27.571666666666662</v>
      </c>
      <c r="E12" s="9" t="s">
        <v>73</v>
      </c>
      <c r="F12" s="8">
        <v>34.923333333333339</v>
      </c>
    </row>
    <row r="13" spans="1:6" ht="16.5" x14ac:dyDescent="0.3">
      <c r="A13" s="9" t="s">
        <v>20</v>
      </c>
      <c r="B13" s="8">
        <v>32.015000000000001</v>
      </c>
      <c r="C13" s="8">
        <v>28.31583333333333</v>
      </c>
      <c r="E13" s="9" t="s">
        <v>82</v>
      </c>
      <c r="F13" s="8">
        <v>34.670833333333327</v>
      </c>
    </row>
    <row r="14" spans="1:6" ht="16.5" x14ac:dyDescent="0.3">
      <c r="A14" s="9" t="s">
        <v>21</v>
      </c>
      <c r="B14" s="8">
        <v>33.537500000000001</v>
      </c>
      <c r="C14" s="8">
        <v>30.0625</v>
      </c>
    </row>
    <row r="15" spans="1:6" ht="16.5" x14ac:dyDescent="0.3">
      <c r="A15" s="9" t="s">
        <v>22</v>
      </c>
      <c r="B15" s="8">
        <v>33.181666666666665</v>
      </c>
      <c r="C15" s="8">
        <v>30.665000000000003</v>
      </c>
    </row>
    <row r="16" spans="1:6" ht="16.5" x14ac:dyDescent="0.3">
      <c r="A16" s="9" t="s">
        <v>23</v>
      </c>
      <c r="B16" s="8">
        <v>33.596666666666671</v>
      </c>
      <c r="C16" s="8">
        <v>31.958333333333332</v>
      </c>
    </row>
    <row r="17" spans="1:3" ht="16.5" x14ac:dyDescent="0.3">
      <c r="A17" s="9" t="s">
        <v>83</v>
      </c>
      <c r="B17" s="8">
        <v>34.923333333333339</v>
      </c>
      <c r="C17" s="8">
        <v>33.547499999999999</v>
      </c>
    </row>
    <row r="18" spans="1:3" ht="16.5" x14ac:dyDescent="0.3">
      <c r="A18" s="9"/>
    </row>
    <row r="20" spans="1:3" x14ac:dyDescent="0.25">
      <c r="A20" s="6" t="s">
        <v>87</v>
      </c>
    </row>
  </sheetData>
  <pageMargins left="0.7" right="0.7" top="0.75" bottom="0.75" header="0.3" footer="0.3"/>
  <headerFooter>
    <oddFooter>&amp;L_x000D_&amp;1#&amp;"Calibri"&amp;11&amp;K000000 Classification: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F205-0A2E-43E8-8D66-5B127EBFE92F}">
  <dimension ref="A1:E14"/>
  <sheetViews>
    <sheetView zoomScaleNormal="100" workbookViewId="0"/>
  </sheetViews>
  <sheetFormatPr defaultRowHeight="15" x14ac:dyDescent="0.25"/>
  <cols>
    <col min="1" max="5" width="12.7109375" customWidth="1"/>
  </cols>
  <sheetData>
    <row r="1" spans="1:5" ht="15.75" x14ac:dyDescent="0.25">
      <c r="A1" s="5" t="s">
        <v>90</v>
      </c>
    </row>
    <row r="3" spans="1:5" ht="51" x14ac:dyDescent="0.25">
      <c r="A3" s="4" t="s">
        <v>45</v>
      </c>
      <c r="B3" s="4" t="s">
        <v>91</v>
      </c>
      <c r="C3" s="4" t="s">
        <v>92</v>
      </c>
      <c r="D3" s="4" t="s">
        <v>93</v>
      </c>
      <c r="E3" s="4" t="s">
        <v>127</v>
      </c>
    </row>
    <row r="4" spans="1:5" ht="16.5" x14ac:dyDescent="0.3">
      <c r="A4" s="9">
        <v>2022</v>
      </c>
      <c r="B4" s="8">
        <v>4.46</v>
      </c>
      <c r="C4" s="8">
        <v>14.18</v>
      </c>
      <c r="D4" s="8">
        <v>3.38</v>
      </c>
      <c r="E4" s="7">
        <v>22</v>
      </c>
    </row>
    <row r="5" spans="1:5" ht="16.5" x14ac:dyDescent="0.3">
      <c r="A5" s="9" t="s">
        <v>1</v>
      </c>
      <c r="B5" s="8">
        <v>3.12</v>
      </c>
      <c r="C5" s="8">
        <v>-4.24</v>
      </c>
      <c r="D5" s="8">
        <v>-2.94</v>
      </c>
      <c r="E5" s="7">
        <v>-4.0999999999999996</v>
      </c>
    </row>
    <row r="6" spans="1:5" ht="16.5" x14ac:dyDescent="0.3">
      <c r="A6" s="9" t="s">
        <v>2</v>
      </c>
      <c r="B6" s="8">
        <v>3.01</v>
      </c>
      <c r="C6" s="8">
        <v>0</v>
      </c>
      <c r="D6" s="8">
        <v>0.49</v>
      </c>
      <c r="E6" s="7">
        <v>3.5</v>
      </c>
    </row>
    <row r="7" spans="1:5" ht="16.5" x14ac:dyDescent="0.3">
      <c r="A7" s="9" t="s">
        <v>3</v>
      </c>
      <c r="B7" s="8">
        <v>2.92</v>
      </c>
      <c r="C7" s="8">
        <v>1.24</v>
      </c>
      <c r="D7" s="8">
        <v>1.95</v>
      </c>
      <c r="E7" s="7">
        <v>6.1</v>
      </c>
    </row>
    <row r="8" spans="1:5" ht="16.5" x14ac:dyDescent="0.3">
      <c r="A8" s="9" t="s">
        <v>4</v>
      </c>
      <c r="B8" s="8">
        <v>2.77</v>
      </c>
      <c r="C8" s="8">
        <v>1.1100000000000001</v>
      </c>
      <c r="D8" s="8">
        <v>1.64</v>
      </c>
      <c r="E8" s="7">
        <v>5.5</v>
      </c>
    </row>
    <row r="9" spans="1:5" ht="16.5" x14ac:dyDescent="0.3">
      <c r="A9" s="9" t="s">
        <v>5</v>
      </c>
      <c r="B9" s="8">
        <v>2.42</v>
      </c>
      <c r="C9" s="8">
        <v>0.94</v>
      </c>
      <c r="D9" s="8">
        <v>1.53</v>
      </c>
      <c r="E9" s="7">
        <v>4.9000000000000004</v>
      </c>
    </row>
    <row r="12" spans="1:5" x14ac:dyDescent="0.25">
      <c r="A12" s="6" t="s">
        <v>44</v>
      </c>
    </row>
    <row r="13" spans="1:5" x14ac:dyDescent="0.25">
      <c r="A13" s="6" t="s">
        <v>88</v>
      </c>
    </row>
    <row r="14" spans="1:5" x14ac:dyDescent="0.25">
      <c r="A14" s="6" t="s">
        <v>89</v>
      </c>
    </row>
  </sheetData>
  <pageMargins left="0.7" right="0.7" top="0.75" bottom="0.75" header="0.3" footer="0.3"/>
  <headerFooter>
    <oddFooter>&amp;L_x000D_&amp;1#&amp;"Calibri"&amp;11&amp;K000000 Classification: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F323-06B8-484C-A9CC-EFF743FE3020}">
  <dimension ref="A1:D49"/>
  <sheetViews>
    <sheetView zoomScaleNormal="100" workbookViewId="0"/>
  </sheetViews>
  <sheetFormatPr defaultRowHeight="15" x14ac:dyDescent="0.25"/>
  <cols>
    <col min="1" max="4" width="12.7109375" customWidth="1"/>
  </cols>
  <sheetData>
    <row r="1" spans="1:4" ht="15.75" x14ac:dyDescent="0.25">
      <c r="A1" s="5" t="s">
        <v>97</v>
      </c>
    </row>
    <row r="3" spans="1:4" x14ac:dyDescent="0.25">
      <c r="A3" s="4" t="s">
        <v>53</v>
      </c>
      <c r="B3" s="4" t="s">
        <v>94</v>
      </c>
      <c r="C3" s="4" t="s">
        <v>95</v>
      </c>
      <c r="D3" s="4" t="s">
        <v>96</v>
      </c>
    </row>
    <row r="4" spans="1:4" ht="16.5" x14ac:dyDescent="0.3">
      <c r="A4" s="11">
        <v>43983</v>
      </c>
      <c r="B4" s="13">
        <v>42</v>
      </c>
      <c r="C4" s="13">
        <v>10</v>
      </c>
      <c r="D4" s="13">
        <v>12</v>
      </c>
    </row>
    <row r="5" spans="1:4" ht="16.5" x14ac:dyDescent="0.3">
      <c r="A5" s="11">
        <v>44013</v>
      </c>
      <c r="B5" s="13">
        <v>46</v>
      </c>
      <c r="C5" s="13">
        <v>6</v>
      </c>
      <c r="D5" s="13">
        <v>12</v>
      </c>
    </row>
    <row r="6" spans="1:4" ht="16.5" x14ac:dyDescent="0.3">
      <c r="A6" s="11">
        <v>44044</v>
      </c>
      <c r="B6" s="13">
        <v>48</v>
      </c>
      <c r="C6" s="13">
        <v>8</v>
      </c>
      <c r="D6" s="13">
        <v>8</v>
      </c>
    </row>
    <row r="7" spans="1:4" ht="16.5" x14ac:dyDescent="0.3">
      <c r="A7" s="11">
        <v>44075</v>
      </c>
      <c r="B7" s="13">
        <v>50</v>
      </c>
      <c r="C7" s="13">
        <v>6</v>
      </c>
      <c r="D7" s="13">
        <v>8</v>
      </c>
    </row>
    <row r="8" spans="1:4" ht="16.5" x14ac:dyDescent="0.3">
      <c r="A8" s="11">
        <v>44105</v>
      </c>
      <c r="B8" s="13">
        <v>49</v>
      </c>
      <c r="C8" s="13">
        <v>7</v>
      </c>
      <c r="D8" s="13">
        <v>8</v>
      </c>
    </row>
    <row r="9" spans="1:4" ht="16.5" x14ac:dyDescent="0.3">
      <c r="A9" s="11">
        <v>44136</v>
      </c>
      <c r="B9" s="13">
        <v>50</v>
      </c>
      <c r="C9" s="13">
        <v>3</v>
      </c>
      <c r="D9" s="13">
        <v>10</v>
      </c>
    </row>
    <row r="10" spans="1:4" ht="16.5" x14ac:dyDescent="0.3">
      <c r="A10" s="11">
        <v>44166</v>
      </c>
      <c r="B10" s="13">
        <v>50</v>
      </c>
      <c r="C10" s="13">
        <v>7</v>
      </c>
      <c r="D10" s="13">
        <v>7</v>
      </c>
    </row>
    <row r="11" spans="1:4" ht="16.5" x14ac:dyDescent="0.3">
      <c r="A11" s="11">
        <v>44197</v>
      </c>
      <c r="B11" s="13">
        <v>54</v>
      </c>
      <c r="C11" s="13">
        <v>4</v>
      </c>
      <c r="D11" s="13">
        <v>6</v>
      </c>
    </row>
    <row r="12" spans="1:4" ht="16.5" x14ac:dyDescent="0.3">
      <c r="A12" s="11">
        <v>44228</v>
      </c>
      <c r="B12" s="13">
        <v>52</v>
      </c>
      <c r="C12" s="13">
        <v>4</v>
      </c>
      <c r="D12" s="13">
        <v>8</v>
      </c>
    </row>
    <row r="13" spans="1:4" ht="16.5" x14ac:dyDescent="0.3">
      <c r="A13" s="11">
        <v>44256</v>
      </c>
      <c r="B13" s="13">
        <v>50</v>
      </c>
      <c r="C13" s="13">
        <v>4</v>
      </c>
      <c r="D13" s="13">
        <v>10</v>
      </c>
    </row>
    <row r="14" spans="1:4" ht="16.5" x14ac:dyDescent="0.3">
      <c r="A14" s="11">
        <v>44287</v>
      </c>
      <c r="B14" s="13">
        <v>44</v>
      </c>
      <c r="C14" s="13">
        <v>9</v>
      </c>
      <c r="D14" s="13">
        <v>11</v>
      </c>
    </row>
    <row r="15" spans="1:4" ht="16.5" x14ac:dyDescent="0.3">
      <c r="A15" s="11">
        <v>44317</v>
      </c>
      <c r="B15" s="13">
        <v>42</v>
      </c>
      <c r="C15" s="13">
        <v>7</v>
      </c>
      <c r="D15" s="13">
        <v>15</v>
      </c>
    </row>
    <row r="16" spans="1:4" ht="16.5" x14ac:dyDescent="0.3">
      <c r="A16" s="11">
        <v>44348</v>
      </c>
      <c r="B16" s="13">
        <v>43</v>
      </c>
      <c r="C16" s="13">
        <v>5</v>
      </c>
      <c r="D16" s="13">
        <v>16</v>
      </c>
    </row>
    <row r="17" spans="1:4" ht="16.5" x14ac:dyDescent="0.3">
      <c r="A17" s="11">
        <v>44378</v>
      </c>
      <c r="B17" s="13">
        <v>40</v>
      </c>
      <c r="C17" s="13">
        <v>6</v>
      </c>
      <c r="D17" s="13">
        <v>18</v>
      </c>
    </row>
    <row r="18" spans="1:4" ht="16.5" x14ac:dyDescent="0.3">
      <c r="A18" s="11">
        <v>44409</v>
      </c>
      <c r="B18" s="13">
        <v>36</v>
      </c>
      <c r="C18" s="13">
        <v>7</v>
      </c>
      <c r="D18" s="13">
        <v>21</v>
      </c>
    </row>
    <row r="19" spans="1:4" ht="16.5" x14ac:dyDescent="0.3">
      <c r="A19" s="11">
        <v>44440</v>
      </c>
      <c r="B19" s="13">
        <v>36</v>
      </c>
      <c r="C19" s="13">
        <v>6</v>
      </c>
      <c r="D19" s="13">
        <v>22</v>
      </c>
    </row>
    <row r="20" spans="1:4" ht="16.5" x14ac:dyDescent="0.3">
      <c r="A20" s="11">
        <v>44470</v>
      </c>
      <c r="B20" s="13">
        <v>40</v>
      </c>
      <c r="C20" s="13">
        <v>5</v>
      </c>
      <c r="D20" s="13">
        <v>19</v>
      </c>
    </row>
    <row r="21" spans="1:4" ht="16.5" x14ac:dyDescent="0.3">
      <c r="A21" s="11">
        <v>44501</v>
      </c>
      <c r="B21" s="13">
        <v>34</v>
      </c>
      <c r="C21" s="13">
        <v>5</v>
      </c>
      <c r="D21" s="13">
        <v>24</v>
      </c>
    </row>
    <row r="22" spans="1:4" ht="16.5" x14ac:dyDescent="0.3">
      <c r="A22" s="11">
        <v>44531</v>
      </c>
      <c r="B22" s="13">
        <v>34</v>
      </c>
      <c r="C22" s="13">
        <v>7</v>
      </c>
      <c r="D22" s="13">
        <v>23</v>
      </c>
    </row>
    <row r="23" spans="1:4" ht="16.5" x14ac:dyDescent="0.3">
      <c r="A23" s="11">
        <v>44562</v>
      </c>
      <c r="B23" s="13">
        <v>32</v>
      </c>
      <c r="C23" s="13">
        <v>7</v>
      </c>
      <c r="D23" s="13">
        <v>25</v>
      </c>
    </row>
    <row r="24" spans="1:4" ht="16.5" x14ac:dyDescent="0.3">
      <c r="A24" s="11">
        <v>44593</v>
      </c>
      <c r="B24" s="13">
        <v>26</v>
      </c>
      <c r="C24" s="13">
        <v>8</v>
      </c>
      <c r="D24" s="13">
        <v>30</v>
      </c>
    </row>
    <row r="25" spans="1:4" ht="16.5" x14ac:dyDescent="0.3">
      <c r="A25" s="11">
        <v>44621</v>
      </c>
      <c r="B25" s="13">
        <v>24</v>
      </c>
      <c r="C25" s="13">
        <v>10</v>
      </c>
      <c r="D25" s="13">
        <v>30</v>
      </c>
    </row>
    <row r="26" spans="1:4" ht="16.5" x14ac:dyDescent="0.3">
      <c r="A26" s="11">
        <v>44652</v>
      </c>
      <c r="B26" s="13">
        <v>25</v>
      </c>
      <c r="C26" s="13">
        <v>10</v>
      </c>
      <c r="D26" s="13">
        <v>29</v>
      </c>
    </row>
    <row r="27" spans="1:4" ht="16.5" x14ac:dyDescent="0.3">
      <c r="A27" s="11">
        <v>44682</v>
      </c>
      <c r="B27" s="13">
        <v>21</v>
      </c>
      <c r="C27" s="13">
        <v>8</v>
      </c>
      <c r="D27" s="13">
        <v>35</v>
      </c>
    </row>
    <row r="28" spans="1:4" ht="16.5" x14ac:dyDescent="0.3">
      <c r="A28" s="11">
        <v>44713</v>
      </c>
      <c r="B28" s="13">
        <v>21</v>
      </c>
      <c r="C28" s="13">
        <v>11</v>
      </c>
      <c r="D28" s="13">
        <v>32</v>
      </c>
    </row>
    <row r="29" spans="1:4" ht="16.5" x14ac:dyDescent="0.3">
      <c r="A29" s="11">
        <v>44743</v>
      </c>
      <c r="B29" s="13">
        <v>18</v>
      </c>
      <c r="C29" s="13">
        <v>12</v>
      </c>
      <c r="D29" s="13">
        <v>34</v>
      </c>
    </row>
    <row r="30" spans="1:4" ht="16.5" x14ac:dyDescent="0.3">
      <c r="A30" s="11">
        <v>44774</v>
      </c>
      <c r="B30" s="13">
        <v>19</v>
      </c>
      <c r="C30" s="13">
        <v>13</v>
      </c>
      <c r="D30" s="13">
        <v>32</v>
      </c>
    </row>
    <row r="31" spans="1:4" ht="16.5" x14ac:dyDescent="0.3">
      <c r="A31" s="11">
        <v>44805</v>
      </c>
      <c r="B31" s="13">
        <v>17</v>
      </c>
      <c r="C31" s="13">
        <v>13</v>
      </c>
      <c r="D31" s="13">
        <v>34</v>
      </c>
    </row>
    <row r="32" spans="1:4" ht="16.5" x14ac:dyDescent="0.3">
      <c r="A32" s="11">
        <v>44835</v>
      </c>
      <c r="B32" s="13">
        <v>18</v>
      </c>
      <c r="C32" s="13">
        <v>11</v>
      </c>
      <c r="D32" s="13">
        <v>35</v>
      </c>
    </row>
    <row r="33" spans="1:4" ht="16.5" x14ac:dyDescent="0.3">
      <c r="A33" s="11">
        <v>44866</v>
      </c>
      <c r="B33" s="13">
        <v>14</v>
      </c>
      <c r="C33" s="13">
        <v>14</v>
      </c>
      <c r="D33" s="13">
        <v>35</v>
      </c>
    </row>
    <row r="34" spans="1:4" ht="16.5" x14ac:dyDescent="0.3">
      <c r="A34" s="11">
        <v>44896</v>
      </c>
      <c r="B34" s="13">
        <v>14</v>
      </c>
      <c r="C34" s="13">
        <v>16</v>
      </c>
      <c r="D34" s="13">
        <v>34</v>
      </c>
    </row>
    <row r="35" spans="1:4" ht="16.5" x14ac:dyDescent="0.3">
      <c r="A35" s="11">
        <v>44927</v>
      </c>
      <c r="B35" s="13">
        <v>19</v>
      </c>
      <c r="C35" s="13">
        <v>11</v>
      </c>
      <c r="D35" s="13">
        <v>34</v>
      </c>
    </row>
    <row r="36" spans="1:4" ht="16.5" x14ac:dyDescent="0.3">
      <c r="A36" s="11">
        <v>44958</v>
      </c>
      <c r="B36" s="13">
        <v>22</v>
      </c>
      <c r="C36" s="13">
        <v>11</v>
      </c>
      <c r="D36" s="13">
        <v>31</v>
      </c>
    </row>
    <row r="37" spans="1:4" ht="16.5" x14ac:dyDescent="0.3">
      <c r="A37" s="11">
        <v>44986</v>
      </c>
      <c r="B37" s="13">
        <v>21</v>
      </c>
      <c r="C37" s="13">
        <v>15</v>
      </c>
      <c r="D37" s="13">
        <v>28</v>
      </c>
    </row>
    <row r="38" spans="1:4" ht="16.5" x14ac:dyDescent="0.3">
      <c r="A38" s="11">
        <v>45017</v>
      </c>
      <c r="B38" s="13">
        <v>21</v>
      </c>
      <c r="C38" s="13">
        <v>13</v>
      </c>
      <c r="D38" s="13">
        <v>30</v>
      </c>
    </row>
    <row r="39" spans="1:4" ht="16.5" x14ac:dyDescent="0.3">
      <c r="A39" s="11">
        <v>45047</v>
      </c>
      <c r="B39" s="13">
        <v>22</v>
      </c>
      <c r="C39" s="13">
        <v>13</v>
      </c>
      <c r="D39" s="13">
        <v>29</v>
      </c>
    </row>
    <row r="40" spans="1:4" ht="16.5" x14ac:dyDescent="0.3">
      <c r="A40" s="11">
        <v>45078</v>
      </c>
      <c r="B40" s="13">
        <v>25</v>
      </c>
      <c r="C40" s="13">
        <v>9</v>
      </c>
      <c r="D40" s="13">
        <v>30</v>
      </c>
    </row>
    <row r="41" spans="1:4" ht="16.5" x14ac:dyDescent="0.3">
      <c r="A41" s="11">
        <v>45108</v>
      </c>
      <c r="B41" s="13">
        <v>26</v>
      </c>
      <c r="C41" s="13">
        <v>11</v>
      </c>
      <c r="D41" s="13">
        <v>27</v>
      </c>
    </row>
    <row r="42" spans="1:4" ht="16.5" x14ac:dyDescent="0.3">
      <c r="A42" s="11">
        <v>45139</v>
      </c>
      <c r="B42" s="13">
        <v>26</v>
      </c>
      <c r="C42" s="13">
        <v>7</v>
      </c>
      <c r="D42" s="13">
        <v>31</v>
      </c>
    </row>
    <row r="43" spans="1:4" ht="16.5" x14ac:dyDescent="0.3">
      <c r="A43" s="11">
        <v>45170</v>
      </c>
      <c r="B43" s="13">
        <v>28</v>
      </c>
      <c r="C43" s="13">
        <v>11</v>
      </c>
      <c r="D43" s="13">
        <v>25</v>
      </c>
    </row>
    <row r="44" spans="1:4" ht="16.5" x14ac:dyDescent="0.3">
      <c r="A44" s="11">
        <v>45200</v>
      </c>
      <c r="B44" s="13">
        <v>30</v>
      </c>
      <c r="C44" s="13">
        <v>20</v>
      </c>
      <c r="D44" s="13">
        <v>14</v>
      </c>
    </row>
    <row r="45" spans="1:4" ht="16.5" x14ac:dyDescent="0.3">
      <c r="A45" s="11">
        <v>45231</v>
      </c>
      <c r="B45" s="13">
        <v>34</v>
      </c>
      <c r="C45" s="13">
        <v>14</v>
      </c>
      <c r="D45" s="13">
        <v>16</v>
      </c>
    </row>
    <row r="46" spans="1:4" ht="16.5" x14ac:dyDescent="0.3">
      <c r="A46" s="11">
        <v>45261</v>
      </c>
      <c r="B46" s="13">
        <v>31</v>
      </c>
      <c r="C46" s="13">
        <v>17</v>
      </c>
      <c r="D46" s="13">
        <v>16</v>
      </c>
    </row>
    <row r="49" spans="1:1" x14ac:dyDescent="0.25">
      <c r="A49" s="6" t="s">
        <v>98</v>
      </c>
    </row>
  </sheetData>
  <pageMargins left="0.7" right="0.7" top="0.75" bottom="0.75" header="0.3" footer="0.3"/>
  <headerFooter>
    <oddFooter>&amp;L_x000D_&amp;1#&amp;"Calibri"&amp;11&amp;K000000 Classification: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BA36-E338-4587-A878-D406040F7EFE}">
  <dimension ref="A1:D187"/>
  <sheetViews>
    <sheetView zoomScaleNormal="100" workbookViewId="0"/>
  </sheetViews>
  <sheetFormatPr defaultRowHeight="15" x14ac:dyDescent="0.25"/>
  <cols>
    <col min="1" max="4" width="12.7109375" customWidth="1"/>
  </cols>
  <sheetData>
    <row r="1" spans="1:4" ht="15.75" x14ac:dyDescent="0.25">
      <c r="A1" s="5" t="s">
        <v>102</v>
      </c>
    </row>
    <row r="3" spans="1:4" ht="25.5" x14ac:dyDescent="0.25">
      <c r="A3" s="4" t="s">
        <v>53</v>
      </c>
      <c r="B3" s="4" t="s">
        <v>99</v>
      </c>
      <c r="C3" s="4" t="s">
        <v>100</v>
      </c>
      <c r="D3" s="4" t="s">
        <v>101</v>
      </c>
    </row>
    <row r="4" spans="1:4" ht="16.5" x14ac:dyDescent="0.3">
      <c r="A4" s="11">
        <v>39844</v>
      </c>
      <c r="B4" s="13" t="e">
        <v>#N/A</v>
      </c>
      <c r="C4" s="13">
        <v>1359</v>
      </c>
      <c r="D4" s="13">
        <v>6329</v>
      </c>
    </row>
    <row r="5" spans="1:4" ht="16.5" x14ac:dyDescent="0.3">
      <c r="A5" s="11">
        <v>39872</v>
      </c>
      <c r="B5" s="13" t="e">
        <v>#N/A</v>
      </c>
      <c r="C5" s="13">
        <v>1377</v>
      </c>
      <c r="D5" s="13">
        <v>6626</v>
      </c>
    </row>
    <row r="6" spans="1:4" ht="16.5" x14ac:dyDescent="0.3">
      <c r="A6" s="11">
        <v>39903</v>
      </c>
      <c r="B6" s="13" t="e">
        <v>#N/A</v>
      </c>
      <c r="C6" s="13">
        <v>1403</v>
      </c>
      <c r="D6" s="13">
        <v>7101</v>
      </c>
    </row>
    <row r="7" spans="1:4" ht="16.5" x14ac:dyDescent="0.3">
      <c r="A7" s="11">
        <v>39933</v>
      </c>
      <c r="B7" s="13" t="e">
        <v>#N/A</v>
      </c>
      <c r="C7" s="13">
        <v>1459</v>
      </c>
      <c r="D7" s="13">
        <v>7481</v>
      </c>
    </row>
    <row r="8" spans="1:4" ht="16.5" x14ac:dyDescent="0.3">
      <c r="A8" s="11">
        <v>39964</v>
      </c>
      <c r="B8" s="13" t="e">
        <v>#N/A</v>
      </c>
      <c r="C8" s="13">
        <v>1485</v>
      </c>
      <c r="D8" s="13">
        <v>7873</v>
      </c>
    </row>
    <row r="9" spans="1:4" ht="16.5" x14ac:dyDescent="0.3">
      <c r="A9" s="11">
        <v>39994</v>
      </c>
      <c r="B9" s="13" t="e">
        <v>#N/A</v>
      </c>
      <c r="C9" s="13">
        <v>1571</v>
      </c>
      <c r="D9" s="13">
        <v>8389</v>
      </c>
    </row>
    <row r="10" spans="1:4" ht="16.5" x14ac:dyDescent="0.3">
      <c r="A10" s="11">
        <v>40025</v>
      </c>
      <c r="B10" s="13" t="e">
        <v>#N/A</v>
      </c>
      <c r="C10" s="13">
        <v>1628</v>
      </c>
      <c r="D10" s="13">
        <v>8804</v>
      </c>
    </row>
    <row r="11" spans="1:4" ht="16.5" x14ac:dyDescent="0.3">
      <c r="A11" s="11">
        <v>40056</v>
      </c>
      <c r="B11" s="13">
        <v>10884</v>
      </c>
      <c r="C11" s="13">
        <v>1712</v>
      </c>
      <c r="D11" s="13">
        <v>9172</v>
      </c>
    </row>
    <row r="12" spans="1:4" ht="16.5" x14ac:dyDescent="0.3">
      <c r="A12" s="11">
        <v>40086</v>
      </c>
      <c r="B12" s="13">
        <v>11631</v>
      </c>
      <c r="C12" s="13">
        <v>1822</v>
      </c>
      <c r="D12" s="13">
        <v>9809</v>
      </c>
    </row>
    <row r="13" spans="1:4" ht="16.5" x14ac:dyDescent="0.3">
      <c r="A13" s="11">
        <v>40117</v>
      </c>
      <c r="B13" s="13">
        <v>11783</v>
      </c>
      <c r="C13" s="13">
        <v>1916</v>
      </c>
      <c r="D13" s="13">
        <v>9867</v>
      </c>
    </row>
    <row r="14" spans="1:4" ht="16.5" x14ac:dyDescent="0.3">
      <c r="A14" s="11">
        <v>40147</v>
      </c>
      <c r="B14" s="13">
        <v>11950</v>
      </c>
      <c r="C14" s="13">
        <v>1992</v>
      </c>
      <c r="D14" s="13">
        <v>9958</v>
      </c>
    </row>
    <row r="15" spans="1:4" ht="16.5" x14ac:dyDescent="0.3">
      <c r="A15" s="11">
        <v>40178</v>
      </c>
      <c r="B15" s="13">
        <v>12076</v>
      </c>
      <c r="C15" s="13">
        <v>2090</v>
      </c>
      <c r="D15" s="13">
        <v>9986</v>
      </c>
    </row>
    <row r="16" spans="1:4" ht="16.5" x14ac:dyDescent="0.3">
      <c r="A16" s="11">
        <v>40209</v>
      </c>
      <c r="B16" s="13">
        <v>12160</v>
      </c>
      <c r="C16" s="13">
        <v>2186</v>
      </c>
      <c r="D16" s="13">
        <v>9974</v>
      </c>
    </row>
    <row r="17" spans="1:4" ht="16.5" x14ac:dyDescent="0.3">
      <c r="A17" s="11">
        <v>40237</v>
      </c>
      <c r="B17" s="13">
        <v>12176</v>
      </c>
      <c r="C17" s="13">
        <v>2271</v>
      </c>
      <c r="D17" s="13">
        <v>9905</v>
      </c>
    </row>
    <row r="18" spans="1:4" ht="16.5" x14ac:dyDescent="0.3">
      <c r="A18" s="11">
        <v>40268</v>
      </c>
      <c r="B18" s="13">
        <v>12099</v>
      </c>
      <c r="C18" s="13">
        <v>2369</v>
      </c>
      <c r="D18" s="13">
        <v>9730</v>
      </c>
    </row>
    <row r="19" spans="1:4" ht="16.5" x14ac:dyDescent="0.3">
      <c r="A19" s="11">
        <v>40298</v>
      </c>
      <c r="B19" s="13">
        <v>12065</v>
      </c>
      <c r="C19" s="13">
        <v>2429</v>
      </c>
      <c r="D19" s="13">
        <v>9636</v>
      </c>
    </row>
    <row r="20" spans="1:4" ht="16.5" x14ac:dyDescent="0.3">
      <c r="A20" s="11">
        <v>40329</v>
      </c>
      <c r="B20" s="13">
        <v>11967</v>
      </c>
      <c r="C20" s="13">
        <v>2506</v>
      </c>
      <c r="D20" s="13">
        <v>9461</v>
      </c>
    </row>
    <row r="21" spans="1:4" ht="16.5" x14ac:dyDescent="0.3">
      <c r="A21" s="11">
        <v>40359</v>
      </c>
      <c r="B21" s="13">
        <v>11793</v>
      </c>
      <c r="C21" s="13">
        <v>2575</v>
      </c>
      <c r="D21" s="13">
        <v>9218</v>
      </c>
    </row>
    <row r="22" spans="1:4" ht="16.5" x14ac:dyDescent="0.3">
      <c r="A22" s="11">
        <v>40390</v>
      </c>
      <c r="B22" s="13">
        <v>11581</v>
      </c>
      <c r="C22" s="13">
        <v>2609</v>
      </c>
      <c r="D22" s="13">
        <v>8972</v>
      </c>
    </row>
    <row r="23" spans="1:4" ht="16.5" x14ac:dyDescent="0.3">
      <c r="A23" s="11">
        <v>40421</v>
      </c>
      <c r="B23" s="13">
        <v>11374</v>
      </c>
      <c r="C23" s="13">
        <v>2669</v>
      </c>
      <c r="D23" s="13">
        <v>8705</v>
      </c>
    </row>
    <row r="24" spans="1:4" ht="16.5" x14ac:dyDescent="0.3">
      <c r="A24" s="11">
        <v>40451</v>
      </c>
      <c r="B24" s="13">
        <v>10921</v>
      </c>
      <c r="C24" s="13">
        <v>2647</v>
      </c>
      <c r="D24" s="13">
        <v>8274</v>
      </c>
    </row>
    <row r="25" spans="1:4" ht="16.5" x14ac:dyDescent="0.3">
      <c r="A25" s="11">
        <v>40482</v>
      </c>
      <c r="B25" s="13">
        <v>10949</v>
      </c>
      <c r="C25" s="13">
        <v>2665</v>
      </c>
      <c r="D25" s="13">
        <v>8284</v>
      </c>
    </row>
    <row r="26" spans="1:4" ht="16.5" x14ac:dyDescent="0.3">
      <c r="A26" s="11">
        <v>40512</v>
      </c>
      <c r="B26" s="13">
        <v>10961</v>
      </c>
      <c r="C26" s="13">
        <v>2696</v>
      </c>
      <c r="D26" s="13">
        <v>8265</v>
      </c>
    </row>
    <row r="27" spans="1:4" ht="16.5" x14ac:dyDescent="0.3">
      <c r="A27" s="11">
        <v>40543</v>
      </c>
      <c r="B27" s="13">
        <v>10870</v>
      </c>
      <c r="C27" s="13">
        <v>2720</v>
      </c>
      <c r="D27" s="13">
        <v>8150</v>
      </c>
    </row>
    <row r="28" spans="1:4" ht="16.5" x14ac:dyDescent="0.3">
      <c r="A28" s="11">
        <v>40574</v>
      </c>
      <c r="B28" s="13">
        <v>10775</v>
      </c>
      <c r="C28" s="13">
        <v>2731</v>
      </c>
      <c r="D28" s="13">
        <v>8044</v>
      </c>
    </row>
    <row r="29" spans="1:4" ht="16.5" x14ac:dyDescent="0.3">
      <c r="A29" s="11">
        <v>40602</v>
      </c>
      <c r="B29" s="13">
        <v>10778</v>
      </c>
      <c r="C29" s="13">
        <v>2735</v>
      </c>
      <c r="D29" s="13">
        <v>8043</v>
      </c>
    </row>
    <row r="30" spans="1:4" ht="16.5" x14ac:dyDescent="0.3">
      <c r="A30" s="11">
        <v>40633</v>
      </c>
      <c r="B30" s="13">
        <v>10700</v>
      </c>
      <c r="C30" s="13">
        <v>2753</v>
      </c>
      <c r="D30" s="13">
        <v>7947</v>
      </c>
    </row>
    <row r="31" spans="1:4" ht="16.5" x14ac:dyDescent="0.3">
      <c r="A31" s="11">
        <v>40663</v>
      </c>
      <c r="B31" s="13">
        <v>10643</v>
      </c>
      <c r="C31" s="13">
        <v>2800</v>
      </c>
      <c r="D31" s="13">
        <v>7843</v>
      </c>
    </row>
    <row r="32" spans="1:4" ht="16.5" x14ac:dyDescent="0.3">
      <c r="A32" s="11">
        <v>40694</v>
      </c>
      <c r="B32" s="13">
        <v>10598</v>
      </c>
      <c r="C32" s="13">
        <v>2810</v>
      </c>
      <c r="D32" s="13">
        <v>7788</v>
      </c>
    </row>
    <row r="33" spans="1:4" ht="16.5" x14ac:dyDescent="0.3">
      <c r="A33" s="11">
        <v>40724</v>
      </c>
      <c r="B33" s="13">
        <v>10486</v>
      </c>
      <c r="C33" s="13">
        <v>2827</v>
      </c>
      <c r="D33" s="13">
        <v>7659</v>
      </c>
    </row>
    <row r="34" spans="1:4" ht="16.5" x14ac:dyDescent="0.3">
      <c r="A34" s="11">
        <v>40755</v>
      </c>
      <c r="B34" s="13">
        <v>10443</v>
      </c>
      <c r="C34" s="13">
        <v>2876</v>
      </c>
      <c r="D34" s="13">
        <v>7567</v>
      </c>
    </row>
    <row r="35" spans="1:4" ht="16.5" x14ac:dyDescent="0.3">
      <c r="A35" s="11">
        <v>40786</v>
      </c>
      <c r="B35" s="13">
        <v>10446</v>
      </c>
      <c r="C35" s="13">
        <v>2899</v>
      </c>
      <c r="D35" s="13">
        <v>7547</v>
      </c>
    </row>
    <row r="36" spans="1:4" ht="16.5" x14ac:dyDescent="0.3">
      <c r="A36" s="11">
        <v>40816</v>
      </c>
      <c r="B36" s="13">
        <v>10266</v>
      </c>
      <c r="C36" s="13">
        <v>2926</v>
      </c>
      <c r="D36" s="13">
        <v>7340</v>
      </c>
    </row>
    <row r="37" spans="1:4" ht="16.5" x14ac:dyDescent="0.3">
      <c r="A37" s="11">
        <v>40847</v>
      </c>
      <c r="B37" s="13">
        <v>10128</v>
      </c>
      <c r="C37" s="13">
        <v>2973</v>
      </c>
      <c r="D37" s="13">
        <v>7155</v>
      </c>
    </row>
    <row r="38" spans="1:4" ht="16.5" x14ac:dyDescent="0.3">
      <c r="A38" s="11">
        <v>40877</v>
      </c>
      <c r="B38" s="13">
        <v>10066</v>
      </c>
      <c r="C38" s="13">
        <v>3001</v>
      </c>
      <c r="D38" s="13">
        <v>7065</v>
      </c>
    </row>
    <row r="39" spans="1:4" ht="16.5" x14ac:dyDescent="0.3">
      <c r="A39" s="11">
        <v>40908</v>
      </c>
      <c r="B39" s="13">
        <v>10040</v>
      </c>
      <c r="C39" s="13">
        <v>3011</v>
      </c>
      <c r="D39" s="13">
        <v>7029</v>
      </c>
    </row>
    <row r="40" spans="1:4" ht="16.5" x14ac:dyDescent="0.3">
      <c r="A40" s="11">
        <v>40939</v>
      </c>
      <c r="B40" s="13">
        <v>10008</v>
      </c>
      <c r="C40" s="13">
        <v>3040</v>
      </c>
      <c r="D40" s="13">
        <v>6968</v>
      </c>
    </row>
    <row r="41" spans="1:4" ht="16.5" x14ac:dyDescent="0.3">
      <c r="A41" s="11">
        <v>40968</v>
      </c>
      <c r="B41" s="13">
        <v>9937</v>
      </c>
      <c r="C41" s="13">
        <v>3072</v>
      </c>
      <c r="D41" s="13">
        <v>6865</v>
      </c>
    </row>
    <row r="42" spans="1:4" ht="16.5" x14ac:dyDescent="0.3">
      <c r="A42" s="11">
        <v>40999</v>
      </c>
      <c r="B42" s="13">
        <v>9910</v>
      </c>
      <c r="C42" s="13">
        <v>3157</v>
      </c>
      <c r="D42" s="13">
        <v>6753</v>
      </c>
    </row>
    <row r="43" spans="1:4" ht="16.5" x14ac:dyDescent="0.3">
      <c r="A43" s="11">
        <v>41029</v>
      </c>
      <c r="B43" s="13">
        <v>9799</v>
      </c>
      <c r="C43" s="13">
        <v>3163</v>
      </c>
      <c r="D43" s="13">
        <v>6636</v>
      </c>
    </row>
    <row r="44" spans="1:4" ht="16.5" x14ac:dyDescent="0.3">
      <c r="A44" s="11">
        <v>41060</v>
      </c>
      <c r="B44" s="13">
        <v>9751</v>
      </c>
      <c r="C44" s="13">
        <v>3217</v>
      </c>
      <c r="D44" s="13">
        <v>6534</v>
      </c>
    </row>
    <row r="45" spans="1:4" ht="16.5" x14ac:dyDescent="0.3">
      <c r="A45" s="11">
        <v>41090</v>
      </c>
      <c r="B45" s="13">
        <v>9641</v>
      </c>
      <c r="C45" s="13">
        <v>3272</v>
      </c>
      <c r="D45" s="13">
        <v>6369</v>
      </c>
    </row>
    <row r="46" spans="1:4" ht="16.5" x14ac:dyDescent="0.3">
      <c r="A46" s="11">
        <v>41121</v>
      </c>
      <c r="B46" s="13">
        <v>9636</v>
      </c>
      <c r="C46" s="13">
        <v>3312</v>
      </c>
      <c r="D46" s="13">
        <v>6324</v>
      </c>
    </row>
    <row r="47" spans="1:4" ht="16.5" x14ac:dyDescent="0.3">
      <c r="A47" s="11">
        <v>41152</v>
      </c>
      <c r="B47" s="13">
        <v>9521</v>
      </c>
      <c r="C47" s="13">
        <v>3338</v>
      </c>
      <c r="D47" s="13">
        <v>6183</v>
      </c>
    </row>
    <row r="48" spans="1:4" ht="16.5" x14ac:dyDescent="0.3">
      <c r="A48" s="11">
        <v>41182</v>
      </c>
      <c r="B48" s="13">
        <v>9416</v>
      </c>
      <c r="C48" s="13">
        <v>3337</v>
      </c>
      <c r="D48" s="13">
        <v>6079</v>
      </c>
    </row>
    <row r="49" spans="1:4" ht="16.5" x14ac:dyDescent="0.3">
      <c r="A49" s="11">
        <v>41213</v>
      </c>
      <c r="B49" s="13">
        <v>9434</v>
      </c>
      <c r="C49" s="13">
        <v>3381</v>
      </c>
      <c r="D49" s="13">
        <v>6053</v>
      </c>
    </row>
    <row r="50" spans="1:4" ht="16.5" x14ac:dyDescent="0.3">
      <c r="A50" s="11">
        <v>41243</v>
      </c>
      <c r="B50" s="13">
        <v>9325</v>
      </c>
      <c r="C50" s="13">
        <v>3429</v>
      </c>
      <c r="D50" s="13">
        <v>5896</v>
      </c>
    </row>
    <row r="51" spans="1:4" ht="16.5" x14ac:dyDescent="0.3">
      <c r="A51" s="11">
        <v>41274</v>
      </c>
      <c r="B51" s="13">
        <v>9202</v>
      </c>
      <c r="C51" s="13">
        <v>3443</v>
      </c>
      <c r="D51" s="13">
        <v>5759</v>
      </c>
    </row>
    <row r="52" spans="1:4" ht="16.5" x14ac:dyDescent="0.3">
      <c r="A52" s="11">
        <v>41305</v>
      </c>
      <c r="B52" s="13">
        <v>9157</v>
      </c>
      <c r="C52" s="13">
        <v>3469</v>
      </c>
      <c r="D52" s="13">
        <v>5688</v>
      </c>
    </row>
    <row r="53" spans="1:4" ht="16.5" x14ac:dyDescent="0.3">
      <c r="A53" s="11">
        <v>41333</v>
      </c>
      <c r="B53" s="13">
        <v>9062</v>
      </c>
      <c r="C53" s="13">
        <v>3495</v>
      </c>
      <c r="D53" s="13">
        <v>5567</v>
      </c>
    </row>
    <row r="54" spans="1:4" ht="16.5" x14ac:dyDescent="0.3">
      <c r="A54" s="11">
        <v>41364</v>
      </c>
      <c r="B54" s="13">
        <v>8908</v>
      </c>
      <c r="C54" s="13">
        <v>3480</v>
      </c>
      <c r="D54" s="13">
        <v>5428</v>
      </c>
    </row>
    <row r="55" spans="1:4" ht="16.5" x14ac:dyDescent="0.3">
      <c r="A55" s="11">
        <v>41394</v>
      </c>
      <c r="B55" s="13">
        <v>8907</v>
      </c>
      <c r="C55" s="13">
        <v>3538</v>
      </c>
      <c r="D55" s="13">
        <v>5369</v>
      </c>
    </row>
    <row r="56" spans="1:4" ht="16.5" x14ac:dyDescent="0.3">
      <c r="A56" s="11">
        <v>41425</v>
      </c>
      <c r="B56" s="13">
        <v>8889</v>
      </c>
      <c r="C56" s="13">
        <v>3601</v>
      </c>
      <c r="D56" s="13">
        <v>5288</v>
      </c>
    </row>
    <row r="57" spans="1:4" ht="16.5" x14ac:dyDescent="0.3">
      <c r="A57" s="11">
        <v>41455</v>
      </c>
      <c r="B57" s="13">
        <v>8749</v>
      </c>
      <c r="C57" s="13">
        <v>3570</v>
      </c>
      <c r="D57" s="13">
        <v>5179</v>
      </c>
    </row>
    <row r="58" spans="1:4" ht="16.5" x14ac:dyDescent="0.3">
      <c r="A58" s="11">
        <v>41486</v>
      </c>
      <c r="B58" s="13">
        <v>8633</v>
      </c>
      <c r="C58" s="13">
        <v>3558</v>
      </c>
      <c r="D58" s="13">
        <v>5075</v>
      </c>
    </row>
    <row r="59" spans="1:4" ht="16.5" x14ac:dyDescent="0.3">
      <c r="A59" s="11">
        <v>41517</v>
      </c>
      <c r="B59" s="13">
        <v>8531</v>
      </c>
      <c r="C59" s="13">
        <v>3531</v>
      </c>
      <c r="D59" s="13">
        <v>5000</v>
      </c>
    </row>
    <row r="60" spans="1:4" ht="16.5" x14ac:dyDescent="0.3">
      <c r="A60" s="11">
        <v>41547</v>
      </c>
      <c r="B60" s="13">
        <v>8542</v>
      </c>
      <c r="C60" s="13">
        <v>3588</v>
      </c>
      <c r="D60" s="13">
        <v>4954</v>
      </c>
    </row>
    <row r="61" spans="1:4" ht="16.5" x14ac:dyDescent="0.3">
      <c r="A61" s="11">
        <v>41578</v>
      </c>
      <c r="B61" s="13">
        <v>8437</v>
      </c>
      <c r="C61" s="13">
        <v>3589</v>
      </c>
      <c r="D61" s="13">
        <v>4848</v>
      </c>
    </row>
    <row r="62" spans="1:4" ht="16.5" x14ac:dyDescent="0.3">
      <c r="A62" s="11">
        <v>41608</v>
      </c>
      <c r="B62" s="13">
        <v>8318</v>
      </c>
      <c r="C62" s="13">
        <v>3567</v>
      </c>
      <c r="D62" s="13">
        <v>4751</v>
      </c>
    </row>
    <row r="63" spans="1:4" ht="16.5" x14ac:dyDescent="0.3">
      <c r="A63" s="11">
        <v>41639</v>
      </c>
      <c r="B63" s="13">
        <v>8258</v>
      </c>
      <c r="C63" s="13">
        <v>3569</v>
      </c>
      <c r="D63" s="13">
        <v>4689</v>
      </c>
    </row>
    <row r="64" spans="1:4" ht="16.5" x14ac:dyDescent="0.3">
      <c r="A64" s="11">
        <v>41670</v>
      </c>
      <c r="B64" s="13">
        <v>8159</v>
      </c>
      <c r="C64" s="13">
        <v>3580</v>
      </c>
      <c r="D64" s="13">
        <v>4579</v>
      </c>
    </row>
    <row r="65" spans="1:4" ht="16.5" x14ac:dyDescent="0.3">
      <c r="A65" s="11">
        <v>41698</v>
      </c>
      <c r="B65" s="13">
        <v>8128</v>
      </c>
      <c r="C65" s="13">
        <v>3659</v>
      </c>
      <c r="D65" s="13">
        <v>4469</v>
      </c>
    </row>
    <row r="66" spans="1:4" ht="16.5" x14ac:dyDescent="0.3">
      <c r="A66" s="11">
        <v>41729</v>
      </c>
      <c r="B66" s="13">
        <v>8123</v>
      </c>
      <c r="C66" s="13">
        <v>3718</v>
      </c>
      <c r="D66" s="13">
        <v>4405</v>
      </c>
    </row>
    <row r="67" spans="1:4" ht="16.5" x14ac:dyDescent="0.3">
      <c r="A67" s="11">
        <v>41759</v>
      </c>
      <c r="B67" s="13">
        <v>8110</v>
      </c>
      <c r="C67" s="13">
        <v>3802</v>
      </c>
      <c r="D67" s="13">
        <v>4308</v>
      </c>
    </row>
    <row r="68" spans="1:4" ht="16.5" x14ac:dyDescent="0.3">
      <c r="A68" s="11">
        <v>41790</v>
      </c>
      <c r="B68" s="13">
        <v>8105</v>
      </c>
      <c r="C68" s="13">
        <v>3862</v>
      </c>
      <c r="D68" s="13">
        <v>4243</v>
      </c>
    </row>
    <row r="69" spans="1:4" ht="16.5" x14ac:dyDescent="0.3">
      <c r="A69" s="11">
        <v>41820</v>
      </c>
      <c r="B69" s="13">
        <v>8144</v>
      </c>
      <c r="C69" s="13">
        <v>3947</v>
      </c>
      <c r="D69" s="13">
        <v>4197</v>
      </c>
    </row>
    <row r="70" spans="1:4" ht="16.5" x14ac:dyDescent="0.3">
      <c r="A70" s="11">
        <v>41851</v>
      </c>
      <c r="B70" s="13">
        <v>8117</v>
      </c>
      <c r="C70" s="13">
        <v>4009</v>
      </c>
      <c r="D70" s="13">
        <v>4108</v>
      </c>
    </row>
    <row r="71" spans="1:4" ht="16.5" x14ac:dyDescent="0.3">
      <c r="A71" s="11">
        <v>41882</v>
      </c>
      <c r="B71" s="13">
        <v>8109</v>
      </c>
      <c r="C71" s="13">
        <v>4091</v>
      </c>
      <c r="D71" s="13">
        <v>4018</v>
      </c>
    </row>
    <row r="72" spans="1:4" ht="16.5" x14ac:dyDescent="0.3">
      <c r="A72" s="11">
        <v>41912</v>
      </c>
      <c r="B72" s="13">
        <v>8134</v>
      </c>
      <c r="C72" s="13">
        <v>4178</v>
      </c>
      <c r="D72" s="13">
        <v>3956</v>
      </c>
    </row>
    <row r="73" spans="1:4" ht="16.5" x14ac:dyDescent="0.3">
      <c r="A73" s="11">
        <v>41943</v>
      </c>
      <c r="B73" s="13">
        <v>8134</v>
      </c>
      <c r="C73" s="13">
        <v>4222</v>
      </c>
      <c r="D73" s="13">
        <v>3912</v>
      </c>
    </row>
    <row r="74" spans="1:4" ht="16.5" x14ac:dyDescent="0.3">
      <c r="A74" s="11">
        <v>41973</v>
      </c>
      <c r="B74" s="13">
        <v>8158</v>
      </c>
      <c r="C74" s="13">
        <v>4277</v>
      </c>
      <c r="D74" s="13">
        <v>3881</v>
      </c>
    </row>
    <row r="75" spans="1:4" ht="16.5" x14ac:dyDescent="0.3">
      <c r="A75" s="11">
        <v>42004</v>
      </c>
      <c r="B75" s="13">
        <v>8281</v>
      </c>
      <c r="C75" s="13">
        <v>4422</v>
      </c>
      <c r="D75" s="13">
        <v>3859</v>
      </c>
    </row>
    <row r="76" spans="1:4" ht="16.5" x14ac:dyDescent="0.3">
      <c r="A76" s="11">
        <v>42035</v>
      </c>
      <c r="B76" s="13">
        <v>8285</v>
      </c>
      <c r="C76" s="13">
        <v>4484</v>
      </c>
      <c r="D76" s="13">
        <v>3801</v>
      </c>
    </row>
    <row r="77" spans="1:4" ht="16.5" x14ac:dyDescent="0.3">
      <c r="A77" s="11">
        <v>42063</v>
      </c>
      <c r="B77" s="13">
        <v>8359</v>
      </c>
      <c r="C77" s="13">
        <v>4528</v>
      </c>
      <c r="D77" s="13">
        <v>3831</v>
      </c>
    </row>
    <row r="78" spans="1:4" ht="16.5" x14ac:dyDescent="0.3">
      <c r="A78" s="11">
        <v>42094</v>
      </c>
      <c r="B78" s="13">
        <v>8457</v>
      </c>
      <c r="C78" s="13">
        <v>4604</v>
      </c>
      <c r="D78" s="13">
        <v>3853</v>
      </c>
    </row>
    <row r="79" spans="1:4" ht="16.5" x14ac:dyDescent="0.3">
      <c r="A79" s="11">
        <v>42124</v>
      </c>
      <c r="B79" s="13">
        <v>8444</v>
      </c>
      <c r="C79" s="13">
        <v>4590</v>
      </c>
      <c r="D79" s="13">
        <v>3854</v>
      </c>
    </row>
    <row r="80" spans="1:4" ht="16.5" x14ac:dyDescent="0.3">
      <c r="A80" s="11">
        <v>42155</v>
      </c>
      <c r="B80" s="13">
        <v>8516</v>
      </c>
      <c r="C80" s="13">
        <v>4693</v>
      </c>
      <c r="D80" s="13">
        <v>3823</v>
      </c>
    </row>
    <row r="81" spans="1:4" ht="16.5" x14ac:dyDescent="0.3">
      <c r="A81" s="11">
        <v>42185</v>
      </c>
      <c r="B81" s="13">
        <v>8667</v>
      </c>
      <c r="C81" s="13">
        <v>4780</v>
      </c>
      <c r="D81" s="13">
        <v>3887</v>
      </c>
    </row>
    <row r="82" spans="1:4" ht="16.5" x14ac:dyDescent="0.3">
      <c r="A82" s="11">
        <v>42216</v>
      </c>
      <c r="B82" s="13">
        <v>8849</v>
      </c>
      <c r="C82" s="13">
        <v>4905</v>
      </c>
      <c r="D82" s="13">
        <v>3944</v>
      </c>
    </row>
    <row r="83" spans="1:4" ht="16.5" x14ac:dyDescent="0.3">
      <c r="A83" s="11">
        <v>42247</v>
      </c>
      <c r="B83" s="13">
        <v>8963</v>
      </c>
      <c r="C83" s="13">
        <v>4975</v>
      </c>
      <c r="D83" s="13">
        <v>3988</v>
      </c>
    </row>
    <row r="84" spans="1:4" ht="16.5" x14ac:dyDescent="0.3">
      <c r="A84" s="11">
        <v>42277</v>
      </c>
      <c r="B84" s="13">
        <v>9175</v>
      </c>
      <c r="C84" s="13">
        <v>5119</v>
      </c>
      <c r="D84" s="13">
        <v>4056</v>
      </c>
    </row>
    <row r="85" spans="1:4" ht="16.5" x14ac:dyDescent="0.3">
      <c r="A85" s="11">
        <v>42308</v>
      </c>
      <c r="B85" s="13">
        <v>9380</v>
      </c>
      <c r="C85" s="13">
        <v>5283</v>
      </c>
      <c r="D85" s="13">
        <v>4097</v>
      </c>
    </row>
    <row r="86" spans="1:4" ht="16.5" x14ac:dyDescent="0.3">
      <c r="A86" s="11">
        <v>42338</v>
      </c>
      <c r="B86" s="13">
        <v>9643</v>
      </c>
      <c r="C86" s="13">
        <v>5476</v>
      </c>
      <c r="D86" s="13">
        <v>4167</v>
      </c>
    </row>
    <row r="87" spans="1:4" ht="16.5" x14ac:dyDescent="0.3">
      <c r="A87" s="11">
        <v>42369</v>
      </c>
      <c r="B87" s="13">
        <v>9810</v>
      </c>
      <c r="C87" s="13">
        <v>5530</v>
      </c>
      <c r="D87" s="13">
        <v>4280</v>
      </c>
    </row>
    <row r="88" spans="1:4" ht="16.5" x14ac:dyDescent="0.3">
      <c r="A88" s="11">
        <v>42400</v>
      </c>
      <c r="B88" s="13">
        <v>10065</v>
      </c>
      <c r="C88" s="13">
        <v>5673</v>
      </c>
      <c r="D88" s="13">
        <v>4392</v>
      </c>
    </row>
    <row r="89" spans="1:4" ht="16.5" x14ac:dyDescent="0.3">
      <c r="A89" s="11">
        <v>42429</v>
      </c>
      <c r="B89" s="13">
        <v>10414</v>
      </c>
      <c r="C89" s="13">
        <v>5871</v>
      </c>
      <c r="D89" s="13">
        <v>4543</v>
      </c>
    </row>
    <row r="90" spans="1:4" ht="16.5" x14ac:dyDescent="0.3">
      <c r="A90" s="11">
        <v>42460</v>
      </c>
      <c r="B90" s="13">
        <v>10783</v>
      </c>
      <c r="C90" s="13">
        <v>6112</v>
      </c>
      <c r="D90" s="13">
        <v>4671</v>
      </c>
    </row>
    <row r="91" spans="1:4" ht="16.5" x14ac:dyDescent="0.3">
      <c r="A91" s="11">
        <v>42490</v>
      </c>
      <c r="B91" s="13">
        <v>11188</v>
      </c>
      <c r="C91" s="13">
        <v>6385</v>
      </c>
      <c r="D91" s="13">
        <v>4803</v>
      </c>
    </row>
    <row r="92" spans="1:4" ht="16.5" x14ac:dyDescent="0.3">
      <c r="A92" s="11">
        <v>42521</v>
      </c>
      <c r="B92" s="13">
        <v>11500</v>
      </c>
      <c r="C92" s="13">
        <v>6555</v>
      </c>
      <c r="D92" s="13">
        <v>4945</v>
      </c>
    </row>
    <row r="93" spans="1:4" ht="16.5" x14ac:dyDescent="0.3">
      <c r="A93" s="11">
        <v>42551</v>
      </c>
      <c r="B93" s="13">
        <v>11843</v>
      </c>
      <c r="C93" s="13">
        <v>6816</v>
      </c>
      <c r="D93" s="13">
        <v>5027</v>
      </c>
    </row>
    <row r="94" spans="1:4" ht="16.5" x14ac:dyDescent="0.3">
      <c r="A94" s="11">
        <v>42582</v>
      </c>
      <c r="B94" s="13">
        <v>12045</v>
      </c>
      <c r="C94" s="13">
        <v>6990</v>
      </c>
      <c r="D94" s="13">
        <v>5055</v>
      </c>
    </row>
    <row r="95" spans="1:4" ht="16.5" x14ac:dyDescent="0.3">
      <c r="A95" s="11">
        <v>42613</v>
      </c>
      <c r="B95" s="13">
        <v>12388</v>
      </c>
      <c r="C95" s="13">
        <v>7227</v>
      </c>
      <c r="D95" s="13">
        <v>5161</v>
      </c>
    </row>
    <row r="96" spans="1:4" ht="16.5" x14ac:dyDescent="0.3">
      <c r="A96" s="11">
        <v>42643</v>
      </c>
      <c r="B96" s="13">
        <v>12609</v>
      </c>
      <c r="C96" s="13">
        <v>7371</v>
      </c>
      <c r="D96" s="13">
        <v>5238</v>
      </c>
    </row>
    <row r="97" spans="1:4" ht="16.5" x14ac:dyDescent="0.3">
      <c r="A97" s="11">
        <v>42674</v>
      </c>
      <c r="B97" s="13">
        <v>12774</v>
      </c>
      <c r="C97" s="13">
        <v>7476</v>
      </c>
      <c r="D97" s="13">
        <v>5298</v>
      </c>
    </row>
    <row r="98" spans="1:4" ht="16.5" x14ac:dyDescent="0.3">
      <c r="A98" s="11">
        <v>42704</v>
      </c>
      <c r="B98" s="13">
        <v>13013</v>
      </c>
      <c r="C98" s="13">
        <v>7612</v>
      </c>
      <c r="D98" s="13">
        <v>5401</v>
      </c>
    </row>
    <row r="99" spans="1:4" ht="16.5" x14ac:dyDescent="0.3">
      <c r="A99" s="11">
        <v>42735</v>
      </c>
      <c r="B99" s="13">
        <v>13170</v>
      </c>
      <c r="C99" s="13">
        <v>7743</v>
      </c>
      <c r="D99" s="13">
        <v>5427</v>
      </c>
    </row>
    <row r="100" spans="1:4" ht="16.5" x14ac:dyDescent="0.3">
      <c r="A100" s="11">
        <v>42766</v>
      </c>
      <c r="B100" s="13">
        <v>13272</v>
      </c>
      <c r="C100" s="13">
        <v>7844</v>
      </c>
      <c r="D100" s="13">
        <v>5428</v>
      </c>
    </row>
    <row r="101" spans="1:4" ht="16.5" x14ac:dyDescent="0.3">
      <c r="A101" s="11">
        <v>42794</v>
      </c>
      <c r="B101" s="13">
        <v>13267</v>
      </c>
      <c r="C101" s="13">
        <v>7896</v>
      </c>
      <c r="D101" s="13">
        <v>5371</v>
      </c>
    </row>
    <row r="102" spans="1:4" ht="16.5" x14ac:dyDescent="0.3">
      <c r="A102" s="11">
        <v>42825</v>
      </c>
      <c r="B102" s="13">
        <v>13328</v>
      </c>
      <c r="C102" s="13">
        <v>7968</v>
      </c>
      <c r="D102" s="13">
        <v>5360</v>
      </c>
    </row>
    <row r="103" spans="1:4" ht="16.5" x14ac:dyDescent="0.3">
      <c r="A103" s="11">
        <v>42855</v>
      </c>
      <c r="B103" s="13">
        <v>13180</v>
      </c>
      <c r="C103" s="13">
        <v>7913</v>
      </c>
      <c r="D103" s="13">
        <v>5267</v>
      </c>
    </row>
    <row r="104" spans="1:4" ht="16.5" x14ac:dyDescent="0.3">
      <c r="A104" s="11">
        <v>42886</v>
      </c>
      <c r="B104" s="13">
        <v>13213</v>
      </c>
      <c r="C104" s="13">
        <v>7966</v>
      </c>
      <c r="D104" s="13">
        <v>5247</v>
      </c>
    </row>
    <row r="105" spans="1:4" ht="16.5" x14ac:dyDescent="0.3">
      <c r="A105" s="11">
        <v>42916</v>
      </c>
      <c r="B105" s="13">
        <v>13168</v>
      </c>
      <c r="C105" s="13">
        <v>7961</v>
      </c>
      <c r="D105" s="13">
        <v>5207</v>
      </c>
    </row>
    <row r="106" spans="1:4" ht="16.5" x14ac:dyDescent="0.3">
      <c r="A106" s="11">
        <v>42947</v>
      </c>
      <c r="B106" s="13">
        <v>13146</v>
      </c>
      <c r="C106" s="13">
        <v>7992</v>
      </c>
      <c r="D106" s="13">
        <v>5154</v>
      </c>
    </row>
    <row r="107" spans="1:4" ht="16.5" x14ac:dyDescent="0.3">
      <c r="A107" s="11">
        <v>42978</v>
      </c>
      <c r="B107" s="13">
        <v>13228</v>
      </c>
      <c r="C107" s="13">
        <v>8063</v>
      </c>
      <c r="D107" s="13">
        <v>5165</v>
      </c>
    </row>
    <row r="108" spans="1:4" ht="16.5" x14ac:dyDescent="0.3">
      <c r="A108" s="11">
        <v>43008</v>
      </c>
      <c r="B108" s="13">
        <v>13208</v>
      </c>
      <c r="C108" s="13">
        <v>8097</v>
      </c>
      <c r="D108" s="13">
        <v>5111</v>
      </c>
    </row>
    <row r="109" spans="1:4" ht="16.5" x14ac:dyDescent="0.3">
      <c r="A109" s="11">
        <v>43039</v>
      </c>
      <c r="B109" s="13">
        <v>13326</v>
      </c>
      <c r="C109" s="13">
        <v>8205</v>
      </c>
      <c r="D109" s="13">
        <v>5121</v>
      </c>
    </row>
    <row r="110" spans="1:4" ht="16.5" x14ac:dyDescent="0.3">
      <c r="A110" s="11">
        <v>43069</v>
      </c>
      <c r="B110" s="13">
        <v>13306</v>
      </c>
      <c r="C110" s="13">
        <v>8247</v>
      </c>
      <c r="D110" s="13">
        <v>5059</v>
      </c>
    </row>
    <row r="111" spans="1:4" ht="16.5" x14ac:dyDescent="0.3">
      <c r="A111" s="11">
        <v>43100</v>
      </c>
      <c r="B111" s="13">
        <v>13286</v>
      </c>
      <c r="C111" s="13">
        <v>8278</v>
      </c>
      <c r="D111" s="13">
        <v>5008</v>
      </c>
    </row>
    <row r="112" spans="1:4" ht="16.5" x14ac:dyDescent="0.3">
      <c r="A112" s="11">
        <v>43131</v>
      </c>
      <c r="B112" s="13">
        <v>13370</v>
      </c>
      <c r="C112" s="13">
        <v>8370</v>
      </c>
      <c r="D112" s="13">
        <v>5000</v>
      </c>
    </row>
    <row r="113" spans="1:4" ht="16.5" x14ac:dyDescent="0.3">
      <c r="A113" s="11">
        <v>43159</v>
      </c>
      <c r="B113" s="13">
        <v>13312</v>
      </c>
      <c r="C113" s="13">
        <v>8354</v>
      </c>
      <c r="D113" s="13">
        <v>4958</v>
      </c>
    </row>
    <row r="114" spans="1:4" ht="16.5" x14ac:dyDescent="0.3">
      <c r="A114" s="11">
        <v>43190</v>
      </c>
      <c r="B114" s="13">
        <v>13347</v>
      </c>
      <c r="C114" s="13">
        <v>8464</v>
      </c>
      <c r="D114" s="13">
        <v>4883</v>
      </c>
    </row>
    <row r="115" spans="1:4" ht="16.5" x14ac:dyDescent="0.3">
      <c r="A115" s="11">
        <v>43220</v>
      </c>
      <c r="B115" s="13">
        <v>13538</v>
      </c>
      <c r="C115" s="13">
        <v>8657</v>
      </c>
      <c r="D115" s="13">
        <v>4881</v>
      </c>
    </row>
    <row r="116" spans="1:4" ht="16.5" x14ac:dyDescent="0.3">
      <c r="A116" s="11">
        <v>43251</v>
      </c>
      <c r="B116" s="13">
        <v>13624</v>
      </c>
      <c r="C116" s="13">
        <v>8751</v>
      </c>
      <c r="D116" s="13">
        <v>4873</v>
      </c>
    </row>
    <row r="117" spans="1:4" ht="16.5" x14ac:dyDescent="0.3">
      <c r="A117" s="11">
        <v>43281</v>
      </c>
      <c r="B117" s="13">
        <v>13814</v>
      </c>
      <c r="C117" s="13">
        <v>8931</v>
      </c>
      <c r="D117" s="13">
        <v>4883</v>
      </c>
    </row>
    <row r="118" spans="1:4" ht="16.5" x14ac:dyDescent="0.3">
      <c r="A118" s="11">
        <v>43312</v>
      </c>
      <c r="B118" s="13">
        <v>13967</v>
      </c>
      <c r="C118" s="13">
        <v>8985</v>
      </c>
      <c r="D118" s="13">
        <v>4982</v>
      </c>
    </row>
    <row r="119" spans="1:4" ht="16.5" x14ac:dyDescent="0.3">
      <c r="A119" s="11">
        <v>43343</v>
      </c>
      <c r="B119" s="13">
        <v>14032</v>
      </c>
      <c r="C119" s="13">
        <v>9077</v>
      </c>
      <c r="D119" s="13">
        <v>4955</v>
      </c>
    </row>
    <row r="120" spans="1:4" ht="16.5" x14ac:dyDescent="0.3">
      <c r="A120" s="11">
        <v>43373</v>
      </c>
      <c r="B120" s="13">
        <v>14045</v>
      </c>
      <c r="C120" s="13">
        <v>9146</v>
      </c>
      <c r="D120" s="13">
        <v>4899</v>
      </c>
    </row>
    <row r="121" spans="1:4" ht="16.5" x14ac:dyDescent="0.3">
      <c r="A121" s="11">
        <v>43404</v>
      </c>
      <c r="B121" s="13">
        <v>14192</v>
      </c>
      <c r="C121" s="13">
        <v>9296</v>
      </c>
      <c r="D121" s="13">
        <v>4896</v>
      </c>
    </row>
    <row r="122" spans="1:4" ht="16.5" x14ac:dyDescent="0.3">
      <c r="A122" s="11">
        <v>43434</v>
      </c>
      <c r="B122" s="13">
        <v>14427</v>
      </c>
      <c r="C122" s="13">
        <v>9494</v>
      </c>
      <c r="D122" s="13">
        <v>4933</v>
      </c>
    </row>
    <row r="123" spans="1:4" ht="16.5" x14ac:dyDescent="0.3">
      <c r="A123" s="11">
        <v>43465</v>
      </c>
      <c r="B123" s="13">
        <v>14555</v>
      </c>
      <c r="C123" s="13">
        <v>9630</v>
      </c>
      <c r="D123" s="13">
        <v>4925</v>
      </c>
    </row>
    <row r="124" spans="1:4" ht="16.5" x14ac:dyDescent="0.3">
      <c r="A124" s="11">
        <v>43496</v>
      </c>
      <c r="B124" s="13">
        <v>14696</v>
      </c>
      <c r="C124" s="13">
        <v>9704</v>
      </c>
      <c r="D124" s="13">
        <v>4992</v>
      </c>
    </row>
    <row r="125" spans="1:4" ht="16.5" x14ac:dyDescent="0.3">
      <c r="A125" s="11">
        <v>43524</v>
      </c>
      <c r="B125" s="13">
        <v>14955</v>
      </c>
      <c r="C125" s="13">
        <v>9885</v>
      </c>
      <c r="D125" s="13">
        <v>5070</v>
      </c>
    </row>
    <row r="126" spans="1:4" ht="16.5" x14ac:dyDescent="0.3">
      <c r="A126" s="11">
        <v>43555</v>
      </c>
      <c r="B126" s="13">
        <v>15073</v>
      </c>
      <c r="C126" s="13">
        <v>9959</v>
      </c>
      <c r="D126" s="13">
        <v>5114</v>
      </c>
    </row>
    <row r="127" spans="1:4" ht="16.5" x14ac:dyDescent="0.3">
      <c r="A127" s="11">
        <v>43585</v>
      </c>
      <c r="B127" s="13">
        <v>15300</v>
      </c>
      <c r="C127" s="13">
        <v>10074</v>
      </c>
      <c r="D127" s="13">
        <v>5226</v>
      </c>
    </row>
    <row r="128" spans="1:4" ht="16.5" x14ac:dyDescent="0.3">
      <c r="A128" s="11">
        <v>43616</v>
      </c>
      <c r="B128" s="13">
        <v>15430</v>
      </c>
      <c r="C128" s="13">
        <v>10174</v>
      </c>
      <c r="D128" s="13">
        <v>5256</v>
      </c>
    </row>
    <row r="129" spans="1:4" ht="16.5" x14ac:dyDescent="0.3">
      <c r="A129" s="11">
        <v>43646</v>
      </c>
      <c r="B129" s="13">
        <v>15480</v>
      </c>
      <c r="C129" s="13">
        <v>10229</v>
      </c>
      <c r="D129" s="13">
        <v>5251</v>
      </c>
    </row>
    <row r="130" spans="1:4" ht="16.5" x14ac:dyDescent="0.3">
      <c r="A130" s="11">
        <v>43677</v>
      </c>
      <c r="B130" s="13">
        <v>15729</v>
      </c>
      <c r="C130" s="13">
        <v>10429</v>
      </c>
      <c r="D130" s="13">
        <v>5300</v>
      </c>
    </row>
    <row r="131" spans="1:4" ht="16.5" x14ac:dyDescent="0.3">
      <c r="A131" s="11">
        <v>43708</v>
      </c>
      <c r="B131" s="13">
        <v>15894</v>
      </c>
      <c r="C131" s="13">
        <v>10558</v>
      </c>
      <c r="D131" s="13">
        <v>5336</v>
      </c>
    </row>
    <row r="132" spans="1:4" ht="16.5" x14ac:dyDescent="0.3">
      <c r="A132" s="11">
        <v>43738</v>
      </c>
      <c r="B132" s="13">
        <v>16181</v>
      </c>
      <c r="C132" s="13">
        <v>10732</v>
      </c>
      <c r="D132" s="13">
        <v>5449</v>
      </c>
    </row>
    <row r="133" spans="1:4" ht="16.5" x14ac:dyDescent="0.3">
      <c r="A133" s="11">
        <v>43769</v>
      </c>
      <c r="B133" s="13">
        <v>16315</v>
      </c>
      <c r="C133" s="13">
        <v>10827</v>
      </c>
      <c r="D133" s="13">
        <v>5488</v>
      </c>
    </row>
    <row r="134" spans="1:4" ht="16.5" x14ac:dyDescent="0.3">
      <c r="A134" s="11">
        <v>43799</v>
      </c>
      <c r="B134" s="13">
        <v>16446</v>
      </c>
      <c r="C134" s="13">
        <v>10918</v>
      </c>
      <c r="D134" s="13">
        <v>5528</v>
      </c>
    </row>
    <row r="135" spans="1:4" ht="16.5" x14ac:dyDescent="0.3">
      <c r="A135" s="11">
        <v>43830</v>
      </c>
      <c r="B135" s="13">
        <v>16675</v>
      </c>
      <c r="C135" s="13">
        <v>11086</v>
      </c>
      <c r="D135" s="13">
        <v>5589</v>
      </c>
    </row>
    <row r="136" spans="1:4" ht="16.5" x14ac:dyDescent="0.3">
      <c r="A136" s="11">
        <v>43861</v>
      </c>
      <c r="B136" s="13">
        <v>16888</v>
      </c>
      <c r="C136" s="13">
        <v>11325</v>
      </c>
      <c r="D136" s="13">
        <v>5563</v>
      </c>
    </row>
    <row r="137" spans="1:4" ht="16.5" x14ac:dyDescent="0.3">
      <c r="A137" s="11">
        <v>43890</v>
      </c>
      <c r="B137" s="13">
        <v>16990</v>
      </c>
      <c r="C137" s="13">
        <v>11504</v>
      </c>
      <c r="D137" s="13">
        <v>5486</v>
      </c>
    </row>
    <row r="138" spans="1:4" ht="16.5" x14ac:dyDescent="0.3">
      <c r="A138" s="11">
        <v>43921</v>
      </c>
      <c r="B138" s="13">
        <v>17037</v>
      </c>
      <c r="C138" s="13">
        <v>11627</v>
      </c>
      <c r="D138" s="13">
        <v>5410</v>
      </c>
    </row>
    <row r="139" spans="1:4" ht="16.5" x14ac:dyDescent="0.3">
      <c r="A139" s="11">
        <v>43951</v>
      </c>
      <c r="B139" s="13">
        <v>16585</v>
      </c>
      <c r="C139" s="13">
        <v>11432</v>
      </c>
      <c r="D139" s="13">
        <v>5153</v>
      </c>
    </row>
    <row r="140" spans="1:4" ht="16.5" x14ac:dyDescent="0.3">
      <c r="A140" s="11">
        <v>43982</v>
      </c>
      <c r="B140" s="13">
        <v>16056</v>
      </c>
      <c r="C140" s="13">
        <v>11154</v>
      </c>
      <c r="D140" s="13">
        <v>4902</v>
      </c>
    </row>
    <row r="141" spans="1:4" ht="16.5" x14ac:dyDescent="0.3">
      <c r="A141" s="11">
        <v>44012</v>
      </c>
      <c r="B141" s="13">
        <v>15523</v>
      </c>
      <c r="C141" s="13">
        <v>10811</v>
      </c>
      <c r="D141" s="13">
        <v>4712</v>
      </c>
    </row>
    <row r="142" spans="1:4" ht="16.5" x14ac:dyDescent="0.3">
      <c r="A142" s="11">
        <v>44043</v>
      </c>
      <c r="B142" s="13">
        <v>14996</v>
      </c>
      <c r="C142" s="13">
        <v>10472</v>
      </c>
      <c r="D142" s="13">
        <v>4524</v>
      </c>
    </row>
    <row r="143" spans="1:4" ht="16.5" x14ac:dyDescent="0.3">
      <c r="A143" s="11">
        <v>44074</v>
      </c>
      <c r="B143" s="13">
        <v>14471</v>
      </c>
      <c r="C143" s="13">
        <v>10167</v>
      </c>
      <c r="D143" s="13">
        <v>4304</v>
      </c>
    </row>
    <row r="144" spans="1:4" ht="16.5" x14ac:dyDescent="0.3">
      <c r="A144" s="11">
        <v>44104</v>
      </c>
      <c r="B144" s="13">
        <v>14087</v>
      </c>
      <c r="C144" s="13">
        <v>9976</v>
      </c>
      <c r="D144" s="13">
        <v>4111</v>
      </c>
    </row>
    <row r="145" spans="1:4" ht="16.5" x14ac:dyDescent="0.3">
      <c r="A145" s="11">
        <v>44135</v>
      </c>
      <c r="B145" s="13">
        <v>13726</v>
      </c>
      <c r="C145" s="13">
        <v>9782</v>
      </c>
      <c r="D145" s="13">
        <v>3944</v>
      </c>
    </row>
    <row r="146" spans="1:4" ht="16.5" x14ac:dyDescent="0.3">
      <c r="A146" s="11">
        <v>44165</v>
      </c>
      <c r="B146" s="13">
        <v>13321</v>
      </c>
      <c r="C146" s="13">
        <v>9592</v>
      </c>
      <c r="D146" s="13">
        <v>3729</v>
      </c>
    </row>
    <row r="147" spans="1:4" ht="16.5" x14ac:dyDescent="0.3">
      <c r="A147" s="11">
        <v>44196</v>
      </c>
      <c r="B147" s="13">
        <v>13089</v>
      </c>
      <c r="C147" s="13">
        <v>9487</v>
      </c>
      <c r="D147" s="13">
        <v>3602</v>
      </c>
    </row>
    <row r="148" spans="1:4" ht="16.5" x14ac:dyDescent="0.3">
      <c r="A148" s="11">
        <v>44227</v>
      </c>
      <c r="B148" s="13">
        <v>12740</v>
      </c>
      <c r="C148" s="13">
        <v>9308</v>
      </c>
      <c r="D148" s="13">
        <v>3432</v>
      </c>
    </row>
    <row r="149" spans="1:4" ht="16.5" x14ac:dyDescent="0.3">
      <c r="A149" s="11">
        <v>44255</v>
      </c>
      <c r="B149" s="13">
        <v>12481</v>
      </c>
      <c r="C149" s="13">
        <v>9214</v>
      </c>
      <c r="D149" s="13">
        <v>3267</v>
      </c>
    </row>
    <row r="150" spans="1:4" ht="16.5" x14ac:dyDescent="0.3">
      <c r="A150" s="11">
        <v>44286</v>
      </c>
      <c r="B150" s="13">
        <v>12425</v>
      </c>
      <c r="C150" s="13">
        <v>9248</v>
      </c>
      <c r="D150" s="13">
        <v>3177</v>
      </c>
    </row>
    <row r="151" spans="1:4" ht="16.5" x14ac:dyDescent="0.3">
      <c r="A151" s="11">
        <v>44316</v>
      </c>
      <c r="B151" s="13">
        <v>12732</v>
      </c>
      <c r="C151" s="13">
        <v>9530</v>
      </c>
      <c r="D151" s="13">
        <v>3202</v>
      </c>
    </row>
    <row r="152" spans="1:4" ht="16.5" x14ac:dyDescent="0.3">
      <c r="A152" s="11">
        <v>44347</v>
      </c>
      <c r="B152" s="13">
        <v>13051</v>
      </c>
      <c r="C152" s="13">
        <v>9862</v>
      </c>
      <c r="D152" s="13">
        <v>3189</v>
      </c>
    </row>
    <row r="153" spans="1:4" ht="16.5" x14ac:dyDescent="0.3">
      <c r="A153" s="11">
        <v>44377</v>
      </c>
      <c r="B153" s="13">
        <v>13359</v>
      </c>
      <c r="C153" s="13">
        <v>10182</v>
      </c>
      <c r="D153" s="13">
        <v>3177</v>
      </c>
    </row>
    <row r="154" spans="1:4" ht="16.5" x14ac:dyDescent="0.3">
      <c r="A154" s="11">
        <v>44408</v>
      </c>
      <c r="B154" s="13">
        <v>13555</v>
      </c>
      <c r="C154" s="13">
        <v>10456</v>
      </c>
      <c r="D154" s="13">
        <v>3099</v>
      </c>
    </row>
    <row r="155" spans="1:4" ht="16.5" x14ac:dyDescent="0.3">
      <c r="A155" s="11">
        <v>44439</v>
      </c>
      <c r="B155" s="13">
        <v>13675</v>
      </c>
      <c r="C155" s="13">
        <v>10646</v>
      </c>
      <c r="D155" s="13">
        <v>3029</v>
      </c>
    </row>
    <row r="156" spans="1:4" ht="16.5" x14ac:dyDescent="0.3">
      <c r="A156" s="11">
        <v>44469</v>
      </c>
      <c r="B156" s="13">
        <v>13814</v>
      </c>
      <c r="C156" s="13">
        <v>10855</v>
      </c>
      <c r="D156" s="13">
        <v>2959</v>
      </c>
    </row>
    <row r="157" spans="1:4" ht="16.5" x14ac:dyDescent="0.3">
      <c r="A157" s="11">
        <v>44500</v>
      </c>
      <c r="B157" s="13">
        <v>13794</v>
      </c>
      <c r="C157" s="13">
        <v>10955</v>
      </c>
      <c r="D157" s="13">
        <v>2839</v>
      </c>
    </row>
    <row r="158" spans="1:4" ht="16.5" x14ac:dyDescent="0.3">
      <c r="A158" s="11">
        <v>44530</v>
      </c>
      <c r="B158" s="13">
        <v>13995</v>
      </c>
      <c r="C158" s="13">
        <v>11179</v>
      </c>
      <c r="D158" s="13">
        <v>2816</v>
      </c>
    </row>
    <row r="159" spans="1:4" ht="16.5" x14ac:dyDescent="0.3">
      <c r="A159" s="11">
        <v>44561</v>
      </c>
      <c r="B159" s="13">
        <v>13956</v>
      </c>
      <c r="C159" s="13">
        <v>11225</v>
      </c>
      <c r="D159" s="13">
        <v>2731</v>
      </c>
    </row>
    <row r="160" spans="1:4" ht="16.5" x14ac:dyDescent="0.3">
      <c r="A160" s="11">
        <v>44592</v>
      </c>
      <c r="B160" s="13">
        <v>13837</v>
      </c>
      <c r="C160" s="13">
        <v>11179</v>
      </c>
      <c r="D160" s="13">
        <v>2658</v>
      </c>
    </row>
    <row r="161" spans="1:4" ht="16.5" x14ac:dyDescent="0.3">
      <c r="A161" s="11">
        <v>44620</v>
      </c>
      <c r="B161" s="13">
        <v>13874</v>
      </c>
      <c r="C161" s="13">
        <v>11252</v>
      </c>
      <c r="D161" s="13">
        <v>2622</v>
      </c>
    </row>
    <row r="162" spans="1:4" ht="16.5" x14ac:dyDescent="0.3">
      <c r="A162" s="11">
        <v>44651</v>
      </c>
      <c r="B162" s="13">
        <v>13807</v>
      </c>
      <c r="C162" s="13">
        <v>11270</v>
      </c>
      <c r="D162" s="13">
        <v>2537</v>
      </c>
    </row>
    <row r="163" spans="1:4" ht="16.5" x14ac:dyDescent="0.3">
      <c r="A163" s="11">
        <v>44681</v>
      </c>
      <c r="B163" s="13">
        <v>13815</v>
      </c>
      <c r="C163" s="13">
        <v>11328</v>
      </c>
      <c r="D163" s="13">
        <v>2487</v>
      </c>
    </row>
    <row r="164" spans="1:4" ht="16.5" x14ac:dyDescent="0.3">
      <c r="A164" s="11">
        <v>44712</v>
      </c>
      <c r="B164" s="13">
        <v>13933</v>
      </c>
      <c r="C164" s="13">
        <v>11447</v>
      </c>
      <c r="D164" s="13">
        <v>2486</v>
      </c>
    </row>
    <row r="165" spans="1:4" ht="16.5" x14ac:dyDescent="0.3">
      <c r="A165" s="11">
        <v>44742</v>
      </c>
      <c r="B165" s="13">
        <v>14076</v>
      </c>
      <c r="C165" s="13">
        <v>11640</v>
      </c>
      <c r="D165" s="13">
        <v>2436</v>
      </c>
    </row>
    <row r="166" spans="1:4" ht="16.5" x14ac:dyDescent="0.3">
      <c r="A166" s="11">
        <v>44773</v>
      </c>
      <c r="B166" s="13">
        <v>14169</v>
      </c>
      <c r="C166" s="13">
        <v>11760</v>
      </c>
      <c r="D166" s="13">
        <v>2409</v>
      </c>
    </row>
    <row r="167" spans="1:4" ht="16.5" x14ac:dyDescent="0.3">
      <c r="A167" s="11">
        <v>44804</v>
      </c>
      <c r="B167" s="13">
        <v>14429</v>
      </c>
      <c r="C167" s="13">
        <v>12008</v>
      </c>
      <c r="D167" s="13">
        <v>2421</v>
      </c>
    </row>
    <row r="168" spans="1:4" ht="16.5" x14ac:dyDescent="0.3">
      <c r="A168" s="11">
        <v>44834</v>
      </c>
      <c r="B168" s="13">
        <v>14517</v>
      </c>
      <c r="C168" s="13">
        <v>12100</v>
      </c>
      <c r="D168" s="13">
        <v>2417</v>
      </c>
    </row>
    <row r="169" spans="1:4" ht="16.5" x14ac:dyDescent="0.3">
      <c r="A169" s="11">
        <v>44865</v>
      </c>
      <c r="B169" s="13">
        <v>14645</v>
      </c>
      <c r="C169" s="13">
        <v>12231</v>
      </c>
      <c r="D169" s="13">
        <v>2414</v>
      </c>
    </row>
    <row r="170" spans="1:4" ht="16.5" x14ac:dyDescent="0.3">
      <c r="A170" s="11">
        <v>44895</v>
      </c>
      <c r="B170" s="13">
        <v>14737</v>
      </c>
      <c r="C170" s="13">
        <v>12345</v>
      </c>
      <c r="D170" s="13">
        <v>2392</v>
      </c>
    </row>
    <row r="171" spans="1:4" ht="16.5" x14ac:dyDescent="0.3">
      <c r="A171" s="11">
        <v>44926</v>
      </c>
      <c r="B171" s="13">
        <v>14875</v>
      </c>
      <c r="C171" s="13">
        <v>12501</v>
      </c>
      <c r="D171" s="13">
        <v>2374</v>
      </c>
    </row>
    <row r="172" spans="1:4" ht="16.5" x14ac:dyDescent="0.3">
      <c r="A172" s="11">
        <v>44957</v>
      </c>
      <c r="B172" s="13">
        <v>15278</v>
      </c>
      <c r="C172" s="13">
        <v>12876</v>
      </c>
      <c r="D172" s="13">
        <v>2402</v>
      </c>
    </row>
    <row r="173" spans="1:4" ht="16.5" x14ac:dyDescent="0.3">
      <c r="A173" s="11">
        <v>44985</v>
      </c>
      <c r="B173" s="13">
        <v>15486</v>
      </c>
      <c r="C173" s="13">
        <v>13066</v>
      </c>
      <c r="D173" s="13">
        <v>2420</v>
      </c>
    </row>
    <row r="174" spans="1:4" ht="16.5" x14ac:dyDescent="0.3">
      <c r="A174" s="11">
        <v>45016</v>
      </c>
      <c r="B174" s="13">
        <v>15891</v>
      </c>
      <c r="C174" s="13">
        <v>13449</v>
      </c>
      <c r="D174" s="13">
        <v>2442</v>
      </c>
    </row>
    <row r="175" spans="1:4" ht="16.5" x14ac:dyDescent="0.3">
      <c r="A175" s="11">
        <v>45046</v>
      </c>
      <c r="B175" s="13">
        <v>15963</v>
      </c>
      <c r="C175" s="13">
        <v>13545</v>
      </c>
      <c r="D175" s="13">
        <v>2418</v>
      </c>
    </row>
    <row r="176" spans="1:4" ht="16.5" x14ac:dyDescent="0.3">
      <c r="A176" s="11">
        <v>45077</v>
      </c>
      <c r="B176" s="13">
        <v>16191</v>
      </c>
      <c r="C176" s="13">
        <v>13734</v>
      </c>
      <c r="D176" s="13">
        <v>2457</v>
      </c>
    </row>
    <row r="177" spans="1:4" ht="16.5" x14ac:dyDescent="0.3">
      <c r="A177" s="11">
        <v>45107</v>
      </c>
      <c r="B177" s="13">
        <v>16416</v>
      </c>
      <c r="C177" s="13">
        <v>13947</v>
      </c>
      <c r="D177" s="13">
        <v>2469</v>
      </c>
    </row>
    <row r="178" spans="1:4" ht="16.5" x14ac:dyDescent="0.3">
      <c r="A178" s="11">
        <v>45138</v>
      </c>
      <c r="B178" s="13">
        <v>16568</v>
      </c>
      <c r="C178" s="13">
        <v>14109</v>
      </c>
      <c r="D178" s="13">
        <v>2459</v>
      </c>
    </row>
    <row r="179" spans="1:4" ht="16.5" x14ac:dyDescent="0.3">
      <c r="A179" s="11">
        <v>45169</v>
      </c>
      <c r="B179" s="13">
        <v>16780</v>
      </c>
      <c r="C179" s="13">
        <v>14282</v>
      </c>
      <c r="D179" s="13">
        <v>2498</v>
      </c>
    </row>
    <row r="180" spans="1:4" ht="16.5" x14ac:dyDescent="0.3">
      <c r="A180" s="11">
        <v>45199</v>
      </c>
      <c r="B180" s="13">
        <v>17033</v>
      </c>
      <c r="C180" s="13">
        <v>14495</v>
      </c>
      <c r="D180" s="13">
        <v>2538</v>
      </c>
    </row>
    <row r="181" spans="1:4" ht="16.5" x14ac:dyDescent="0.3">
      <c r="A181" s="11">
        <v>45230</v>
      </c>
      <c r="B181" s="13">
        <v>17402</v>
      </c>
      <c r="C181" s="13">
        <v>14848</v>
      </c>
      <c r="D181" s="13">
        <v>2554</v>
      </c>
    </row>
    <row r="182" spans="1:4" ht="16.5" x14ac:dyDescent="0.3">
      <c r="A182" s="11">
        <v>45260</v>
      </c>
      <c r="B182" s="13">
        <v>17719</v>
      </c>
      <c r="C182" s="13">
        <v>15148</v>
      </c>
      <c r="D182" s="13">
        <v>2571</v>
      </c>
    </row>
    <row r="183" spans="1:4" ht="16.5" x14ac:dyDescent="0.3">
      <c r="A183" s="11">
        <v>45291</v>
      </c>
      <c r="B183" s="13">
        <v>17921</v>
      </c>
      <c r="C183" s="13">
        <v>15349</v>
      </c>
      <c r="D183" s="13">
        <v>2572</v>
      </c>
    </row>
    <row r="186" spans="1:4" x14ac:dyDescent="0.25">
      <c r="A186" s="6" t="s">
        <v>103</v>
      </c>
    </row>
    <row r="187" spans="1:4" x14ac:dyDescent="0.25">
      <c r="A187" s="6" t="s">
        <v>104</v>
      </c>
    </row>
  </sheetData>
  <pageMargins left="0.7" right="0.7" top="0.75" bottom="0.75" header="0.3" footer="0.3"/>
  <headerFooter>
    <oddFooter>&amp;L_x000D_&amp;1#&amp;"Calibri"&amp;11&amp;K000000 Classification: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71A8-7906-41B2-9D55-8B74B4F6B0F5}">
  <dimension ref="A1:C27"/>
  <sheetViews>
    <sheetView zoomScaleNormal="100" workbookViewId="0"/>
  </sheetViews>
  <sheetFormatPr defaultRowHeight="15" x14ac:dyDescent="0.25"/>
  <cols>
    <col min="1" max="3" width="12.7109375" customWidth="1"/>
  </cols>
  <sheetData>
    <row r="1" spans="1:3" ht="15.75" x14ac:dyDescent="0.25">
      <c r="A1" s="5" t="s">
        <v>106</v>
      </c>
    </row>
    <row r="3" spans="1:3" ht="63.75" x14ac:dyDescent="0.25">
      <c r="A3" s="4" t="s">
        <v>45</v>
      </c>
      <c r="B3" s="4" t="s">
        <v>105</v>
      </c>
      <c r="C3" s="4" t="s">
        <v>163</v>
      </c>
    </row>
    <row r="4" spans="1:3" ht="16.5" x14ac:dyDescent="0.3">
      <c r="A4" s="9" t="s">
        <v>8</v>
      </c>
      <c r="B4" s="16">
        <v>34.231999999999999</v>
      </c>
      <c r="C4" s="7">
        <v>3.86</v>
      </c>
    </row>
    <row r="5" spans="1:3" ht="16.5" x14ac:dyDescent="0.3">
      <c r="A5" s="9" t="s">
        <v>9</v>
      </c>
      <c r="B5" s="16">
        <v>34.33</v>
      </c>
      <c r="C5" s="7">
        <v>0.28999999999999998</v>
      </c>
    </row>
    <row r="6" spans="1:3" ht="16.5" x14ac:dyDescent="0.3">
      <c r="A6" s="9" t="s">
        <v>10</v>
      </c>
      <c r="B6" s="16">
        <v>33.128</v>
      </c>
      <c r="C6" s="7">
        <v>-3.5</v>
      </c>
    </row>
    <row r="7" spans="1:3" ht="16.5" x14ac:dyDescent="0.3">
      <c r="A7" s="9" t="s">
        <v>11</v>
      </c>
      <c r="B7" s="16">
        <v>34.01</v>
      </c>
      <c r="C7" s="7">
        <v>2.66</v>
      </c>
    </row>
    <row r="8" spans="1:3" ht="16.5" x14ac:dyDescent="0.3">
      <c r="A8" s="9" t="s">
        <v>12</v>
      </c>
      <c r="B8" s="16">
        <v>34.866</v>
      </c>
      <c r="C8" s="7">
        <v>2.52</v>
      </c>
    </row>
    <row r="9" spans="1:3" ht="16.5" x14ac:dyDescent="0.3">
      <c r="A9" s="9" t="s">
        <v>13</v>
      </c>
      <c r="B9" s="16">
        <v>35.529000000000003</v>
      </c>
      <c r="C9" s="7">
        <v>1.9</v>
      </c>
    </row>
    <row r="10" spans="1:3" ht="16.5" x14ac:dyDescent="0.3">
      <c r="A10" s="9" t="s">
        <v>14</v>
      </c>
      <c r="B10" s="16">
        <v>36.286999999999999</v>
      </c>
      <c r="C10" s="7">
        <v>2.13</v>
      </c>
    </row>
    <row r="11" spans="1:3" ht="16.5" x14ac:dyDescent="0.3">
      <c r="A11" s="9" t="s">
        <v>15</v>
      </c>
      <c r="B11" s="16">
        <v>36.704999999999998</v>
      </c>
      <c r="C11" s="7">
        <v>1.1499999999999999</v>
      </c>
    </row>
    <row r="12" spans="1:3" ht="16.5" x14ac:dyDescent="0.3">
      <c r="A12" s="9" t="s">
        <v>16</v>
      </c>
      <c r="B12" s="16">
        <v>36.277000000000001</v>
      </c>
      <c r="C12" s="7">
        <v>-1.17</v>
      </c>
    </row>
    <row r="13" spans="1:3" ht="16.5" x14ac:dyDescent="0.3">
      <c r="A13" s="9" t="s">
        <v>17</v>
      </c>
      <c r="B13" s="16">
        <v>35.759</v>
      </c>
      <c r="C13" s="7">
        <v>-1.43</v>
      </c>
    </row>
    <row r="14" spans="1:3" ht="16.5" x14ac:dyDescent="0.3">
      <c r="A14" s="9" t="s">
        <v>18</v>
      </c>
      <c r="B14" s="16">
        <v>36.427999999999997</v>
      </c>
      <c r="C14" s="7">
        <v>1.87</v>
      </c>
    </row>
    <row r="15" spans="1:3" ht="16.5" x14ac:dyDescent="0.3">
      <c r="A15" s="9" t="s">
        <v>19</v>
      </c>
      <c r="B15" s="16">
        <v>36.603999999999999</v>
      </c>
      <c r="C15" s="7">
        <v>0.48</v>
      </c>
    </row>
    <row r="16" spans="1:3" ht="16.5" x14ac:dyDescent="0.3">
      <c r="A16" s="9" t="s">
        <v>20</v>
      </c>
      <c r="B16" s="16">
        <v>36.22</v>
      </c>
      <c r="C16" s="7">
        <v>-1.05</v>
      </c>
    </row>
    <row r="17" spans="1:3" ht="16.5" x14ac:dyDescent="0.3">
      <c r="A17" s="9" t="s">
        <v>21</v>
      </c>
      <c r="B17" s="16">
        <v>33.460999999999999</v>
      </c>
      <c r="C17" s="7">
        <v>-7.62</v>
      </c>
    </row>
    <row r="18" spans="1:3" ht="16.5" x14ac:dyDescent="0.3">
      <c r="A18" s="9" t="s">
        <v>22</v>
      </c>
      <c r="B18" s="16">
        <v>34.835999999999999</v>
      </c>
      <c r="C18" s="7">
        <v>4.1100000000000003</v>
      </c>
    </row>
    <row r="19" spans="1:3" ht="16.5" x14ac:dyDescent="0.3">
      <c r="A19" s="9" t="s">
        <v>23</v>
      </c>
      <c r="B19" s="16">
        <v>35.381</v>
      </c>
      <c r="C19" s="7">
        <v>1.57</v>
      </c>
    </row>
    <row r="20" spans="1:3" ht="16.5" x14ac:dyDescent="0.3">
      <c r="A20" s="9" t="s">
        <v>1</v>
      </c>
      <c r="B20" s="16">
        <v>35.185000000000002</v>
      </c>
      <c r="C20" s="7">
        <v>-0.56000000000000005</v>
      </c>
    </row>
    <row r="21" spans="1:3" ht="16.5" x14ac:dyDescent="0.3">
      <c r="A21" s="9" t="s">
        <v>2</v>
      </c>
      <c r="B21" s="16">
        <v>35.058999999999997</v>
      </c>
      <c r="C21" s="7">
        <v>-0.36</v>
      </c>
    </row>
    <row r="22" spans="1:3" ht="16.5" x14ac:dyDescent="0.3">
      <c r="A22" s="9" t="s">
        <v>3</v>
      </c>
      <c r="B22" s="16">
        <v>35.35</v>
      </c>
      <c r="C22" s="7">
        <v>0.83</v>
      </c>
    </row>
    <row r="23" spans="1:3" ht="16.5" x14ac:dyDescent="0.3">
      <c r="A23" s="9" t="s">
        <v>4</v>
      </c>
      <c r="B23" s="16">
        <v>35.668999999999997</v>
      </c>
      <c r="C23" s="7">
        <v>0.9</v>
      </c>
    </row>
    <row r="24" spans="1:3" ht="16.5" x14ac:dyDescent="0.3">
      <c r="A24" s="9" t="s">
        <v>5</v>
      </c>
      <c r="B24" s="16">
        <v>36.085000000000001</v>
      </c>
      <c r="C24" s="7">
        <v>1.17</v>
      </c>
    </row>
    <row r="27" spans="1:3" x14ac:dyDescent="0.25">
      <c r="A27" s="6" t="s">
        <v>47</v>
      </c>
    </row>
  </sheetData>
  <pageMargins left="0.7" right="0.7" top="0.75" bottom="0.75" header="0.3" footer="0.3"/>
  <headerFooter>
    <oddFooter>&amp;L_x000D_&amp;1#&amp;"Calibri"&amp;11&amp;K000000 Classification: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F72B-0E35-460D-BD3C-77804A39F796}">
  <dimension ref="A1:E35"/>
  <sheetViews>
    <sheetView showGridLines="0" zoomScaleNormal="100" workbookViewId="0"/>
  </sheetViews>
  <sheetFormatPr defaultColWidth="8.85546875" defaultRowHeight="15" x14ac:dyDescent="0.25"/>
  <cols>
    <col min="1" max="1" width="34.42578125" customWidth="1"/>
    <col min="2" max="5" width="9.5703125" customWidth="1"/>
  </cols>
  <sheetData>
    <row r="1" spans="1:5" ht="20.25" x14ac:dyDescent="0.3">
      <c r="A1" s="68" t="s">
        <v>202</v>
      </c>
      <c r="B1" s="69"/>
      <c r="C1" s="70"/>
      <c r="D1" s="70"/>
      <c r="E1" s="26"/>
    </row>
    <row r="2" spans="1:5" x14ac:dyDescent="0.25">
      <c r="A2" s="71"/>
      <c r="B2" s="30"/>
      <c r="C2" s="30"/>
      <c r="D2" s="30"/>
      <c r="E2" s="30"/>
    </row>
    <row r="3" spans="1:5" x14ac:dyDescent="0.25">
      <c r="A3" s="72" t="s">
        <v>203</v>
      </c>
      <c r="B3" s="73" t="s">
        <v>171</v>
      </c>
      <c r="C3" s="73" t="s">
        <v>172</v>
      </c>
      <c r="D3" s="73" t="s">
        <v>204</v>
      </c>
      <c r="E3" s="29"/>
    </row>
    <row r="4" spans="1:5" x14ac:dyDescent="0.25">
      <c r="A4" s="74" t="s">
        <v>176</v>
      </c>
      <c r="B4" s="37"/>
      <c r="C4" s="37"/>
      <c r="D4" s="37"/>
      <c r="E4" s="29"/>
    </row>
    <row r="5" spans="1:5" x14ac:dyDescent="0.25">
      <c r="A5" s="41" t="s">
        <v>205</v>
      </c>
      <c r="B5" s="75">
        <v>74</v>
      </c>
      <c r="C5" s="75">
        <v>74</v>
      </c>
      <c r="D5" s="75">
        <v>74</v>
      </c>
      <c r="E5" s="29"/>
    </row>
    <row r="6" spans="1:5" x14ac:dyDescent="0.25">
      <c r="A6" s="76" t="s">
        <v>206</v>
      </c>
      <c r="B6" s="75">
        <v>87</v>
      </c>
      <c r="C6" s="75">
        <v>87.5</v>
      </c>
      <c r="D6" s="75">
        <v>91</v>
      </c>
      <c r="E6" s="29"/>
    </row>
    <row r="7" spans="1:5" x14ac:dyDescent="0.25">
      <c r="A7" s="76" t="s">
        <v>207</v>
      </c>
      <c r="B7" s="75">
        <v>57.5</v>
      </c>
      <c r="C7" s="75">
        <v>64.5</v>
      </c>
      <c r="D7" s="75">
        <v>67</v>
      </c>
      <c r="E7" s="29"/>
    </row>
    <row r="8" spans="1:5" x14ac:dyDescent="0.25">
      <c r="A8" s="74" t="s">
        <v>177</v>
      </c>
      <c r="B8" s="77"/>
      <c r="C8" s="77"/>
      <c r="D8" s="77"/>
      <c r="E8" s="29"/>
    </row>
    <row r="9" spans="1:5" x14ac:dyDescent="0.25">
      <c r="A9" s="41" t="s">
        <v>205</v>
      </c>
      <c r="B9" s="75">
        <v>16</v>
      </c>
      <c r="C9" s="75">
        <v>14.9</v>
      </c>
      <c r="D9" s="75">
        <v>13.6</v>
      </c>
      <c r="E9" s="29"/>
    </row>
    <row r="10" spans="1:5" x14ac:dyDescent="0.25">
      <c r="A10" s="76" t="s">
        <v>206</v>
      </c>
      <c r="B10" s="75">
        <v>16.899999999999999</v>
      </c>
      <c r="C10" s="75">
        <v>16.600000000000001</v>
      </c>
      <c r="D10" s="75">
        <v>15.6</v>
      </c>
      <c r="E10" s="29"/>
    </row>
    <row r="11" spans="1:5" x14ac:dyDescent="0.25">
      <c r="A11" s="76" t="s">
        <v>207</v>
      </c>
      <c r="B11" s="75">
        <v>14.5</v>
      </c>
      <c r="C11" s="75">
        <v>14.1</v>
      </c>
      <c r="D11" s="75">
        <v>13.2</v>
      </c>
      <c r="E11" s="29"/>
    </row>
    <row r="12" spans="1:5" x14ac:dyDescent="0.25">
      <c r="A12" s="74" t="s">
        <v>208</v>
      </c>
      <c r="B12" s="77"/>
      <c r="C12" s="77"/>
      <c r="D12" s="77"/>
      <c r="E12" s="29"/>
    </row>
    <row r="13" spans="1:5" x14ac:dyDescent="0.25">
      <c r="A13" s="41" t="s">
        <v>205</v>
      </c>
      <c r="B13" s="78">
        <v>75.850977548207482</v>
      </c>
      <c r="C13" s="78">
        <v>78.074712824484408</v>
      </c>
      <c r="D13" s="78">
        <v>79.704481151139248</v>
      </c>
      <c r="E13" s="29"/>
    </row>
    <row r="14" spans="1:5" x14ac:dyDescent="0.25">
      <c r="A14" s="76" t="s">
        <v>206</v>
      </c>
      <c r="B14" s="78">
        <v>77.476370988279797</v>
      </c>
      <c r="C14" s="78">
        <v>80.13290049727911</v>
      </c>
      <c r="D14" s="78">
        <v>81.79357659086341</v>
      </c>
      <c r="E14" s="29"/>
    </row>
    <row r="15" spans="1:5" x14ac:dyDescent="0.25">
      <c r="A15" s="76" t="s">
        <v>207</v>
      </c>
      <c r="B15" s="78">
        <v>72.770662890806221</v>
      </c>
      <c r="C15" s="78">
        <v>76.642815313590788</v>
      </c>
      <c r="D15" s="78">
        <v>78.364382330354289</v>
      </c>
      <c r="E15" s="29"/>
    </row>
    <row r="16" spans="1:5" x14ac:dyDescent="0.25">
      <c r="A16" s="74" t="s">
        <v>209</v>
      </c>
      <c r="B16" s="79"/>
      <c r="C16" s="79"/>
      <c r="D16" s="79"/>
      <c r="E16" s="29"/>
    </row>
    <row r="17" spans="1:5" x14ac:dyDescent="0.25">
      <c r="A17" s="41" t="s">
        <v>205</v>
      </c>
      <c r="B17" s="78">
        <v>43.140407957673439</v>
      </c>
      <c r="C17" s="78">
        <v>44.711005991766491</v>
      </c>
      <c r="D17" s="78">
        <v>46.159090674869709</v>
      </c>
      <c r="E17" s="78"/>
    </row>
    <row r="18" spans="1:5" x14ac:dyDescent="0.25">
      <c r="A18" s="55" t="s">
        <v>210</v>
      </c>
      <c r="B18" s="79"/>
      <c r="C18" s="79"/>
      <c r="D18" s="79"/>
      <c r="E18" s="29"/>
    </row>
    <row r="19" spans="1:5" x14ac:dyDescent="0.25">
      <c r="A19" s="76" t="s">
        <v>206</v>
      </c>
      <c r="B19" s="78">
        <v>7.4229829492085244</v>
      </c>
      <c r="C19" s="78">
        <v>9.0239778949516474</v>
      </c>
      <c r="D19" s="78">
        <v>11.486224847686708</v>
      </c>
      <c r="E19" s="78"/>
    </row>
    <row r="20" spans="1:5" x14ac:dyDescent="0.25">
      <c r="A20" s="76" t="s">
        <v>207</v>
      </c>
      <c r="B20" s="78">
        <v>-8.6088325027894399</v>
      </c>
      <c r="C20" s="78">
        <v>-7.6870360102763886</v>
      </c>
      <c r="D20" s="78">
        <v>-6.7920970853441096</v>
      </c>
      <c r="E20" s="78"/>
    </row>
    <row r="21" spans="1:5" x14ac:dyDescent="0.25">
      <c r="A21" s="72" t="s">
        <v>211</v>
      </c>
      <c r="B21" s="73">
        <v>2024</v>
      </c>
      <c r="C21" s="73">
        <v>2025</v>
      </c>
      <c r="D21" s="73">
        <v>2026</v>
      </c>
      <c r="E21" s="73">
        <v>2027</v>
      </c>
    </row>
    <row r="22" spans="1:5" x14ac:dyDescent="0.25">
      <c r="A22" s="74" t="s">
        <v>212</v>
      </c>
      <c r="B22" s="80"/>
      <c r="C22" s="80"/>
      <c r="D22" s="80"/>
      <c r="E22" s="80"/>
    </row>
    <row r="23" spans="1:5" x14ac:dyDescent="0.25">
      <c r="A23" s="41" t="s">
        <v>205</v>
      </c>
      <c r="B23" s="81">
        <v>2.9</v>
      </c>
      <c r="C23" s="81">
        <v>3.3</v>
      </c>
      <c r="D23" s="81">
        <v>2.8</v>
      </c>
      <c r="E23" s="81">
        <v>2.6</v>
      </c>
    </row>
    <row r="24" spans="1:5" x14ac:dyDescent="0.25">
      <c r="A24" s="76" t="s">
        <v>206</v>
      </c>
      <c r="B24" s="78">
        <v>4.3</v>
      </c>
      <c r="C24" s="78">
        <v>4.2</v>
      </c>
      <c r="D24" s="78">
        <v>3.8</v>
      </c>
      <c r="E24" s="78">
        <v>3</v>
      </c>
    </row>
    <row r="25" spans="1:5" x14ac:dyDescent="0.25">
      <c r="A25" s="76" t="s">
        <v>207</v>
      </c>
      <c r="B25" s="78">
        <v>1.5</v>
      </c>
      <c r="C25" s="78">
        <v>2.2000000000000002</v>
      </c>
      <c r="D25" s="78">
        <v>1.9</v>
      </c>
      <c r="E25" s="78">
        <v>2.2000000000000002</v>
      </c>
    </row>
    <row r="26" spans="1:5" x14ac:dyDescent="0.25">
      <c r="A26" s="74" t="s">
        <v>213</v>
      </c>
      <c r="B26" s="82"/>
      <c r="C26" s="82"/>
      <c r="D26" s="82"/>
      <c r="E26" s="82"/>
    </row>
    <row r="27" spans="1:5" x14ac:dyDescent="0.25">
      <c r="A27" s="41" t="s">
        <v>205</v>
      </c>
      <c r="B27" s="81">
        <v>3.5</v>
      </c>
      <c r="C27" s="81">
        <v>6.1</v>
      </c>
      <c r="D27" s="81">
        <v>5.5</v>
      </c>
      <c r="E27" s="81">
        <v>4.9000000000000004</v>
      </c>
    </row>
    <row r="28" spans="1:5" x14ac:dyDescent="0.25">
      <c r="A28" s="76" t="s">
        <v>206</v>
      </c>
      <c r="B28" s="78">
        <v>8.6</v>
      </c>
      <c r="C28" s="78">
        <v>6.4</v>
      </c>
      <c r="D28" s="78">
        <v>8.1</v>
      </c>
      <c r="E28" s="78">
        <v>5.6</v>
      </c>
    </row>
    <row r="29" spans="1:5" x14ac:dyDescent="0.25">
      <c r="A29" s="76" t="s">
        <v>207</v>
      </c>
      <c r="B29" s="78">
        <v>-3</v>
      </c>
      <c r="C29" s="78">
        <v>6.4</v>
      </c>
      <c r="D29" s="78">
        <v>5.3</v>
      </c>
      <c r="E29" s="78">
        <v>4.7</v>
      </c>
    </row>
    <row r="30" spans="1:5" x14ac:dyDescent="0.25">
      <c r="A30" s="74" t="s">
        <v>71</v>
      </c>
      <c r="B30" s="83"/>
      <c r="C30" s="83"/>
      <c r="D30" s="83"/>
      <c r="E30" s="83"/>
    </row>
    <row r="31" spans="1:5" x14ac:dyDescent="0.25">
      <c r="A31" s="41" t="s">
        <v>205</v>
      </c>
      <c r="B31" s="84">
        <v>2534.9</v>
      </c>
      <c r="C31" s="84">
        <v>2613.5</v>
      </c>
      <c r="D31" s="84">
        <v>2678.8</v>
      </c>
      <c r="E31" s="84">
        <v>2732.4</v>
      </c>
    </row>
    <row r="32" spans="1:5" x14ac:dyDescent="0.25">
      <c r="A32" s="76" t="s">
        <v>206</v>
      </c>
      <c r="B32" s="84">
        <v>2554.1</v>
      </c>
      <c r="C32" s="84">
        <v>2651.5</v>
      </c>
      <c r="D32" s="84">
        <v>2734.2</v>
      </c>
      <c r="E32" s="84">
        <v>2797.8</v>
      </c>
    </row>
    <row r="33" spans="1:5" x14ac:dyDescent="0.25">
      <c r="A33" s="76" t="s">
        <v>207</v>
      </c>
      <c r="B33" s="84">
        <v>2516.8000000000002</v>
      </c>
      <c r="C33" s="84">
        <v>2571.3000000000002</v>
      </c>
      <c r="D33" s="84">
        <v>2617.4</v>
      </c>
      <c r="E33" s="84">
        <v>2659.8</v>
      </c>
    </row>
    <row r="35" spans="1:5" x14ac:dyDescent="0.25">
      <c r="B35" s="14"/>
      <c r="C35" s="14"/>
      <c r="D35" s="14"/>
      <c r="E35" s="14"/>
    </row>
  </sheetData>
  <pageMargins left="0.7" right="0.7" top="0.75" bottom="0.75" header="0.3" footer="0.3"/>
  <pageSetup orientation="portrait" r:id="rId1"/>
  <headerFooter>
    <oddFooter>&amp;L_x000D_&amp;1#&amp;"Calibri"&amp;11&amp;K000000 Classification: Public</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F3E2-EF99-46BE-9A47-A8B0B1AD9540}">
  <dimension ref="A1:E73"/>
  <sheetViews>
    <sheetView zoomScaleNormal="100" workbookViewId="0"/>
  </sheetViews>
  <sheetFormatPr defaultRowHeight="15" x14ac:dyDescent="0.25"/>
  <cols>
    <col min="1" max="1" width="50.7109375" style="91" customWidth="1"/>
    <col min="2" max="3" width="9.7109375" style="90" customWidth="1"/>
    <col min="4" max="5" width="9.7109375" style="91" customWidth="1"/>
    <col min="6" max="16384" width="9.140625" style="12"/>
  </cols>
  <sheetData>
    <row r="1" spans="1:5" ht="15.75" x14ac:dyDescent="0.25">
      <c r="A1" s="24" t="s">
        <v>214</v>
      </c>
    </row>
    <row r="2" spans="1:5" x14ac:dyDescent="0.25">
      <c r="A2" s="34" t="s">
        <v>215</v>
      </c>
      <c r="B2" s="92"/>
      <c r="C2" s="92"/>
      <c r="D2" s="93"/>
      <c r="E2" s="93"/>
    </row>
    <row r="3" spans="1:5" x14ac:dyDescent="0.25">
      <c r="A3" s="94" t="s">
        <v>216</v>
      </c>
      <c r="B3" s="95">
        <v>2024</v>
      </c>
      <c r="C3" s="95">
        <v>2025</v>
      </c>
      <c r="D3" s="95">
        <v>2026</v>
      </c>
      <c r="E3" s="95">
        <v>2027</v>
      </c>
    </row>
    <row r="4" spans="1:5" x14ac:dyDescent="0.25">
      <c r="A4" s="47" t="s">
        <v>217</v>
      </c>
      <c r="B4" s="93"/>
      <c r="C4" s="93"/>
      <c r="D4" s="93"/>
      <c r="E4" s="93"/>
    </row>
    <row r="5" spans="1:5" x14ac:dyDescent="0.25">
      <c r="A5" s="36" t="s">
        <v>218</v>
      </c>
      <c r="B5" s="89">
        <v>78.966666650000008</v>
      </c>
      <c r="C5" s="89">
        <v>77.481250000000003</v>
      </c>
      <c r="D5" s="89">
        <v>76.856250000000003</v>
      </c>
      <c r="E5" s="89">
        <v>78.337500000000006</v>
      </c>
    </row>
    <row r="6" spans="1:5" x14ac:dyDescent="0.25">
      <c r="A6" s="36" t="s">
        <v>219</v>
      </c>
      <c r="B6" s="89">
        <v>73.5</v>
      </c>
      <c r="C6" s="89">
        <v>74.680000000000007</v>
      </c>
      <c r="D6" s="89">
        <v>75.650000000000006</v>
      </c>
      <c r="E6" s="89">
        <v>76.52</v>
      </c>
    </row>
    <row r="7" spans="1:5" x14ac:dyDescent="0.25">
      <c r="A7" s="60" t="s">
        <v>220</v>
      </c>
      <c r="B7" s="89"/>
      <c r="C7" s="89"/>
      <c r="D7" s="89"/>
      <c r="E7" s="89"/>
    </row>
    <row r="8" spans="1:5" x14ac:dyDescent="0.25">
      <c r="A8" s="36" t="s">
        <v>221</v>
      </c>
      <c r="B8" s="89" t="s">
        <v>222</v>
      </c>
      <c r="C8" s="89" t="s">
        <v>222</v>
      </c>
      <c r="D8" s="89" t="s">
        <v>222</v>
      </c>
      <c r="E8" s="89" t="s">
        <v>222</v>
      </c>
    </row>
    <row r="9" spans="1:5" x14ac:dyDescent="0.25">
      <c r="A9" s="36" t="s">
        <v>223</v>
      </c>
      <c r="B9" s="89">
        <v>72</v>
      </c>
      <c r="C9" s="89">
        <v>71.400000000000006</v>
      </c>
      <c r="D9" s="89">
        <v>70.75</v>
      </c>
      <c r="E9" s="89">
        <v>72.150000000000006</v>
      </c>
    </row>
    <row r="10" spans="1:5" x14ac:dyDescent="0.25">
      <c r="A10" s="36" t="s">
        <v>224</v>
      </c>
      <c r="B10" s="89">
        <v>75</v>
      </c>
      <c r="C10" s="89">
        <v>75</v>
      </c>
      <c r="D10" s="89">
        <v>75</v>
      </c>
      <c r="E10" s="89" t="s">
        <v>222</v>
      </c>
    </row>
    <row r="11" spans="1:5" x14ac:dyDescent="0.25">
      <c r="A11" s="36" t="s">
        <v>225</v>
      </c>
      <c r="B11" s="89" t="s">
        <v>222</v>
      </c>
      <c r="C11" s="89" t="s">
        <v>222</v>
      </c>
      <c r="D11" s="89" t="s">
        <v>222</v>
      </c>
      <c r="E11" s="89" t="s">
        <v>222</v>
      </c>
    </row>
    <row r="12" spans="1:5" x14ac:dyDescent="0.25">
      <c r="A12" s="36" t="s">
        <v>226</v>
      </c>
      <c r="B12" s="89">
        <v>70</v>
      </c>
      <c r="C12" s="89">
        <v>80</v>
      </c>
      <c r="D12" s="89" t="s">
        <v>222</v>
      </c>
      <c r="E12" s="89" t="s">
        <v>222</v>
      </c>
    </row>
    <row r="13" spans="1:5" x14ac:dyDescent="0.25">
      <c r="A13" s="36" t="s">
        <v>227</v>
      </c>
      <c r="B13" s="89">
        <v>79.010000000000005</v>
      </c>
      <c r="C13" s="89">
        <v>75</v>
      </c>
      <c r="D13" s="89">
        <v>70.25</v>
      </c>
      <c r="E13" s="89">
        <v>65</v>
      </c>
    </row>
    <row r="14" spans="1:5" x14ac:dyDescent="0.25">
      <c r="A14" s="36" t="s">
        <v>228</v>
      </c>
      <c r="B14" s="89">
        <v>81</v>
      </c>
      <c r="C14" s="89">
        <v>81</v>
      </c>
      <c r="D14" s="89" t="s">
        <v>222</v>
      </c>
      <c r="E14" s="89" t="s">
        <v>222</v>
      </c>
    </row>
    <row r="15" spans="1:5" x14ac:dyDescent="0.25">
      <c r="A15" s="36" t="s">
        <v>229</v>
      </c>
      <c r="B15" s="89">
        <v>80</v>
      </c>
      <c r="C15" s="89">
        <v>77</v>
      </c>
      <c r="D15" s="89" t="s">
        <v>222</v>
      </c>
      <c r="E15" s="89" t="s">
        <v>222</v>
      </c>
    </row>
    <row r="16" spans="1:5" x14ac:dyDescent="0.25">
      <c r="A16" s="36" t="s">
        <v>230</v>
      </c>
      <c r="B16" s="89"/>
      <c r="C16" s="89"/>
      <c r="D16" s="89"/>
      <c r="E16" s="89"/>
    </row>
    <row r="17" spans="1:5" x14ac:dyDescent="0.25">
      <c r="A17" s="60" t="s">
        <v>231</v>
      </c>
      <c r="B17" s="89">
        <v>77.989999999999995</v>
      </c>
      <c r="C17" s="89">
        <v>74.98</v>
      </c>
      <c r="D17" s="89" t="s">
        <v>222</v>
      </c>
      <c r="E17" s="89" t="s">
        <v>222</v>
      </c>
    </row>
    <row r="18" spans="1:5" x14ac:dyDescent="0.25">
      <c r="A18" s="36" t="s">
        <v>232</v>
      </c>
      <c r="B18" s="89">
        <v>72.5</v>
      </c>
      <c r="C18" s="89">
        <v>75</v>
      </c>
      <c r="D18" s="89">
        <v>76.989999999999995</v>
      </c>
      <c r="E18" s="89">
        <v>78.53</v>
      </c>
    </row>
    <row r="19" spans="1:5" x14ac:dyDescent="0.25">
      <c r="A19" s="36" t="s">
        <v>233</v>
      </c>
      <c r="B19" s="89">
        <v>76</v>
      </c>
      <c r="C19" s="89">
        <v>76</v>
      </c>
      <c r="D19" s="89">
        <v>76</v>
      </c>
      <c r="E19" s="89">
        <v>77.52</v>
      </c>
    </row>
    <row r="20" spans="1:5" x14ac:dyDescent="0.25">
      <c r="A20" s="36" t="s">
        <v>239</v>
      </c>
      <c r="B20" s="89"/>
      <c r="C20" s="89"/>
      <c r="D20" s="89"/>
      <c r="E20" s="89"/>
    </row>
    <row r="21" spans="1:5" x14ac:dyDescent="0.25">
      <c r="A21" s="60" t="s">
        <v>235</v>
      </c>
      <c r="B21" s="89">
        <v>79.5</v>
      </c>
      <c r="C21" s="89">
        <v>76.5</v>
      </c>
      <c r="D21" s="89">
        <v>79</v>
      </c>
      <c r="E21" s="89">
        <v>79.5</v>
      </c>
    </row>
    <row r="22" spans="1:5" x14ac:dyDescent="0.25">
      <c r="A22" s="65" t="s">
        <v>206</v>
      </c>
      <c r="B22" s="88">
        <v>81</v>
      </c>
      <c r="C22" s="88">
        <v>92</v>
      </c>
      <c r="D22" s="88">
        <v>90</v>
      </c>
      <c r="E22" s="88">
        <v>85</v>
      </c>
    </row>
    <row r="23" spans="1:5" x14ac:dyDescent="0.25">
      <c r="A23" s="96" t="s">
        <v>207</v>
      </c>
      <c r="B23" s="89">
        <v>70</v>
      </c>
      <c r="C23" s="89">
        <v>69.554464581577818</v>
      </c>
      <c r="D23" s="89">
        <v>70.25</v>
      </c>
      <c r="E23" s="89">
        <v>65</v>
      </c>
    </row>
    <row r="24" spans="1:5" x14ac:dyDescent="0.25">
      <c r="A24" s="99" t="s">
        <v>236</v>
      </c>
      <c r="B24" s="100">
        <v>77</v>
      </c>
      <c r="C24" s="100">
        <v>76.5</v>
      </c>
      <c r="D24" s="100">
        <v>76.5</v>
      </c>
      <c r="E24" s="100">
        <v>77</v>
      </c>
    </row>
    <row r="25" spans="1:5" x14ac:dyDescent="0.25">
      <c r="A25" s="99" t="s">
        <v>237</v>
      </c>
      <c r="B25" s="201">
        <v>74.000000000000014</v>
      </c>
      <c r="C25" s="201">
        <v>74</v>
      </c>
      <c r="D25" s="201">
        <v>74</v>
      </c>
      <c r="E25" s="201">
        <v>74</v>
      </c>
    </row>
    <row r="26" spans="1:5" x14ac:dyDescent="0.25">
      <c r="A26" s="215" t="str">
        <f>"Includes forecasts finalized on or before "&amp;Date&amp;"."</f>
        <v>Includes forecasts finalized on or before January 30, 2024.</v>
      </c>
      <c r="B26" s="215"/>
      <c r="C26" s="215"/>
      <c r="D26" s="215"/>
      <c r="E26" s="215"/>
    </row>
    <row r="27" spans="1:5" ht="45" customHeight="1" x14ac:dyDescent="0.25">
      <c r="A27" s="213" t="s">
        <v>238</v>
      </c>
      <c r="B27" s="214"/>
      <c r="C27" s="214"/>
      <c r="D27" s="214"/>
      <c r="E27" s="214"/>
    </row>
    <row r="28" spans="1:5" x14ac:dyDescent="0.25">
      <c r="A28" s="122"/>
      <c r="B28" s="122"/>
      <c r="C28" s="122"/>
      <c r="D28" s="122"/>
      <c r="E28" s="122"/>
    </row>
    <row r="29" spans="1:5" x14ac:dyDescent="0.25">
      <c r="A29" s="122"/>
      <c r="B29" s="122"/>
      <c r="C29" s="122"/>
      <c r="D29" s="122"/>
      <c r="E29" s="122"/>
    </row>
    <row r="30" spans="1:5" x14ac:dyDescent="0.25">
      <c r="A30" s="93"/>
      <c r="B30" s="97"/>
      <c r="C30" s="89"/>
      <c r="D30" s="98"/>
      <c r="E30" s="93"/>
    </row>
    <row r="31" spans="1:5" x14ac:dyDescent="0.25">
      <c r="A31" s="93"/>
      <c r="B31" s="92"/>
      <c r="C31" s="92"/>
      <c r="D31" s="93"/>
      <c r="E31" s="93"/>
    </row>
    <row r="32" spans="1:5" x14ac:dyDescent="0.25">
      <c r="A32" s="93"/>
      <c r="B32" s="92"/>
      <c r="C32" s="92"/>
      <c r="D32" s="93"/>
      <c r="E32" s="93"/>
    </row>
    <row r="33" spans="1:5" x14ac:dyDescent="0.25">
      <c r="A33" s="93"/>
      <c r="B33" s="92"/>
      <c r="C33" s="92"/>
      <c r="D33" s="93"/>
      <c r="E33" s="93"/>
    </row>
    <row r="34" spans="1:5" x14ac:dyDescent="0.25">
      <c r="A34" s="93"/>
      <c r="B34" s="92"/>
      <c r="C34" s="92"/>
      <c r="D34" s="93"/>
      <c r="E34" s="93"/>
    </row>
    <row r="35" spans="1:5" x14ac:dyDescent="0.25">
      <c r="A35" s="93"/>
      <c r="B35" s="92"/>
      <c r="C35" s="92"/>
      <c r="D35" s="93"/>
      <c r="E35" s="93"/>
    </row>
    <row r="36" spans="1:5" x14ac:dyDescent="0.25">
      <c r="A36" s="93"/>
      <c r="B36" s="92"/>
      <c r="C36" s="92"/>
      <c r="D36" s="93"/>
      <c r="E36" s="93"/>
    </row>
    <row r="37" spans="1:5" x14ac:dyDescent="0.25">
      <c r="A37" s="93"/>
      <c r="B37" s="92"/>
      <c r="C37" s="92"/>
      <c r="D37" s="93"/>
      <c r="E37" s="93"/>
    </row>
    <row r="38" spans="1:5" x14ac:dyDescent="0.25">
      <c r="A38" s="93"/>
      <c r="B38" s="92"/>
      <c r="C38" s="92"/>
      <c r="D38" s="93"/>
      <c r="E38" s="93"/>
    </row>
    <row r="39" spans="1:5" x14ac:dyDescent="0.25">
      <c r="A39" s="93"/>
      <c r="B39" s="92"/>
      <c r="C39" s="92"/>
      <c r="D39" s="93"/>
      <c r="E39" s="93"/>
    </row>
    <row r="40" spans="1:5" x14ac:dyDescent="0.25">
      <c r="A40" s="93"/>
      <c r="B40" s="92"/>
      <c r="C40" s="92"/>
      <c r="D40" s="93"/>
      <c r="E40" s="93"/>
    </row>
    <row r="41" spans="1:5" x14ac:dyDescent="0.25">
      <c r="A41" s="93"/>
      <c r="B41" s="92"/>
      <c r="C41" s="92"/>
      <c r="D41" s="93"/>
      <c r="E41" s="93"/>
    </row>
    <row r="42" spans="1:5" x14ac:dyDescent="0.25">
      <c r="A42" s="93"/>
      <c r="B42" s="92"/>
      <c r="C42" s="92"/>
      <c r="D42" s="93"/>
      <c r="E42" s="93"/>
    </row>
    <row r="43" spans="1:5" x14ac:dyDescent="0.25">
      <c r="A43" s="93"/>
      <c r="B43" s="92"/>
      <c r="C43" s="92"/>
      <c r="D43" s="93"/>
      <c r="E43" s="93"/>
    </row>
    <row r="44" spans="1:5" x14ac:dyDescent="0.25">
      <c r="A44" s="93"/>
      <c r="B44" s="92"/>
      <c r="C44" s="92"/>
      <c r="D44" s="93"/>
      <c r="E44" s="93"/>
    </row>
    <row r="45" spans="1:5" x14ac:dyDescent="0.25">
      <c r="A45" s="93"/>
      <c r="B45" s="92"/>
      <c r="C45" s="92"/>
      <c r="D45" s="93"/>
      <c r="E45" s="93"/>
    </row>
    <row r="46" spans="1:5" x14ac:dyDescent="0.25">
      <c r="A46" s="93"/>
      <c r="B46" s="92"/>
      <c r="C46" s="92"/>
      <c r="D46" s="93"/>
      <c r="E46" s="93"/>
    </row>
    <row r="47" spans="1:5" x14ac:dyDescent="0.25">
      <c r="A47" s="93"/>
      <c r="B47" s="92"/>
      <c r="C47" s="92"/>
      <c r="D47" s="93"/>
      <c r="E47" s="93"/>
    </row>
    <row r="48" spans="1:5" x14ac:dyDescent="0.25">
      <c r="A48" s="93"/>
      <c r="B48" s="92"/>
      <c r="C48" s="92"/>
      <c r="D48" s="93"/>
      <c r="E48" s="93"/>
    </row>
    <row r="49" spans="1:5" x14ac:dyDescent="0.25">
      <c r="A49" s="93"/>
      <c r="B49" s="92"/>
      <c r="C49" s="92"/>
      <c r="D49" s="93"/>
      <c r="E49" s="93"/>
    </row>
    <row r="50" spans="1:5" x14ac:dyDescent="0.25">
      <c r="A50" s="93"/>
      <c r="B50" s="92"/>
      <c r="C50" s="92"/>
      <c r="D50" s="93"/>
      <c r="E50" s="93"/>
    </row>
    <row r="51" spans="1:5" x14ac:dyDescent="0.25">
      <c r="A51" s="93"/>
      <c r="B51" s="92"/>
      <c r="C51" s="92"/>
      <c r="D51" s="93"/>
      <c r="E51" s="93"/>
    </row>
    <row r="52" spans="1:5" x14ac:dyDescent="0.25">
      <c r="A52" s="93"/>
      <c r="B52" s="92"/>
      <c r="C52" s="92"/>
      <c r="D52" s="93"/>
      <c r="E52" s="93"/>
    </row>
    <row r="53" spans="1:5" x14ac:dyDescent="0.25">
      <c r="A53" s="93"/>
      <c r="B53" s="92"/>
      <c r="C53" s="92"/>
      <c r="D53" s="93"/>
      <c r="E53" s="93"/>
    </row>
    <row r="54" spans="1:5" x14ac:dyDescent="0.25">
      <c r="A54" s="93"/>
      <c r="B54" s="92"/>
      <c r="C54" s="92"/>
      <c r="D54" s="93"/>
      <c r="E54" s="93"/>
    </row>
    <row r="55" spans="1:5" x14ac:dyDescent="0.25">
      <c r="A55" s="93"/>
      <c r="B55" s="92"/>
      <c r="C55" s="92"/>
      <c r="D55" s="92"/>
      <c r="E55" s="92"/>
    </row>
    <row r="56" spans="1:5" x14ac:dyDescent="0.25">
      <c r="A56" s="93"/>
      <c r="B56" s="92"/>
      <c r="C56" s="92"/>
      <c r="D56" s="92"/>
      <c r="E56" s="92"/>
    </row>
    <row r="57" spans="1:5" x14ac:dyDescent="0.25">
      <c r="A57" s="93"/>
      <c r="B57" s="92"/>
      <c r="C57" s="92"/>
      <c r="D57" s="92"/>
      <c r="E57" s="92"/>
    </row>
    <row r="58" spans="1:5" x14ac:dyDescent="0.25">
      <c r="A58" s="93"/>
      <c r="B58" s="92"/>
      <c r="C58" s="92"/>
      <c r="D58" s="92"/>
      <c r="E58" s="92"/>
    </row>
    <row r="59" spans="1:5" x14ac:dyDescent="0.25">
      <c r="A59" s="93"/>
      <c r="B59" s="92"/>
      <c r="C59" s="92"/>
      <c r="D59" s="92"/>
      <c r="E59" s="92"/>
    </row>
    <row r="60" spans="1:5" x14ac:dyDescent="0.25">
      <c r="A60" s="93"/>
      <c r="B60" s="92"/>
      <c r="C60" s="92"/>
      <c r="D60" s="92"/>
      <c r="E60" s="92"/>
    </row>
    <row r="61" spans="1:5" x14ac:dyDescent="0.25">
      <c r="A61" s="93"/>
      <c r="B61" s="92"/>
      <c r="C61" s="92"/>
      <c r="D61" s="92"/>
      <c r="E61" s="92"/>
    </row>
    <row r="62" spans="1:5" x14ac:dyDescent="0.25">
      <c r="A62" s="93"/>
      <c r="B62" s="92"/>
      <c r="C62" s="92"/>
      <c r="D62" s="92"/>
      <c r="E62" s="92"/>
    </row>
    <row r="63" spans="1:5" x14ac:dyDescent="0.25">
      <c r="A63" s="93"/>
      <c r="B63" s="92"/>
      <c r="C63" s="92"/>
      <c r="D63" s="92"/>
      <c r="E63" s="92"/>
    </row>
    <row r="64" spans="1:5" x14ac:dyDescent="0.25">
      <c r="A64" s="93"/>
      <c r="B64" s="92"/>
      <c r="C64" s="92"/>
      <c r="D64" s="92"/>
      <c r="E64" s="92"/>
    </row>
    <row r="65" spans="1:5" x14ac:dyDescent="0.25">
      <c r="A65" s="93"/>
      <c r="B65" s="92"/>
      <c r="C65" s="92"/>
      <c r="D65" s="92"/>
      <c r="E65" s="92"/>
    </row>
    <row r="66" spans="1:5" x14ac:dyDescent="0.25">
      <c r="A66" s="93"/>
      <c r="B66" s="92"/>
      <c r="C66" s="92"/>
      <c r="D66" s="92"/>
      <c r="E66" s="92"/>
    </row>
    <row r="67" spans="1:5" x14ac:dyDescent="0.25">
      <c r="A67" s="93"/>
      <c r="B67" s="92"/>
      <c r="C67" s="92"/>
      <c r="D67" s="92"/>
      <c r="E67" s="92"/>
    </row>
    <row r="68" spans="1:5" x14ac:dyDescent="0.25">
      <c r="A68" s="93"/>
      <c r="B68" s="92"/>
      <c r="C68" s="92"/>
      <c r="D68" s="92"/>
      <c r="E68" s="92"/>
    </row>
    <row r="69" spans="1:5" x14ac:dyDescent="0.25">
      <c r="A69" s="93"/>
      <c r="B69" s="92"/>
      <c r="C69" s="92"/>
      <c r="D69" s="92"/>
      <c r="E69" s="92"/>
    </row>
    <row r="70" spans="1:5" x14ac:dyDescent="0.25">
      <c r="A70" s="93"/>
      <c r="B70" s="92"/>
      <c r="C70" s="92"/>
      <c r="D70" s="92"/>
      <c r="E70" s="92"/>
    </row>
    <row r="71" spans="1:5" x14ac:dyDescent="0.25">
      <c r="A71" s="93"/>
      <c r="B71" s="92"/>
      <c r="C71" s="92"/>
      <c r="D71" s="92"/>
      <c r="E71" s="92"/>
    </row>
    <row r="72" spans="1:5" x14ac:dyDescent="0.25">
      <c r="A72" s="93"/>
      <c r="B72" s="92"/>
      <c r="C72" s="92"/>
      <c r="D72" s="93"/>
      <c r="E72" s="93"/>
    </row>
    <row r="73" spans="1:5" x14ac:dyDescent="0.25">
      <c r="A73" s="93"/>
      <c r="B73" s="92"/>
      <c r="C73" s="92"/>
      <c r="D73" s="93"/>
      <c r="E73" s="93"/>
    </row>
  </sheetData>
  <mergeCells count="2">
    <mergeCell ref="A27:E27"/>
    <mergeCell ref="A26:E26"/>
  </mergeCells>
  <pageMargins left="0.7" right="0.7" top="0.75" bottom="0.75" header="0.3" footer="0.3"/>
  <headerFooter>
    <oddFooter>&amp;L_x000D_&amp;1#&amp;"Calibri"&amp;11&amp;K000000 Classification: Public</oddFooter>
  </headerFooter>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61E8A-86B9-4BAC-8CAD-DC6C5D37973B}">
  <dimension ref="A1:B13"/>
  <sheetViews>
    <sheetView zoomScaleNormal="100" workbookViewId="0"/>
  </sheetViews>
  <sheetFormatPr defaultColWidth="10.28515625" defaultRowHeight="12.75" x14ac:dyDescent="0.2"/>
  <cols>
    <col min="1" max="1" width="46.140625" style="86" customWidth="1"/>
    <col min="2" max="2" width="24.7109375" style="85" customWidth="1"/>
    <col min="3" max="16384" width="10.28515625" style="86"/>
  </cols>
  <sheetData>
    <row r="1" spans="1:2" s="91" customFormat="1" ht="15.75" x14ac:dyDescent="0.25">
      <c r="A1" s="24" t="s">
        <v>295</v>
      </c>
      <c r="B1" s="90"/>
    </row>
    <row r="2" spans="1:2" s="91" customFormat="1" x14ac:dyDescent="0.2">
      <c r="A2" s="206" t="s">
        <v>215</v>
      </c>
      <c r="B2" s="34"/>
    </row>
    <row r="3" spans="1:2" s="91" customFormat="1" x14ac:dyDescent="0.2">
      <c r="A3" s="93"/>
      <c r="B3" s="207"/>
    </row>
    <row r="4" spans="1:2" s="91" customFormat="1" x14ac:dyDescent="0.2">
      <c r="A4" s="94" t="s">
        <v>289</v>
      </c>
      <c r="B4" s="208" t="s">
        <v>296</v>
      </c>
    </row>
    <row r="5" spans="1:2" s="91" customFormat="1" x14ac:dyDescent="0.2">
      <c r="A5" s="34" t="s">
        <v>290</v>
      </c>
      <c r="B5" s="89">
        <v>80.39</v>
      </c>
    </row>
    <row r="6" spans="1:2" s="25" customFormat="1" x14ac:dyDescent="0.2">
      <c r="A6" s="34" t="s">
        <v>291</v>
      </c>
      <c r="B6" s="89">
        <v>84.344999999999999</v>
      </c>
    </row>
    <row r="7" spans="1:2" s="91" customFormat="1" x14ac:dyDescent="0.2">
      <c r="A7" s="34" t="s">
        <v>292</v>
      </c>
      <c r="B7" s="89">
        <v>79.176666666666662</v>
      </c>
    </row>
    <row r="8" spans="1:2" s="91" customFormat="1" x14ac:dyDescent="0.2">
      <c r="A8" s="34" t="s">
        <v>293</v>
      </c>
      <c r="B8" s="89">
        <v>84</v>
      </c>
    </row>
    <row r="9" spans="1:2" x14ac:dyDescent="0.2">
      <c r="A9" s="202" t="s">
        <v>235</v>
      </c>
      <c r="B9" s="203">
        <v>83</v>
      </c>
    </row>
    <row r="10" spans="1:2" x14ac:dyDescent="0.2">
      <c r="A10" s="202" t="s">
        <v>237</v>
      </c>
      <c r="B10" s="203">
        <v>79</v>
      </c>
    </row>
    <row r="11" spans="1:2" x14ac:dyDescent="0.2">
      <c r="A11" s="202" t="s">
        <v>297</v>
      </c>
      <c r="B11" s="203">
        <v>77.622541666666663</v>
      </c>
    </row>
    <row r="12" spans="1:2" x14ac:dyDescent="0.2">
      <c r="A12" s="87"/>
      <c r="B12" s="204"/>
    </row>
    <row r="13" spans="1:2" ht="13.5" x14ac:dyDescent="0.25">
      <c r="A13" s="205" t="s">
        <v>294</v>
      </c>
      <c r="B13" s="87"/>
    </row>
  </sheetData>
  <pageMargins left="0.7" right="0.7" top="0.75" bottom="0.75" header="0.3" footer="0.3"/>
  <headerFooter>
    <oddFooter>&amp;L_x000D_&amp;1#&amp;"Calibri"&amp;11&amp;K000000 Classification: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827A-4979-4DDB-BD15-F5D836E8B440}">
  <dimension ref="A1:E19"/>
  <sheetViews>
    <sheetView zoomScaleNormal="100" workbookViewId="0"/>
  </sheetViews>
  <sheetFormatPr defaultRowHeight="15" x14ac:dyDescent="0.25"/>
  <cols>
    <col min="1" max="1" width="50.7109375" style="12" customWidth="1"/>
    <col min="2" max="5" width="9.7109375" style="12" customWidth="1"/>
    <col min="6" max="16384" width="9.140625" style="12"/>
  </cols>
  <sheetData>
    <row r="1" spans="1:5" ht="15.75" x14ac:dyDescent="0.25">
      <c r="A1" s="101" t="s">
        <v>248</v>
      </c>
      <c r="B1" s="123"/>
      <c r="C1" s="123"/>
      <c r="D1" s="103"/>
      <c r="E1" s="103"/>
    </row>
    <row r="2" spans="1:5" x14ac:dyDescent="0.25">
      <c r="A2" s="105" t="s">
        <v>249</v>
      </c>
      <c r="B2" s="105"/>
      <c r="C2" s="105"/>
      <c r="D2" s="124"/>
      <c r="E2" s="106"/>
    </row>
    <row r="3" spans="1:5" x14ac:dyDescent="0.25">
      <c r="A3" s="107" t="s">
        <v>216</v>
      </c>
      <c r="B3" s="108">
        <v>2024</v>
      </c>
      <c r="C3" s="108">
        <v>2025</v>
      </c>
      <c r="D3" s="108">
        <v>2026</v>
      </c>
      <c r="E3" s="108">
        <v>2027</v>
      </c>
    </row>
    <row r="4" spans="1:5" x14ac:dyDescent="0.25">
      <c r="A4" s="109" t="s">
        <v>217</v>
      </c>
      <c r="B4" s="112"/>
      <c r="C4" s="112"/>
      <c r="D4" s="112"/>
      <c r="E4" s="112"/>
    </row>
    <row r="5" spans="1:5" x14ac:dyDescent="0.25">
      <c r="A5" s="110" t="s">
        <v>218</v>
      </c>
      <c r="B5" s="111">
        <v>16.649999999999999</v>
      </c>
      <c r="C5" s="111">
        <v>14.574999999999999</v>
      </c>
      <c r="D5" s="111">
        <v>14.324999999999999</v>
      </c>
      <c r="E5" s="111">
        <v>14.4625</v>
      </c>
    </row>
    <row r="6" spans="1:5" x14ac:dyDescent="0.25">
      <c r="A6" s="109" t="s">
        <v>250</v>
      </c>
      <c r="B6" s="112"/>
      <c r="C6" s="112"/>
      <c r="D6" s="112"/>
      <c r="E6" s="112"/>
    </row>
    <row r="7" spans="1:5" x14ac:dyDescent="0.25">
      <c r="A7" s="110" t="s">
        <v>232</v>
      </c>
      <c r="B7" s="125">
        <v>16.690000000000001</v>
      </c>
      <c r="C7" s="125">
        <v>16</v>
      </c>
      <c r="D7" s="125">
        <v>15</v>
      </c>
      <c r="E7" s="125">
        <v>15</v>
      </c>
    </row>
    <row r="8" spans="1:5" x14ac:dyDescent="0.25">
      <c r="A8" s="110" t="s">
        <v>224</v>
      </c>
      <c r="B8" s="112">
        <v>15.13</v>
      </c>
      <c r="C8" s="112">
        <v>14</v>
      </c>
      <c r="D8" s="112">
        <v>14</v>
      </c>
      <c r="E8" s="112" t="s">
        <v>222</v>
      </c>
    </row>
    <row r="9" spans="1:5" x14ac:dyDescent="0.25">
      <c r="A9" s="110" t="s">
        <v>227</v>
      </c>
      <c r="B9" s="112">
        <v>15.83</v>
      </c>
      <c r="C9" s="112">
        <v>13.23</v>
      </c>
      <c r="D9" s="112">
        <v>12.26</v>
      </c>
      <c r="E9" s="112">
        <v>12</v>
      </c>
    </row>
    <row r="10" spans="1:5" x14ac:dyDescent="0.25">
      <c r="A10" s="110" t="s">
        <v>228</v>
      </c>
      <c r="B10" s="112">
        <v>17</v>
      </c>
      <c r="C10" s="112">
        <v>17</v>
      </c>
      <c r="D10" s="112" t="s">
        <v>222</v>
      </c>
      <c r="E10" s="112" t="s">
        <v>222</v>
      </c>
    </row>
    <row r="11" spans="1:5" x14ac:dyDescent="0.25">
      <c r="A11" s="110" t="s">
        <v>233</v>
      </c>
      <c r="B11" s="125">
        <v>15</v>
      </c>
      <c r="C11" s="125">
        <v>12.5</v>
      </c>
      <c r="D11" s="125">
        <v>12.75</v>
      </c>
      <c r="E11" s="125">
        <v>13.004999999999995</v>
      </c>
    </row>
    <row r="12" spans="1:5" x14ac:dyDescent="0.25">
      <c r="A12" s="109" t="s">
        <v>234</v>
      </c>
      <c r="B12" s="112"/>
      <c r="C12" s="112"/>
      <c r="D12" s="112"/>
      <c r="E12" s="112"/>
    </row>
    <row r="13" spans="1:5" x14ac:dyDescent="0.25">
      <c r="A13" s="114" t="s">
        <v>244</v>
      </c>
      <c r="B13" s="115" t="str">
        <f>IFERROR(ROUND(AVERAGE(D24:D27),1),"n/a")</f>
        <v>n/a</v>
      </c>
      <c r="C13" s="115" t="str">
        <f>IFERROR(ROUND(AVERAGE(E24:E27),1),"n/a")</f>
        <v>n/a</v>
      </c>
      <c r="D13" s="115" t="str">
        <f>IFERROR(ROUND(AVERAGE(F24:F27),1),"n/a")</f>
        <v>n/a</v>
      </c>
      <c r="E13" s="115" t="str">
        <f>IFERROR(ROUND(AVERAGE(G24:G27),1),"n/a")</f>
        <v>n/a</v>
      </c>
    </row>
    <row r="14" spans="1:5" x14ac:dyDescent="0.25">
      <c r="A14" s="105" t="s">
        <v>206</v>
      </c>
      <c r="B14" s="112">
        <f>IF(MAX(B5:B11,D24:D27)&lt;&gt;0,MAX(B5:B11,D24:D27),"n/a")</f>
        <v>17</v>
      </c>
      <c r="C14" s="112">
        <f>IF(MAX(C5:C11,E24:E27)&lt;&gt;0,MAX(C5:C11,E24:E27),"n/a")</f>
        <v>17</v>
      </c>
      <c r="D14" s="112">
        <f>IF(MAX(D5:D11,F24:F27)&lt;&gt;0,MAX(D5:D11,F24:F27),"n/a")</f>
        <v>15</v>
      </c>
      <c r="E14" s="112">
        <f>IF(MAX(E5:E11,G24:G27)&lt;&gt;0,MAX(E5:E11,G24:G27),"n/a")</f>
        <v>15</v>
      </c>
    </row>
    <row r="15" spans="1:5" x14ac:dyDescent="0.25">
      <c r="A15" s="105" t="s">
        <v>207</v>
      </c>
      <c r="B15" s="112">
        <f>IF(MIN(B5:B11,D24:D27)&lt;&gt;0,MIN(B5:B11,D24:D27),"n/a")</f>
        <v>15</v>
      </c>
      <c r="C15" s="112">
        <f>IF(MIN(C5:C11,E24:E27)&lt;&gt;0,MIN(C5:C11,E24:E27),"n/a")</f>
        <v>12.5</v>
      </c>
      <c r="D15" s="112">
        <f>IF(MIN(D5:D11,F24:F27)&lt;&gt;0,MIN(D5:D11,F24:F27),"n/a")</f>
        <v>12.26</v>
      </c>
      <c r="E15" s="112">
        <f>IF(MIN(E5:E11,G24:G27)&lt;&gt;0,MIN(E5:E11,G24:G27),"n/a")</f>
        <v>12</v>
      </c>
    </row>
    <row r="16" spans="1:5" x14ac:dyDescent="0.25">
      <c r="A16" s="117" t="s">
        <v>236</v>
      </c>
      <c r="B16" s="118">
        <f>IFERROR(ROUND(AVERAGE(B5:B11,D24:D27),1),"n/a")</f>
        <v>16.100000000000001</v>
      </c>
      <c r="C16" s="118">
        <f>IFERROR(ROUND(AVERAGE(C5:C11,E24:E27),1),"n/a")</f>
        <v>14.6</v>
      </c>
      <c r="D16" s="118">
        <f>IFERROR(ROUND(AVERAGE(D5:D11,F24:F27),1),"n/a")</f>
        <v>13.7</v>
      </c>
      <c r="E16" s="118">
        <f>IFERROR(ROUND(AVERAGE(E5:E11,G24:G27),1),"n/a")</f>
        <v>13.6</v>
      </c>
    </row>
    <row r="17" spans="1:5" x14ac:dyDescent="0.25">
      <c r="A17" s="119" t="s">
        <v>237</v>
      </c>
      <c r="B17" s="120">
        <v>16.899999999999999</v>
      </c>
      <c r="C17" s="120">
        <v>15.3</v>
      </c>
      <c r="D17" s="120">
        <v>13.6</v>
      </c>
      <c r="E17" s="120">
        <v>14</v>
      </c>
    </row>
    <row r="18" spans="1:5" x14ac:dyDescent="0.25">
      <c r="A18" s="116" t="str">
        <f>"Includes forecasts finalized on or before "&amp;Date&amp;"."</f>
        <v>Includes forecasts finalized on or before January 30, 2024.</v>
      </c>
      <c r="B18" s="126"/>
      <c r="C18" s="126"/>
      <c r="D18" s="126"/>
      <c r="E18" s="127"/>
    </row>
    <row r="19" spans="1:5" ht="60" customHeight="1" x14ac:dyDescent="0.25">
      <c r="A19" s="213" t="s">
        <v>251</v>
      </c>
      <c r="B19" s="214"/>
      <c r="C19" s="214"/>
      <c r="D19" s="214"/>
      <c r="E19" s="214"/>
    </row>
  </sheetData>
  <mergeCells count="1">
    <mergeCell ref="A19:E19"/>
  </mergeCells>
  <pageMargins left="0.7" right="0.7" top="0.75" bottom="0.75" header="0.3" footer="0.3"/>
  <headerFooter>
    <oddFooter>&amp;L_x000D_&amp;1#&amp;"Calibri"&amp;11&amp;K000000 Classification: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D9FD-8455-4011-A069-160F847BFA5F}">
  <dimension ref="A1:E27"/>
  <sheetViews>
    <sheetView zoomScaleNormal="100" workbookViewId="0"/>
  </sheetViews>
  <sheetFormatPr defaultRowHeight="15" x14ac:dyDescent="0.25"/>
  <cols>
    <col min="1" max="1" width="50.7109375" style="12" customWidth="1"/>
    <col min="2" max="5" width="9.7109375" style="12" customWidth="1"/>
    <col min="6" max="16384" width="9.140625" style="12"/>
  </cols>
  <sheetData>
    <row r="1" spans="1:5" ht="15.75" x14ac:dyDescent="0.25">
      <c r="A1" s="101" t="s">
        <v>240</v>
      </c>
      <c r="B1" s="102"/>
      <c r="C1" s="103"/>
      <c r="D1" s="103"/>
      <c r="E1" s="103"/>
    </row>
    <row r="2" spans="1:5" ht="15.75" x14ac:dyDescent="0.25">
      <c r="A2" s="104" t="s">
        <v>241</v>
      </c>
      <c r="B2" s="105"/>
      <c r="C2" s="106"/>
      <c r="D2" s="106"/>
      <c r="E2" s="106"/>
    </row>
    <row r="3" spans="1:5" x14ac:dyDescent="0.25">
      <c r="A3" s="107" t="s">
        <v>216</v>
      </c>
      <c r="B3" s="108">
        <v>2024</v>
      </c>
      <c r="C3" s="108">
        <v>2025</v>
      </c>
      <c r="D3" s="108">
        <v>2026</v>
      </c>
      <c r="E3" s="108">
        <v>2027</v>
      </c>
    </row>
    <row r="4" spans="1:5" x14ac:dyDescent="0.25">
      <c r="A4" s="109" t="s">
        <v>217</v>
      </c>
      <c r="B4" s="105"/>
      <c r="C4" s="105"/>
      <c r="D4" s="105"/>
      <c r="E4" s="105"/>
    </row>
    <row r="5" spans="1:5" x14ac:dyDescent="0.25">
      <c r="A5" s="110" t="s">
        <v>218</v>
      </c>
      <c r="B5" s="111">
        <v>3.4305000000000003</v>
      </c>
      <c r="C5" s="111">
        <v>3.5369999999999999</v>
      </c>
      <c r="D5" s="111">
        <v>3.7249999999999996</v>
      </c>
      <c r="E5" s="111">
        <v>3.8625000000000003</v>
      </c>
    </row>
    <row r="6" spans="1:5" x14ac:dyDescent="0.25">
      <c r="A6" s="110" t="s">
        <v>219</v>
      </c>
      <c r="B6" s="111">
        <v>2.75</v>
      </c>
      <c r="C6" s="111">
        <v>3.45</v>
      </c>
      <c r="D6" s="111">
        <v>3.95</v>
      </c>
      <c r="E6" s="111">
        <v>4.25</v>
      </c>
    </row>
    <row r="7" spans="1:5" x14ac:dyDescent="0.25">
      <c r="A7" s="109" t="s">
        <v>220</v>
      </c>
      <c r="B7" s="112"/>
      <c r="C7" s="112"/>
      <c r="D7" s="112"/>
      <c r="E7" s="112"/>
    </row>
    <row r="8" spans="1:5" x14ac:dyDescent="0.25">
      <c r="A8" s="110" t="s">
        <v>242</v>
      </c>
      <c r="B8" s="112">
        <v>2.651880424300868</v>
      </c>
      <c r="C8" s="112">
        <v>3.4233365477338475</v>
      </c>
      <c r="D8" s="112">
        <v>4.0019286403085834</v>
      </c>
      <c r="E8" s="112">
        <v>4.0983606557377055</v>
      </c>
    </row>
    <row r="9" spans="1:5" x14ac:dyDescent="0.25">
      <c r="A9" s="110" t="s">
        <v>224</v>
      </c>
      <c r="B9" s="112">
        <v>3.0074999999999998</v>
      </c>
      <c r="C9" s="112">
        <v>4.5</v>
      </c>
      <c r="D9" s="112">
        <v>3.5</v>
      </c>
      <c r="E9" s="112" t="s">
        <v>222</v>
      </c>
    </row>
    <row r="10" spans="1:5" x14ac:dyDescent="0.25">
      <c r="A10" s="110" t="s">
        <v>227</v>
      </c>
      <c r="B10" s="112">
        <v>2.94</v>
      </c>
      <c r="C10" s="112">
        <v>3.63</v>
      </c>
      <c r="D10" s="112">
        <v>3.75</v>
      </c>
      <c r="E10" s="112">
        <v>3.75</v>
      </c>
    </row>
    <row r="11" spans="1:5" x14ac:dyDescent="0.25">
      <c r="A11" s="110" t="s">
        <v>228</v>
      </c>
      <c r="B11" s="112">
        <v>3.5</v>
      </c>
      <c r="C11" s="112">
        <v>4</v>
      </c>
      <c r="D11" s="112" t="s">
        <v>222</v>
      </c>
      <c r="E11" s="112" t="s">
        <v>222</v>
      </c>
    </row>
    <row r="12" spans="1:5" x14ac:dyDescent="0.25">
      <c r="A12" s="110" t="s">
        <v>229</v>
      </c>
      <c r="B12" s="112">
        <v>3.3</v>
      </c>
      <c r="C12" s="112">
        <v>3.7</v>
      </c>
      <c r="D12" s="112" t="s">
        <v>222</v>
      </c>
      <c r="E12" s="112" t="s">
        <v>222</v>
      </c>
    </row>
    <row r="13" spans="1:5" x14ac:dyDescent="0.25">
      <c r="A13" s="109" t="s">
        <v>230</v>
      </c>
      <c r="B13" s="112"/>
      <c r="C13" s="112"/>
      <c r="D13" s="112"/>
      <c r="E13" s="112"/>
    </row>
    <row r="14" spans="1:5" x14ac:dyDescent="0.25">
      <c r="A14" s="110" t="s">
        <v>231</v>
      </c>
      <c r="B14" s="112">
        <v>2.66</v>
      </c>
      <c r="C14" s="112">
        <v>2.95</v>
      </c>
      <c r="D14" s="112" t="s">
        <v>222</v>
      </c>
      <c r="E14" s="112" t="s">
        <v>222</v>
      </c>
    </row>
    <row r="15" spans="1:5" x14ac:dyDescent="0.25">
      <c r="A15" s="110" t="s">
        <v>232</v>
      </c>
      <c r="B15" s="113">
        <v>2.75</v>
      </c>
      <c r="C15" s="111">
        <v>3.85</v>
      </c>
      <c r="D15" s="113">
        <v>4.16</v>
      </c>
      <c r="E15" s="111">
        <v>4.25</v>
      </c>
    </row>
    <row r="16" spans="1:5" x14ac:dyDescent="0.25">
      <c r="A16" s="110" t="s">
        <v>233</v>
      </c>
      <c r="B16" s="113">
        <v>2.75</v>
      </c>
      <c r="C16" s="113">
        <v>3.75</v>
      </c>
      <c r="D16" s="113">
        <v>4</v>
      </c>
      <c r="E16" s="113">
        <v>4.08</v>
      </c>
    </row>
    <row r="17" spans="1:5" x14ac:dyDescent="0.25">
      <c r="A17" s="109" t="s">
        <v>243</v>
      </c>
      <c r="B17" s="112"/>
      <c r="C17" s="112"/>
      <c r="D17" s="112"/>
      <c r="E17" s="112"/>
    </row>
    <row r="18" spans="1:5" x14ac:dyDescent="0.25">
      <c r="A18" s="114" t="s">
        <v>244</v>
      </c>
      <c r="B18" s="115">
        <v>2.9</v>
      </c>
      <c r="C18" s="115">
        <v>3.7</v>
      </c>
      <c r="D18" s="115">
        <v>4</v>
      </c>
      <c r="E18" s="115">
        <v>4.2</v>
      </c>
    </row>
    <row r="19" spans="1:5" x14ac:dyDescent="0.25">
      <c r="A19" s="105" t="s">
        <v>206</v>
      </c>
      <c r="B19" s="112">
        <v>3.5</v>
      </c>
      <c r="C19" s="112">
        <v>4.5</v>
      </c>
      <c r="D19" s="112">
        <v>5.1127509348853382</v>
      </c>
      <c r="E19" s="112">
        <v>5.021233286597985</v>
      </c>
    </row>
    <row r="20" spans="1:5" x14ac:dyDescent="0.25">
      <c r="A20" s="105" t="s">
        <v>207</v>
      </c>
      <c r="B20" s="112">
        <v>2.3025000000000002</v>
      </c>
      <c r="C20" s="112">
        <v>2.95</v>
      </c>
      <c r="D20" s="112">
        <v>3.399999999999999</v>
      </c>
      <c r="E20" s="112">
        <v>3.6899999999999995</v>
      </c>
    </row>
    <row r="21" spans="1:5" x14ac:dyDescent="0.25">
      <c r="A21" s="117" t="s">
        <v>236</v>
      </c>
      <c r="B21" s="118">
        <v>2.9</v>
      </c>
      <c r="C21" s="118">
        <v>3.7</v>
      </c>
      <c r="D21" s="118">
        <v>3.9</v>
      </c>
      <c r="E21" s="118">
        <v>4.0999999999999996</v>
      </c>
    </row>
    <row r="22" spans="1:5" x14ac:dyDescent="0.25">
      <c r="A22" s="119" t="s">
        <v>237</v>
      </c>
      <c r="B22" s="120">
        <v>3.1</v>
      </c>
      <c r="C22" s="120">
        <v>3.8</v>
      </c>
      <c r="D22" s="120">
        <v>4</v>
      </c>
      <c r="E22" s="120">
        <v>4.0999999999999996</v>
      </c>
    </row>
    <row r="23" spans="1:5" x14ac:dyDescent="0.25">
      <c r="A23" s="213" t="str">
        <f>"Includes forecasts finalized on or before "&amp;Date&amp;"."</f>
        <v>Includes forecasts finalized on or before January 30, 2024.</v>
      </c>
      <c r="B23" s="214"/>
      <c r="C23" s="214"/>
      <c r="D23" s="214"/>
      <c r="E23" s="214"/>
    </row>
    <row r="24" spans="1:5" ht="80.099999999999994" customHeight="1" x14ac:dyDescent="0.25">
      <c r="A24" s="213" t="s">
        <v>245</v>
      </c>
      <c r="B24" s="214"/>
      <c r="C24" s="214"/>
      <c r="D24" s="214"/>
      <c r="E24" s="214"/>
    </row>
    <row r="25" spans="1:5" x14ac:dyDescent="0.25">
      <c r="A25" s="213" t="s">
        <v>246</v>
      </c>
      <c r="B25" s="214"/>
      <c r="C25" s="214"/>
      <c r="D25" s="214"/>
      <c r="E25" s="214"/>
    </row>
    <row r="26" spans="1:5" ht="60" customHeight="1" x14ac:dyDescent="0.25">
      <c r="A26" s="213" t="s">
        <v>247</v>
      </c>
      <c r="B26" s="214"/>
      <c r="C26" s="214"/>
      <c r="D26" s="214"/>
      <c r="E26" s="214"/>
    </row>
    <row r="27" spans="1:5" x14ac:dyDescent="0.25">
      <c r="A27" s="121"/>
      <c r="B27" s="121"/>
      <c r="C27" s="121"/>
      <c r="D27" s="121"/>
      <c r="E27" s="121"/>
    </row>
  </sheetData>
  <mergeCells count="4">
    <mergeCell ref="A24:E24"/>
    <mergeCell ref="A26:E26"/>
    <mergeCell ref="A25:E25"/>
    <mergeCell ref="A23:E23"/>
  </mergeCells>
  <pageMargins left="0.7" right="0.7" top="0.75" bottom="0.75" header="0.3" footer="0.3"/>
  <headerFooter>
    <oddFooter>&amp;L_x000D_&amp;1#&amp;"Calibri"&amp;11&amp;K000000 Classification: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8B69-B2C0-4968-A2C2-EC8015F4D6BC}">
  <dimension ref="A1:B13"/>
  <sheetViews>
    <sheetView zoomScaleNormal="100" workbookViewId="0"/>
  </sheetViews>
  <sheetFormatPr defaultColWidth="10.28515625" defaultRowHeight="12.75" x14ac:dyDescent="0.2"/>
  <cols>
    <col min="1" max="1" width="46.140625" style="86" customWidth="1"/>
    <col min="2" max="2" width="24.7109375" style="85" customWidth="1"/>
    <col min="3" max="16384" width="10.28515625" style="86"/>
  </cols>
  <sheetData>
    <row r="1" spans="1:2" s="91" customFormat="1" ht="15.75" x14ac:dyDescent="0.25">
      <c r="A1" s="24" t="s">
        <v>298</v>
      </c>
      <c r="B1" s="90"/>
    </row>
    <row r="2" spans="1:2" s="91" customFormat="1" x14ac:dyDescent="0.2">
      <c r="A2" s="206" t="s">
        <v>299</v>
      </c>
      <c r="B2" s="34"/>
    </row>
    <row r="3" spans="1:2" s="91" customFormat="1" x14ac:dyDescent="0.2">
      <c r="A3" s="93"/>
      <c r="B3" s="207"/>
    </row>
    <row r="4" spans="1:2" s="91" customFormat="1" x14ac:dyDescent="0.2">
      <c r="A4" s="94" t="s">
        <v>289</v>
      </c>
      <c r="B4" s="208" t="s">
        <v>296</v>
      </c>
    </row>
    <row r="5" spans="1:2" s="91" customFormat="1" x14ac:dyDescent="0.2">
      <c r="A5" s="34" t="s">
        <v>290</v>
      </c>
      <c r="B5" s="89">
        <f>M7</f>
        <v>0</v>
      </c>
    </row>
    <row r="6" spans="1:2" s="25" customFormat="1" x14ac:dyDescent="0.2">
      <c r="A6" s="34" t="s">
        <v>300</v>
      </c>
      <c r="B6" s="89">
        <f>M15</f>
        <v>0</v>
      </c>
    </row>
    <row r="7" spans="1:2" s="91" customFormat="1" x14ac:dyDescent="0.2">
      <c r="A7" s="34" t="s">
        <v>292</v>
      </c>
      <c r="B7" s="89">
        <f>M19</f>
        <v>0</v>
      </c>
    </row>
    <row r="8" spans="1:2" s="91" customFormat="1" x14ac:dyDescent="0.2">
      <c r="A8" s="34" t="s">
        <v>301</v>
      </c>
      <c r="B8" s="89">
        <f>M21</f>
        <v>0</v>
      </c>
    </row>
    <row r="9" spans="1:2" x14ac:dyDescent="0.2">
      <c r="A9" s="202" t="s">
        <v>235</v>
      </c>
      <c r="B9" s="203">
        <f>M25</f>
        <v>0</v>
      </c>
    </row>
    <row r="10" spans="1:2" x14ac:dyDescent="0.2">
      <c r="A10" s="202" t="s">
        <v>237</v>
      </c>
      <c r="B10" s="203">
        <v>5</v>
      </c>
    </row>
    <row r="11" spans="1:2" x14ac:dyDescent="0.2">
      <c r="A11" s="202" t="s">
        <v>297</v>
      </c>
      <c r="B11" s="203">
        <v>2.663583333333333</v>
      </c>
    </row>
    <row r="12" spans="1:2" x14ac:dyDescent="0.2">
      <c r="A12" s="87"/>
      <c r="B12" s="204"/>
    </row>
    <row r="13" spans="1:2" ht="13.5" x14ac:dyDescent="0.25">
      <c r="A13" s="205" t="s">
        <v>294</v>
      </c>
      <c r="B13" s="87"/>
    </row>
  </sheetData>
  <pageMargins left="0.7" right="0.7" top="0.75" bottom="0.75" header="0.3" footer="0.3"/>
  <headerFooter>
    <oddFooter>&amp;L_x000D_&amp;1#&amp;"Calibri"&amp;11&amp;K000000 Classification: Public</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5CA-C279-4920-8973-6EF825EBBE9D}">
  <dimension ref="A1:E20"/>
  <sheetViews>
    <sheetView zoomScaleNormal="100" workbookViewId="0"/>
  </sheetViews>
  <sheetFormatPr defaultRowHeight="15" x14ac:dyDescent="0.25"/>
  <cols>
    <col min="1" max="1" width="45.7109375" style="12" customWidth="1"/>
    <col min="2" max="5" width="9.7109375" style="12" customWidth="1"/>
    <col min="6" max="16384" width="9.140625" style="12"/>
  </cols>
  <sheetData>
    <row r="1" spans="1:5" ht="15.75" x14ac:dyDescent="0.25">
      <c r="A1" s="130" t="s">
        <v>262</v>
      </c>
      <c r="B1" s="145"/>
      <c r="C1" s="145"/>
      <c r="D1" s="145"/>
      <c r="E1" s="145"/>
    </row>
    <row r="2" spans="1:5" x14ac:dyDescent="0.25">
      <c r="A2" s="128" t="s">
        <v>263</v>
      </c>
      <c r="B2" s="146"/>
      <c r="C2" s="146"/>
      <c r="D2" s="146"/>
      <c r="E2" s="146"/>
    </row>
    <row r="3" spans="1:5" x14ac:dyDescent="0.25">
      <c r="A3" s="134" t="s">
        <v>216</v>
      </c>
      <c r="B3" s="135">
        <v>2024</v>
      </c>
      <c r="C3" s="135">
        <v>2025</v>
      </c>
      <c r="D3" s="135">
        <v>2026</v>
      </c>
      <c r="E3" s="135">
        <v>2027</v>
      </c>
    </row>
    <row r="4" spans="1:5" x14ac:dyDescent="0.25">
      <c r="A4" s="136" t="s">
        <v>217</v>
      </c>
      <c r="B4" s="147"/>
      <c r="C4" s="147"/>
      <c r="D4" s="147"/>
      <c r="E4" s="147"/>
    </row>
    <row r="5" spans="1:5" x14ac:dyDescent="0.25">
      <c r="A5" s="137" t="s">
        <v>218</v>
      </c>
      <c r="B5" s="148">
        <v>72.900000000000006</v>
      </c>
      <c r="C5" s="148">
        <v>73.599999999999994</v>
      </c>
      <c r="D5" s="148">
        <v>73.5</v>
      </c>
      <c r="E5" s="148">
        <v>73.7</v>
      </c>
    </row>
    <row r="6" spans="1:5" x14ac:dyDescent="0.25">
      <c r="A6" s="137" t="s">
        <v>219</v>
      </c>
      <c r="B6" s="149">
        <v>74.626865671641781</v>
      </c>
      <c r="C6" s="149">
        <v>76.33587786259541</v>
      </c>
      <c r="D6" s="148">
        <v>76.045627376425855</v>
      </c>
      <c r="E6" s="148">
        <v>75.471698113207552</v>
      </c>
    </row>
    <row r="7" spans="1:5" x14ac:dyDescent="0.25">
      <c r="A7" s="136" t="s">
        <v>255</v>
      </c>
      <c r="B7" s="150"/>
      <c r="C7" s="150"/>
      <c r="D7" s="150"/>
      <c r="E7" s="150"/>
    </row>
    <row r="8" spans="1:5" x14ac:dyDescent="0.25">
      <c r="A8" s="137" t="s">
        <v>256</v>
      </c>
      <c r="B8" s="151">
        <v>75.174999999999997</v>
      </c>
      <c r="C8" s="151">
        <v>77</v>
      </c>
      <c r="D8" s="151" t="s">
        <v>222</v>
      </c>
      <c r="E8" s="151" t="s">
        <v>222</v>
      </c>
    </row>
    <row r="9" spans="1:5" x14ac:dyDescent="0.25">
      <c r="A9" s="137" t="s">
        <v>257</v>
      </c>
      <c r="B9" s="151">
        <v>73.539352147896238</v>
      </c>
      <c r="C9" s="151">
        <v>77.221228384019071</v>
      </c>
      <c r="D9" s="151" t="s">
        <v>222</v>
      </c>
      <c r="E9" s="151" t="s">
        <v>222</v>
      </c>
    </row>
    <row r="10" spans="1:5" x14ac:dyDescent="0.25">
      <c r="A10" s="137" t="s">
        <v>258</v>
      </c>
      <c r="B10" s="151">
        <v>73.801742919389966</v>
      </c>
      <c r="C10" s="151" t="s">
        <v>222</v>
      </c>
      <c r="D10" s="151" t="s">
        <v>222</v>
      </c>
      <c r="E10" s="151" t="s">
        <v>222</v>
      </c>
    </row>
    <row r="11" spans="1:5" x14ac:dyDescent="0.25">
      <c r="A11" s="137" t="s">
        <v>259</v>
      </c>
      <c r="B11" s="151" t="s">
        <v>222</v>
      </c>
      <c r="C11" s="151" t="s">
        <v>222</v>
      </c>
      <c r="D11" s="151" t="s">
        <v>222</v>
      </c>
      <c r="E11" s="151" t="s">
        <v>222</v>
      </c>
    </row>
    <row r="12" spans="1:5" x14ac:dyDescent="0.25">
      <c r="A12" s="137" t="s">
        <v>226</v>
      </c>
      <c r="B12" s="151">
        <v>70.820097999290113</v>
      </c>
      <c r="C12" s="151">
        <v>75.757575757575751</v>
      </c>
      <c r="D12" s="151" t="s">
        <v>222</v>
      </c>
      <c r="E12" s="151" t="s">
        <v>222</v>
      </c>
    </row>
    <row r="13" spans="1:5" x14ac:dyDescent="0.25">
      <c r="A13" s="137" t="s">
        <v>260</v>
      </c>
      <c r="B13" s="151">
        <v>73.573711005750113</v>
      </c>
      <c r="C13" s="151" t="s">
        <v>222</v>
      </c>
      <c r="D13" s="151" t="s">
        <v>222</v>
      </c>
      <c r="E13" s="151" t="s">
        <v>222</v>
      </c>
    </row>
    <row r="14" spans="1:5" x14ac:dyDescent="0.25">
      <c r="A14" s="137" t="s">
        <v>228</v>
      </c>
      <c r="B14" s="151">
        <v>76.656484962406012</v>
      </c>
      <c r="C14" s="151">
        <v>80</v>
      </c>
      <c r="D14" s="151" t="s">
        <v>222</v>
      </c>
      <c r="E14" s="151" t="s">
        <v>222</v>
      </c>
    </row>
    <row r="15" spans="1:5" x14ac:dyDescent="0.25">
      <c r="A15" s="140" t="s">
        <v>264</v>
      </c>
      <c r="B15" s="152">
        <v>73.128823093820202</v>
      </c>
      <c r="C15" s="152">
        <v>77.412211946851855</v>
      </c>
      <c r="D15" s="152" t="s">
        <v>222</v>
      </c>
      <c r="E15" s="152" t="s">
        <v>222</v>
      </c>
    </row>
    <row r="16" spans="1:5" x14ac:dyDescent="0.25">
      <c r="A16" s="128" t="s">
        <v>206</v>
      </c>
      <c r="B16" s="151">
        <v>76.656484962406012</v>
      </c>
      <c r="C16" s="151">
        <v>80</v>
      </c>
      <c r="D16" s="151">
        <v>76.045627376425855</v>
      </c>
      <c r="E16" s="151">
        <v>75.471698113207552</v>
      </c>
    </row>
    <row r="17" spans="1:5" x14ac:dyDescent="0.25">
      <c r="A17" s="128" t="s">
        <v>207</v>
      </c>
      <c r="B17" s="151">
        <v>70.820097999290113</v>
      </c>
      <c r="C17" s="151">
        <v>73.599999999999994</v>
      </c>
      <c r="D17" s="151">
        <v>73.5</v>
      </c>
      <c r="E17" s="151">
        <v>73.7</v>
      </c>
    </row>
    <row r="18" spans="1:5" x14ac:dyDescent="0.25">
      <c r="A18" s="117" t="s">
        <v>236</v>
      </c>
      <c r="B18" s="153">
        <v>73.802453088910482</v>
      </c>
      <c r="C18" s="153">
        <v>76.760984850148859</v>
      </c>
      <c r="D18" s="153">
        <v>74.772813688212921</v>
      </c>
      <c r="E18" s="153">
        <v>74.585849056603777</v>
      </c>
    </row>
    <row r="19" spans="1:5" x14ac:dyDescent="0.25">
      <c r="A19" s="119" t="s">
        <v>237</v>
      </c>
      <c r="B19" s="154">
        <v>75</v>
      </c>
      <c r="C19" s="154">
        <v>77.8</v>
      </c>
      <c r="D19" s="154">
        <v>79.3</v>
      </c>
      <c r="E19" s="154">
        <v>80.099999999999994</v>
      </c>
    </row>
    <row r="20" spans="1:5" x14ac:dyDescent="0.25">
      <c r="A20" s="155" t="str">
        <f>"Includes forecasts finalized on or before "&amp;Date&amp;"."</f>
        <v>Includes forecasts finalized on or before January 30, 2024.</v>
      </c>
    </row>
  </sheetData>
  <pageMargins left="0.7" right="0.7" top="0.75" bottom="0.75" header="0.3" footer="0.3"/>
  <headerFooter>
    <oddFooter>&amp;L_x000D_&amp;1#&amp;"Calibri"&amp;11&amp;K000000 Classification: Public</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69543-ACD2-4E7E-88C8-C08955BE09E7}">
  <dimension ref="A1:E20"/>
  <sheetViews>
    <sheetView zoomScaleNormal="100" workbookViewId="0"/>
  </sheetViews>
  <sheetFormatPr defaultRowHeight="15" x14ac:dyDescent="0.25"/>
  <cols>
    <col min="1" max="1" width="50.7109375" style="12" customWidth="1"/>
    <col min="2" max="5" width="9.7109375" style="12" customWidth="1"/>
    <col min="6" max="16384" width="9.140625" style="12"/>
  </cols>
  <sheetData>
    <row r="1" spans="1:5" ht="15.75" x14ac:dyDescent="0.25">
      <c r="A1" s="130" t="s">
        <v>252</v>
      </c>
      <c r="B1" s="131"/>
      <c r="C1" s="132"/>
      <c r="D1" s="132"/>
      <c r="E1" s="132"/>
    </row>
    <row r="2" spans="1:5" x14ac:dyDescent="0.25">
      <c r="A2" s="128" t="s">
        <v>253</v>
      </c>
      <c r="B2" s="128"/>
      <c r="C2" s="133"/>
      <c r="D2" s="133"/>
      <c r="E2" s="133"/>
    </row>
    <row r="3" spans="1:5" x14ac:dyDescent="0.25">
      <c r="A3" s="134" t="s">
        <v>216</v>
      </c>
      <c r="B3" s="135">
        <v>2024</v>
      </c>
      <c r="C3" s="135">
        <v>2025</v>
      </c>
      <c r="D3" s="135">
        <v>2026</v>
      </c>
      <c r="E3" s="135">
        <v>2027</v>
      </c>
    </row>
    <row r="4" spans="1:5" x14ac:dyDescent="0.25">
      <c r="A4" s="136" t="s">
        <v>217</v>
      </c>
      <c r="B4" s="128"/>
      <c r="C4" s="128"/>
      <c r="D4" s="128"/>
      <c r="E4" s="128"/>
    </row>
    <row r="5" spans="1:5" x14ac:dyDescent="0.25">
      <c r="A5" s="137" t="s">
        <v>218</v>
      </c>
      <c r="B5" s="138">
        <v>3.2187325000000002</v>
      </c>
      <c r="C5" s="138">
        <v>3.1780880000000002</v>
      </c>
      <c r="D5" s="138">
        <v>3.1727265</v>
      </c>
      <c r="E5" s="138">
        <v>3.1727265000000004</v>
      </c>
    </row>
    <row r="6" spans="1:5" x14ac:dyDescent="0.25">
      <c r="A6" s="139" t="s">
        <v>254</v>
      </c>
      <c r="B6" s="129">
        <v>3.24</v>
      </c>
      <c r="C6" s="129">
        <v>3.2</v>
      </c>
      <c r="D6" s="129">
        <v>3.45</v>
      </c>
      <c r="E6" s="129">
        <v>3.65</v>
      </c>
    </row>
    <row r="7" spans="1:5" x14ac:dyDescent="0.25">
      <c r="A7" s="136" t="s">
        <v>255</v>
      </c>
      <c r="B7" s="128"/>
      <c r="C7" s="128"/>
      <c r="D7" s="128"/>
      <c r="E7" s="128"/>
    </row>
    <row r="8" spans="1:5" x14ac:dyDescent="0.25">
      <c r="A8" s="137" t="s">
        <v>256</v>
      </c>
      <c r="B8" s="129">
        <v>3.15</v>
      </c>
      <c r="C8" s="129">
        <v>3</v>
      </c>
      <c r="D8" s="129" t="s">
        <v>222</v>
      </c>
      <c r="E8" s="129" t="s">
        <v>222</v>
      </c>
    </row>
    <row r="9" spans="1:5" x14ac:dyDescent="0.25">
      <c r="A9" s="137" t="s">
        <v>257</v>
      </c>
      <c r="B9" s="129">
        <v>3.2874999999999996</v>
      </c>
      <c r="C9" s="129">
        <v>2.9249999999999998</v>
      </c>
      <c r="D9" s="129" t="s">
        <v>222</v>
      </c>
      <c r="E9" s="129" t="s">
        <v>222</v>
      </c>
    </row>
    <row r="10" spans="1:5" x14ac:dyDescent="0.25">
      <c r="A10" s="137" t="s">
        <v>258</v>
      </c>
      <c r="B10" s="129">
        <v>3.5999999999999996</v>
      </c>
      <c r="C10" s="129" t="s">
        <v>222</v>
      </c>
      <c r="D10" s="129" t="s">
        <v>222</v>
      </c>
      <c r="E10" s="129" t="s">
        <v>222</v>
      </c>
    </row>
    <row r="11" spans="1:5" x14ac:dyDescent="0.25">
      <c r="A11" s="137" t="s">
        <v>259</v>
      </c>
      <c r="B11" s="129" t="s">
        <v>222</v>
      </c>
      <c r="C11" s="129" t="s">
        <v>222</v>
      </c>
      <c r="D11" s="129" t="s">
        <v>222</v>
      </c>
      <c r="E11" s="129" t="s">
        <v>222</v>
      </c>
    </row>
    <row r="12" spans="1:5" x14ac:dyDescent="0.25">
      <c r="A12" s="137" t="s">
        <v>226</v>
      </c>
      <c r="B12" s="138">
        <v>3.0375000000000001</v>
      </c>
      <c r="C12" s="129">
        <v>3.05</v>
      </c>
      <c r="D12" s="129" t="s">
        <v>222</v>
      </c>
      <c r="E12" s="129" t="s">
        <v>222</v>
      </c>
    </row>
    <row r="13" spans="1:5" x14ac:dyDescent="0.25">
      <c r="A13" s="137" t="s">
        <v>260</v>
      </c>
      <c r="B13" s="129">
        <v>3.4750000000000001</v>
      </c>
      <c r="C13" s="129">
        <v>3.3125</v>
      </c>
      <c r="D13" s="129" t="s">
        <v>222</v>
      </c>
      <c r="E13" s="129" t="s">
        <v>222</v>
      </c>
    </row>
    <row r="14" spans="1:5" x14ac:dyDescent="0.25">
      <c r="A14" s="137" t="s">
        <v>228</v>
      </c>
      <c r="B14" s="129">
        <v>3.3375000000000004</v>
      </c>
      <c r="C14" s="129">
        <v>3.6</v>
      </c>
      <c r="D14" s="129" t="s">
        <v>222</v>
      </c>
      <c r="E14" s="129" t="s">
        <v>222</v>
      </c>
    </row>
    <row r="15" spans="1:5" x14ac:dyDescent="0.25">
      <c r="A15" s="140" t="s">
        <v>261</v>
      </c>
      <c r="B15" s="141">
        <v>3.125</v>
      </c>
      <c r="C15" s="141">
        <v>2.85</v>
      </c>
      <c r="D15" s="141" t="s">
        <v>222</v>
      </c>
      <c r="E15" s="141" t="s">
        <v>222</v>
      </c>
    </row>
    <row r="16" spans="1:5" x14ac:dyDescent="0.25">
      <c r="A16" s="128" t="s">
        <v>206</v>
      </c>
      <c r="B16" s="129">
        <v>3.5999999999999996</v>
      </c>
      <c r="C16" s="129">
        <v>3.6</v>
      </c>
      <c r="D16" s="129">
        <v>3.45</v>
      </c>
      <c r="E16" s="129">
        <v>3.65</v>
      </c>
    </row>
    <row r="17" spans="1:5" x14ac:dyDescent="0.25">
      <c r="A17" s="128" t="s">
        <v>207</v>
      </c>
      <c r="B17" s="129">
        <v>3.0375000000000001</v>
      </c>
      <c r="C17" s="129">
        <v>2.85</v>
      </c>
      <c r="D17" s="129">
        <v>3.1727265</v>
      </c>
      <c r="E17" s="129">
        <v>3.1727265000000004</v>
      </c>
    </row>
    <row r="18" spans="1:5" x14ac:dyDescent="0.25">
      <c r="A18" s="117" t="s">
        <v>236</v>
      </c>
      <c r="B18" s="118">
        <v>3.3</v>
      </c>
      <c r="C18" s="118">
        <v>3.1</v>
      </c>
      <c r="D18" s="118">
        <v>3.3</v>
      </c>
      <c r="E18" s="118">
        <v>3.4</v>
      </c>
    </row>
    <row r="19" spans="1:5" x14ac:dyDescent="0.25">
      <c r="A19" s="119" t="s">
        <v>237</v>
      </c>
      <c r="B19" s="120">
        <v>3.7</v>
      </c>
      <c r="C19" s="120">
        <v>3.6</v>
      </c>
      <c r="D19" s="120">
        <v>3.4</v>
      </c>
      <c r="E19" s="120">
        <v>3.4</v>
      </c>
    </row>
    <row r="20" spans="1:5" x14ac:dyDescent="0.25">
      <c r="A20" s="142" t="str">
        <f>"Includes forecasts finalized on or before "&amp;Date&amp;"."</f>
        <v>Includes forecasts finalized on or before January 30, 2024.</v>
      </c>
      <c r="B20" s="143"/>
      <c r="C20" s="144"/>
      <c r="D20" s="132"/>
      <c r="E20" s="132"/>
    </row>
  </sheetData>
  <pageMargins left="0.7" right="0.7" top="0.75" bottom="0.75" header="0.3" footer="0.3"/>
  <headerFooter>
    <oddFooter>&amp;L_x000D_&amp;1#&amp;"Calibri"&amp;11&amp;K000000 Classification: Public</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911A-F9A2-4016-A5FF-47AC0409FF1F}">
  <dimension ref="A1:F19"/>
  <sheetViews>
    <sheetView zoomScaleNormal="100" workbookViewId="0"/>
  </sheetViews>
  <sheetFormatPr defaultRowHeight="15" x14ac:dyDescent="0.25"/>
  <cols>
    <col min="1" max="1" width="45.7109375" style="12" customWidth="1"/>
    <col min="2" max="6" width="9.7109375" style="12" customWidth="1"/>
    <col min="7" max="16384" width="9.140625" style="12"/>
  </cols>
  <sheetData>
    <row r="1" spans="1:6" ht="15.75" x14ac:dyDescent="0.25">
      <c r="A1" s="130" t="s">
        <v>265</v>
      </c>
      <c r="B1" s="128"/>
      <c r="C1" s="103"/>
      <c r="D1" s="161"/>
      <c r="E1" s="162"/>
      <c r="F1" s="163"/>
    </row>
    <row r="2" spans="1:6" x14ac:dyDescent="0.25">
      <c r="A2" s="128" t="s">
        <v>266</v>
      </c>
      <c r="B2" s="128"/>
      <c r="C2" s="106"/>
      <c r="D2" s="164"/>
      <c r="E2" s="164"/>
      <c r="F2" s="164"/>
    </row>
    <row r="3" spans="1:6" x14ac:dyDescent="0.25">
      <c r="A3" s="134" t="s">
        <v>216</v>
      </c>
      <c r="B3" s="135">
        <v>2023</v>
      </c>
      <c r="C3" s="135">
        <v>2024</v>
      </c>
      <c r="D3" s="135">
        <v>2025</v>
      </c>
      <c r="E3" s="135">
        <v>2026</v>
      </c>
      <c r="F3" s="156">
        <v>2027</v>
      </c>
    </row>
    <row r="4" spans="1:6" x14ac:dyDescent="0.25">
      <c r="A4" s="136" t="s">
        <v>217</v>
      </c>
      <c r="B4" s="151"/>
      <c r="C4" s="151"/>
      <c r="D4" s="151"/>
      <c r="E4" s="151"/>
      <c r="F4" s="157"/>
    </row>
    <row r="5" spans="1:6" x14ac:dyDescent="0.25">
      <c r="A5" s="137" t="s">
        <v>267</v>
      </c>
      <c r="B5" s="151">
        <v>2.2000000000000002</v>
      </c>
      <c r="C5" s="151">
        <v>1.5</v>
      </c>
      <c r="D5" s="151">
        <v>2.8</v>
      </c>
      <c r="E5" s="151">
        <v>2.6</v>
      </c>
      <c r="F5" s="158">
        <v>2.5</v>
      </c>
    </row>
    <row r="6" spans="1:6" x14ac:dyDescent="0.25">
      <c r="A6" s="137" t="s">
        <v>219</v>
      </c>
      <c r="B6" s="148">
        <v>1.8</v>
      </c>
      <c r="C6" s="148">
        <v>1.6</v>
      </c>
      <c r="D6" s="148">
        <v>2.1</v>
      </c>
      <c r="E6" s="148">
        <v>2.7</v>
      </c>
      <c r="F6" s="159">
        <v>3.1</v>
      </c>
    </row>
    <row r="7" spans="1:6" x14ac:dyDescent="0.25">
      <c r="A7" s="136" t="s">
        <v>255</v>
      </c>
      <c r="B7" s="151"/>
      <c r="C7" s="151"/>
      <c r="D7" s="151"/>
      <c r="E7" s="151"/>
      <c r="F7" s="158"/>
    </row>
    <row r="8" spans="1:6" x14ac:dyDescent="0.25">
      <c r="A8" s="137" t="s">
        <v>268</v>
      </c>
      <c r="B8" s="151">
        <v>1.8</v>
      </c>
      <c r="C8" s="151">
        <v>1.1000000000000001</v>
      </c>
      <c r="D8" s="151">
        <v>2.2000000000000002</v>
      </c>
      <c r="E8" s="151" t="s">
        <v>222</v>
      </c>
      <c r="F8" s="158" t="s">
        <v>222</v>
      </c>
    </row>
    <row r="9" spans="1:6" x14ac:dyDescent="0.25">
      <c r="A9" s="137" t="s">
        <v>269</v>
      </c>
      <c r="B9" s="151">
        <v>2.1</v>
      </c>
      <c r="C9" s="151">
        <v>1.5</v>
      </c>
      <c r="D9" s="151">
        <v>2.8</v>
      </c>
      <c r="E9" s="158" t="s">
        <v>222</v>
      </c>
      <c r="F9" s="158" t="s">
        <v>222</v>
      </c>
    </row>
    <row r="10" spans="1:6" x14ac:dyDescent="0.25">
      <c r="A10" s="137" t="s">
        <v>259</v>
      </c>
      <c r="B10" s="151">
        <v>2.6</v>
      </c>
      <c r="C10" s="151">
        <v>1.1000000000000001</v>
      </c>
      <c r="D10" s="151" t="s">
        <v>222</v>
      </c>
      <c r="E10" s="151" t="s">
        <v>222</v>
      </c>
      <c r="F10" s="158" t="s">
        <v>222</v>
      </c>
    </row>
    <row r="11" spans="1:6" x14ac:dyDescent="0.25">
      <c r="A11" s="137" t="s">
        <v>226</v>
      </c>
      <c r="B11" s="151">
        <v>1.8</v>
      </c>
      <c r="C11" s="151">
        <v>0.4</v>
      </c>
      <c r="D11" s="151">
        <v>1.9</v>
      </c>
      <c r="E11" s="151" t="s">
        <v>222</v>
      </c>
      <c r="F11" s="158" t="s">
        <v>222</v>
      </c>
    </row>
    <row r="12" spans="1:6" x14ac:dyDescent="0.25">
      <c r="A12" s="137" t="s">
        <v>260</v>
      </c>
      <c r="B12" s="151">
        <v>2.2000000000000002</v>
      </c>
      <c r="C12" s="151">
        <v>1.7</v>
      </c>
      <c r="D12" s="151">
        <v>2.5</v>
      </c>
      <c r="E12" s="151" t="s">
        <v>222</v>
      </c>
      <c r="F12" s="158" t="s">
        <v>222</v>
      </c>
    </row>
    <row r="13" spans="1:6" x14ac:dyDescent="0.25">
      <c r="A13" s="137" t="s">
        <v>228</v>
      </c>
      <c r="B13" s="151">
        <v>2.2000000000000002</v>
      </c>
      <c r="C13" s="151">
        <v>1</v>
      </c>
      <c r="D13" s="151">
        <v>2.8</v>
      </c>
      <c r="E13" s="151" t="s">
        <v>222</v>
      </c>
      <c r="F13" s="158" t="s">
        <v>222</v>
      </c>
    </row>
    <row r="14" spans="1:6" x14ac:dyDescent="0.25">
      <c r="A14" s="140" t="s">
        <v>270</v>
      </c>
      <c r="B14" s="152">
        <v>2.2000000000000002</v>
      </c>
      <c r="C14" s="152">
        <v>1.4</v>
      </c>
      <c r="D14" s="152">
        <v>1.8</v>
      </c>
      <c r="E14" s="152" t="s">
        <v>222</v>
      </c>
      <c r="F14" s="160" t="s">
        <v>222</v>
      </c>
    </row>
    <row r="15" spans="1:6" x14ac:dyDescent="0.25">
      <c r="A15" s="128" t="s">
        <v>206</v>
      </c>
      <c r="B15" s="151">
        <v>2.6</v>
      </c>
      <c r="C15" s="151">
        <v>1.7</v>
      </c>
      <c r="D15" s="151">
        <v>2.8</v>
      </c>
      <c r="E15" s="151">
        <v>2.7</v>
      </c>
      <c r="F15" s="151">
        <v>3.1</v>
      </c>
    </row>
    <row r="16" spans="1:6" x14ac:dyDescent="0.25">
      <c r="A16" s="128" t="s">
        <v>207</v>
      </c>
      <c r="B16" s="151">
        <v>1.8</v>
      </c>
      <c r="C16" s="151">
        <v>0.4</v>
      </c>
      <c r="D16" s="151">
        <v>1.8</v>
      </c>
      <c r="E16" s="151">
        <v>2.6</v>
      </c>
      <c r="F16" s="151">
        <v>2.5</v>
      </c>
    </row>
    <row r="17" spans="1:6" x14ac:dyDescent="0.25">
      <c r="A17" s="117" t="s">
        <v>236</v>
      </c>
      <c r="B17" s="153">
        <v>2.0999999999999996</v>
      </c>
      <c r="C17" s="153">
        <v>1.2555555555555555</v>
      </c>
      <c r="D17" s="153">
        <v>2.3625000000000003</v>
      </c>
      <c r="E17" s="153">
        <v>2.6500000000000004</v>
      </c>
      <c r="F17" s="153">
        <v>2.8</v>
      </c>
    </row>
    <row r="18" spans="1:6" x14ac:dyDescent="0.25">
      <c r="A18" s="119" t="s">
        <v>237</v>
      </c>
      <c r="B18" s="154">
        <v>2.5</v>
      </c>
      <c r="C18" s="154">
        <v>2.9</v>
      </c>
      <c r="D18" s="154">
        <v>3.3</v>
      </c>
      <c r="E18" s="154">
        <v>2.8</v>
      </c>
      <c r="F18" s="154">
        <v>2.6</v>
      </c>
    </row>
    <row r="19" spans="1:6" x14ac:dyDescent="0.25">
      <c r="A19" s="165" t="str">
        <f>"Includes forecasts finalized on or before "&amp;Date2&amp;"."</f>
        <v>Includes forecasts finalized on or before January 30, 2024.</v>
      </c>
      <c r="B19" s="133"/>
      <c r="C19" s="133"/>
      <c r="D19" s="133"/>
      <c r="E19" s="133"/>
      <c r="F19" s="133"/>
    </row>
  </sheetData>
  <pageMargins left="0.7" right="0.7" top="0.75" bottom="0.75" header="0.3" footer="0.3"/>
  <headerFooter>
    <oddFooter>&amp;L_x000D_&amp;1#&amp;"Calibri"&amp;11&amp;K000000 Classification: Public</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626B-B425-4FF5-9F83-73DBEEB3ECBF}">
  <dimension ref="A1:F18"/>
  <sheetViews>
    <sheetView zoomScaleNormal="100" workbookViewId="0"/>
  </sheetViews>
  <sheetFormatPr defaultRowHeight="15" x14ac:dyDescent="0.25"/>
  <cols>
    <col min="1" max="1" width="45.7109375" style="12" customWidth="1"/>
    <col min="2" max="6" width="9.7109375" style="12" customWidth="1"/>
    <col min="7" max="16384" width="9.140625" style="12"/>
  </cols>
  <sheetData>
    <row r="1" spans="1:6" ht="15.75" x14ac:dyDescent="0.25">
      <c r="A1" s="130" t="s">
        <v>271</v>
      </c>
      <c r="B1" s="128"/>
      <c r="C1" s="103"/>
      <c r="D1" s="161"/>
      <c r="E1" s="162"/>
      <c r="F1" s="164"/>
    </row>
    <row r="2" spans="1:6" x14ac:dyDescent="0.25">
      <c r="A2" s="128" t="s">
        <v>266</v>
      </c>
      <c r="B2" s="128"/>
      <c r="C2" s="106"/>
      <c r="D2" s="164"/>
      <c r="E2" s="164"/>
      <c r="F2" s="164"/>
    </row>
    <row r="3" spans="1:6" x14ac:dyDescent="0.25">
      <c r="A3" s="134" t="s">
        <v>216</v>
      </c>
      <c r="B3" s="135">
        <v>2023</v>
      </c>
      <c r="C3" s="135">
        <v>2024</v>
      </c>
      <c r="D3" s="135">
        <v>2025</v>
      </c>
      <c r="E3" s="135">
        <v>2026</v>
      </c>
      <c r="F3" s="156">
        <v>2027</v>
      </c>
    </row>
    <row r="4" spans="1:6" x14ac:dyDescent="0.25">
      <c r="A4" s="136" t="s">
        <v>217</v>
      </c>
      <c r="B4" s="151"/>
      <c r="C4" s="151"/>
      <c r="D4" s="151"/>
      <c r="E4" s="151"/>
      <c r="F4" s="157"/>
    </row>
    <row r="5" spans="1:6" x14ac:dyDescent="0.25">
      <c r="A5" s="137" t="s">
        <v>272</v>
      </c>
      <c r="B5" s="151">
        <v>-3.345651789433346</v>
      </c>
      <c r="C5" s="151">
        <v>3.4757874417498336</v>
      </c>
      <c r="D5" s="151">
        <v>3.5210083654057645</v>
      </c>
      <c r="E5" s="151">
        <v>3.7638301282797437</v>
      </c>
      <c r="F5" s="151">
        <v>4.3934804545528561</v>
      </c>
    </row>
    <row r="6" spans="1:6" x14ac:dyDescent="0.25">
      <c r="A6" s="137" t="s">
        <v>219</v>
      </c>
      <c r="B6" s="151">
        <v>-3.8</v>
      </c>
      <c r="C6" s="151">
        <v>3.9</v>
      </c>
      <c r="D6" s="151">
        <v>6.7</v>
      </c>
      <c r="E6" s="151">
        <v>7.5</v>
      </c>
      <c r="F6" s="151">
        <v>5.93</v>
      </c>
    </row>
    <row r="7" spans="1:6" x14ac:dyDescent="0.25">
      <c r="A7" s="166" t="s">
        <v>255</v>
      </c>
      <c r="B7" s="151"/>
      <c r="C7" s="151"/>
      <c r="D7" s="151"/>
      <c r="E7" s="151"/>
      <c r="F7" s="157"/>
    </row>
    <row r="8" spans="1:6" x14ac:dyDescent="0.25">
      <c r="A8" s="137" t="s">
        <v>269</v>
      </c>
      <c r="B8" s="151">
        <v>0.1</v>
      </c>
      <c r="C8" s="151">
        <v>6.5</v>
      </c>
      <c r="D8" s="151">
        <v>4.8</v>
      </c>
      <c r="E8" s="151" t="s">
        <v>222</v>
      </c>
      <c r="F8" s="151" t="s">
        <v>222</v>
      </c>
    </row>
    <row r="9" spans="1:6" x14ac:dyDescent="0.25">
      <c r="A9" s="137" t="s">
        <v>259</v>
      </c>
      <c r="B9" s="151">
        <v>1.3</v>
      </c>
      <c r="C9" s="151">
        <v>3.4</v>
      </c>
      <c r="D9" s="151" t="s">
        <v>222</v>
      </c>
      <c r="E9" s="151" t="s">
        <v>222</v>
      </c>
      <c r="F9" s="151" t="s">
        <v>222</v>
      </c>
    </row>
    <row r="10" spans="1:6" x14ac:dyDescent="0.25">
      <c r="A10" s="137" t="s">
        <v>226</v>
      </c>
      <c r="B10" s="151">
        <v>-1</v>
      </c>
      <c r="C10" s="151">
        <v>0.8</v>
      </c>
      <c r="D10" s="151">
        <v>5.4</v>
      </c>
      <c r="E10" s="151" t="s">
        <v>222</v>
      </c>
      <c r="F10" s="151" t="s">
        <v>222</v>
      </c>
    </row>
    <row r="11" spans="1:6" x14ac:dyDescent="0.25">
      <c r="A11" s="137" t="s">
        <v>260</v>
      </c>
      <c r="B11" s="151">
        <v>-0.9</v>
      </c>
      <c r="C11" s="151">
        <v>3.4</v>
      </c>
      <c r="D11" s="151">
        <v>3.1</v>
      </c>
      <c r="E11" s="151" t="s">
        <v>222</v>
      </c>
      <c r="F11" s="151" t="s">
        <v>222</v>
      </c>
    </row>
    <row r="12" spans="1:6" x14ac:dyDescent="0.25">
      <c r="A12" s="137" t="s">
        <v>228</v>
      </c>
      <c r="B12" s="151">
        <v>-1.6</v>
      </c>
      <c r="C12" s="151">
        <v>3.2</v>
      </c>
      <c r="D12" s="151">
        <v>4.9000000000000004</v>
      </c>
      <c r="E12" s="151" t="s">
        <v>222</v>
      </c>
      <c r="F12" s="151" t="s">
        <v>222</v>
      </c>
    </row>
    <row r="13" spans="1:6" x14ac:dyDescent="0.25">
      <c r="A13" s="140" t="s">
        <v>270</v>
      </c>
      <c r="B13" s="152">
        <v>-1.3</v>
      </c>
      <c r="C13" s="152">
        <v>4.4000000000000004</v>
      </c>
      <c r="D13" s="152">
        <v>3.7</v>
      </c>
      <c r="E13" s="152" t="s">
        <v>222</v>
      </c>
      <c r="F13" s="152" t="s">
        <v>222</v>
      </c>
    </row>
    <row r="14" spans="1:6" x14ac:dyDescent="0.25">
      <c r="A14" s="128" t="s">
        <v>206</v>
      </c>
      <c r="B14" s="151">
        <f>IF(MAX(B5:B13)&lt;&gt;0,MAX(B5:B13),"n/a")</f>
        <v>1.3</v>
      </c>
      <c r="C14" s="151">
        <f>IF(MAX(C5:C13)&lt;&gt;0,MAX(C5:C13),"n/a")</f>
        <v>6.5</v>
      </c>
      <c r="D14" s="151">
        <f>IF(MAX(D5:D13)&lt;&gt;0,MAX(D5:D13),"n/a")</f>
        <v>6.7</v>
      </c>
      <c r="E14" s="151">
        <f>IF(MAX(E5:E13)&lt;&gt;0,MAX(E5:E13),"n/a")</f>
        <v>7.5</v>
      </c>
      <c r="F14" s="151">
        <f>IF(MAX(F5:F13)&lt;&gt;0,MAX(F5:F13),"n/a")</f>
        <v>5.93</v>
      </c>
    </row>
    <row r="15" spans="1:6" x14ac:dyDescent="0.25">
      <c r="A15" s="128" t="s">
        <v>207</v>
      </c>
      <c r="B15" s="151">
        <f>IF(MIN(B5:B13)&lt;&gt;0,MIN(B5:B13),"n/a")</f>
        <v>-3.8</v>
      </c>
      <c r="C15" s="151">
        <f>IF(MIN(C5:C13)&lt;&gt;0,MIN(C5:C13),"n/a")</f>
        <v>0.8</v>
      </c>
      <c r="D15" s="151">
        <f>IF(MIN(D5:D13)&lt;&gt;0,MIN(D5:D13),"n/a")</f>
        <v>3.1</v>
      </c>
      <c r="E15" s="151">
        <f>IF(MIN(E5:E13)&lt;&gt;0,MIN(E5:E13),"n/a")</f>
        <v>3.7638301282797437</v>
      </c>
      <c r="F15" s="151">
        <f>IF(MIN(F5:F13)&lt;&gt;0,MIN(F5:F13),"n/a")</f>
        <v>4.3934804545528561</v>
      </c>
    </row>
    <row r="16" spans="1:6" x14ac:dyDescent="0.25">
      <c r="A16" s="117" t="s">
        <v>236</v>
      </c>
      <c r="B16" s="153">
        <f>IFERROR(AVERAGE(B5:B13),"n/a")</f>
        <v>-1.3182064736791685</v>
      </c>
      <c r="C16" s="153">
        <f>IFERROR(AVERAGE(C5:C13),"n/a")</f>
        <v>3.6344734302187289</v>
      </c>
      <c r="D16" s="153">
        <f>IFERROR(AVERAGE(D5:D13),"n/a")</f>
        <v>4.5887154807722528</v>
      </c>
      <c r="E16" s="153">
        <f>IFERROR(AVERAGE(E5:E13),"n/a")</f>
        <v>5.6319150641398714</v>
      </c>
      <c r="F16" s="153">
        <f>IFERROR(AVERAGE(F5:F13),"n/a")</f>
        <v>5.1617402272764279</v>
      </c>
    </row>
    <row r="17" spans="1:6" x14ac:dyDescent="0.25">
      <c r="A17" s="119" t="s">
        <v>237</v>
      </c>
      <c r="B17" s="154">
        <v>-4.0999999999999996</v>
      </c>
      <c r="C17" s="154">
        <v>3.5</v>
      </c>
      <c r="D17" s="154">
        <v>6.1</v>
      </c>
      <c r="E17" s="154">
        <v>5.5</v>
      </c>
      <c r="F17" s="154">
        <v>4.9000000000000004</v>
      </c>
    </row>
    <row r="18" spans="1:6" x14ac:dyDescent="0.25">
      <c r="A18" s="165" t="str">
        <f>"Includes forecasts finalized on or before "&amp;Date2&amp;"."</f>
        <v>Includes forecasts finalized on or before January 30, 2024.</v>
      </c>
      <c r="B18" s="132"/>
      <c r="C18" s="132"/>
      <c r="D18" s="132"/>
      <c r="E18" s="132"/>
      <c r="F18" s="133"/>
    </row>
  </sheetData>
  <pageMargins left="0.7" right="0.7" top="0.75" bottom="0.75" header="0.3" footer="0.3"/>
  <headerFooter>
    <oddFooter>&amp;L_x000D_&amp;1#&amp;"Calibri"&amp;11&amp;K000000 Classification: Public</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237C-7AF1-4FEB-A539-A308C8987910}">
  <dimension ref="A1:E18"/>
  <sheetViews>
    <sheetView zoomScaleNormal="100" workbookViewId="0"/>
  </sheetViews>
  <sheetFormatPr defaultRowHeight="15" x14ac:dyDescent="0.25"/>
  <cols>
    <col min="1" max="1" width="45.7109375" style="12" customWidth="1"/>
    <col min="2" max="5" width="9.7109375" style="12" customWidth="1"/>
    <col min="6" max="16384" width="9.140625" style="12"/>
  </cols>
  <sheetData>
    <row r="1" spans="1:5" ht="15.75" x14ac:dyDescent="0.25">
      <c r="A1" s="167" t="s">
        <v>273</v>
      </c>
      <c r="B1" s="103"/>
      <c r="C1" s="103"/>
      <c r="D1" s="103"/>
      <c r="E1" s="103"/>
    </row>
    <row r="2" spans="1:5" x14ac:dyDescent="0.25">
      <c r="A2" s="168" t="s">
        <v>266</v>
      </c>
      <c r="B2" s="106"/>
      <c r="C2" s="106"/>
      <c r="D2" s="106"/>
      <c r="E2" s="106"/>
    </row>
    <row r="3" spans="1:5" x14ac:dyDescent="0.25">
      <c r="A3" s="169" t="s">
        <v>216</v>
      </c>
      <c r="B3" s="170">
        <v>2024</v>
      </c>
      <c r="C3" s="170">
        <v>2025</v>
      </c>
      <c r="D3" s="170">
        <v>2026</v>
      </c>
      <c r="E3" s="170">
        <v>2027</v>
      </c>
    </row>
    <row r="4" spans="1:5" x14ac:dyDescent="0.25">
      <c r="A4" s="171" t="s">
        <v>217</v>
      </c>
      <c r="B4" s="172"/>
      <c r="C4" s="172"/>
      <c r="D4" s="172"/>
      <c r="E4" s="172"/>
    </row>
    <row r="5" spans="1:5" x14ac:dyDescent="0.25">
      <c r="A5" s="173" t="s">
        <v>267</v>
      </c>
      <c r="B5" s="172">
        <v>1.9</v>
      </c>
      <c r="C5" s="172">
        <v>2.6</v>
      </c>
      <c r="D5" s="172">
        <v>2.2000000000000002</v>
      </c>
      <c r="E5" s="172">
        <v>2.2999999999999998</v>
      </c>
    </row>
    <row r="6" spans="1:5" x14ac:dyDescent="0.25">
      <c r="A6" s="173" t="s">
        <v>219</v>
      </c>
      <c r="B6" s="172">
        <v>2.6</v>
      </c>
      <c r="C6" s="172">
        <v>1.9</v>
      </c>
      <c r="D6" s="172">
        <v>1.8</v>
      </c>
      <c r="E6" s="172">
        <v>2.1</v>
      </c>
    </row>
    <row r="7" spans="1:5" x14ac:dyDescent="0.25">
      <c r="A7" s="174" t="s">
        <v>255</v>
      </c>
      <c r="B7" s="172"/>
      <c r="C7" s="172"/>
      <c r="D7" s="172"/>
      <c r="E7" s="172"/>
    </row>
    <row r="8" spans="1:5" x14ac:dyDescent="0.25">
      <c r="A8" s="173" t="s">
        <v>268</v>
      </c>
      <c r="B8" s="172">
        <v>2.4</v>
      </c>
      <c r="C8" s="172">
        <v>1.9</v>
      </c>
      <c r="D8" s="172" t="s">
        <v>222</v>
      </c>
      <c r="E8" s="172" t="s">
        <v>222</v>
      </c>
    </row>
    <row r="9" spans="1:5" x14ac:dyDescent="0.25">
      <c r="A9" s="173" t="s">
        <v>259</v>
      </c>
      <c r="B9" s="175">
        <v>1.3</v>
      </c>
      <c r="C9" s="175" t="s">
        <v>222</v>
      </c>
      <c r="D9" s="175" t="s">
        <v>222</v>
      </c>
      <c r="E9" s="175" t="s">
        <v>222</v>
      </c>
    </row>
    <row r="10" spans="1:5" x14ac:dyDescent="0.25">
      <c r="A10" s="173" t="s">
        <v>226</v>
      </c>
      <c r="B10" s="175">
        <v>1.1000000000000001</v>
      </c>
      <c r="C10" s="175">
        <v>1.4</v>
      </c>
      <c r="D10" s="175" t="s">
        <v>222</v>
      </c>
      <c r="E10" s="175" t="s">
        <v>222</v>
      </c>
    </row>
    <row r="11" spans="1:5" x14ac:dyDescent="0.25">
      <c r="A11" s="173" t="s">
        <v>260</v>
      </c>
      <c r="B11" s="175">
        <v>2.2999999999999998</v>
      </c>
      <c r="C11" s="175">
        <v>2.1</v>
      </c>
      <c r="D11" s="175" t="s">
        <v>222</v>
      </c>
      <c r="E11" s="175" t="s">
        <v>222</v>
      </c>
    </row>
    <row r="12" spans="1:5" x14ac:dyDescent="0.25">
      <c r="A12" s="173" t="s">
        <v>228</v>
      </c>
      <c r="B12" s="175">
        <v>1.2</v>
      </c>
      <c r="C12" s="175">
        <v>2.9</v>
      </c>
      <c r="D12" s="175" t="s">
        <v>222</v>
      </c>
      <c r="E12" s="175" t="s">
        <v>222</v>
      </c>
    </row>
    <row r="13" spans="1:5" x14ac:dyDescent="0.25">
      <c r="A13" s="176" t="s">
        <v>270</v>
      </c>
      <c r="B13" s="177">
        <v>1.4</v>
      </c>
      <c r="C13" s="177">
        <v>1</v>
      </c>
      <c r="D13" s="177" t="s">
        <v>222</v>
      </c>
      <c r="E13" s="177" t="s">
        <v>222</v>
      </c>
    </row>
    <row r="14" spans="1:5" x14ac:dyDescent="0.25">
      <c r="A14" s="168" t="s">
        <v>206</v>
      </c>
      <c r="B14" s="172">
        <f>IF(MAX(B5:B13)&lt;&gt;0,MAX(B5:B13),"n/a")</f>
        <v>2.6</v>
      </c>
      <c r="C14" s="172">
        <f>IF(MAX(C5:C13)&lt;&gt;0,MAX(C5:C13),"n/a")</f>
        <v>2.9</v>
      </c>
      <c r="D14" s="172">
        <f>IF(MAX(D5:D13)&lt;&gt;0,MAX(D5:D13),"n/a")</f>
        <v>2.2000000000000002</v>
      </c>
      <c r="E14" s="172">
        <f>IF(MAX(E5:E13)&lt;&gt;0,MAX(E5:E13),"n/a")</f>
        <v>2.2999999999999998</v>
      </c>
    </row>
    <row r="15" spans="1:5" x14ac:dyDescent="0.25">
      <c r="A15" s="168" t="s">
        <v>207</v>
      </c>
      <c r="B15" s="172">
        <f>IF(MIN(B5:B13)&lt;&gt;0,MIN(B5:B13),"n/a")</f>
        <v>1.1000000000000001</v>
      </c>
      <c r="C15" s="172">
        <f>IF(MIN(C5:C13)&lt;&gt;0,MIN(C5:C13),"n/a")</f>
        <v>1</v>
      </c>
      <c r="D15" s="172">
        <f>IF(MIN(D5:D13)&lt;&gt;0,MIN(D5:D13),"n/a")</f>
        <v>1.8</v>
      </c>
      <c r="E15" s="172">
        <f>IF(MIN(E5:E13)&lt;&gt;0,MIN(E5:E13),"n/a")</f>
        <v>2.1</v>
      </c>
    </row>
    <row r="16" spans="1:5" x14ac:dyDescent="0.25">
      <c r="A16" s="117" t="s">
        <v>236</v>
      </c>
      <c r="B16" s="153">
        <f>IFERROR(AVERAGE(B5:B13),"n/a")</f>
        <v>1.7750000000000001</v>
      </c>
      <c r="C16" s="153">
        <f>IFERROR(AVERAGE(C5:C13),"n/a")</f>
        <v>1.9714285714285715</v>
      </c>
      <c r="D16" s="153">
        <f>IFERROR(AVERAGE(D5:D13),"n/a")</f>
        <v>2</v>
      </c>
      <c r="E16" s="153">
        <f>IFERROR(AVERAGE(E5:E13),"n/a")</f>
        <v>2.2000000000000002</v>
      </c>
    </row>
    <row r="17" spans="1:5" x14ac:dyDescent="0.25">
      <c r="A17" s="119" t="s">
        <v>237</v>
      </c>
      <c r="B17" s="154">
        <v>3</v>
      </c>
      <c r="C17" s="154">
        <v>3.1</v>
      </c>
      <c r="D17" s="154">
        <v>2.5</v>
      </c>
      <c r="E17" s="154">
        <v>2.5</v>
      </c>
    </row>
    <row r="18" spans="1:5" x14ac:dyDescent="0.25">
      <c r="A18" s="178" t="str">
        <f>"Includes forecasts finalized on or before "&amp;Date2&amp;"."</f>
        <v>Includes forecasts finalized on or before January 30, 2024.</v>
      </c>
      <c r="B18" s="179"/>
      <c r="C18" s="180"/>
      <c r="D18" s="103"/>
      <c r="E18" s="103"/>
    </row>
  </sheetData>
  <pageMargins left="0.7" right="0.7" top="0.75" bottom="0.75" header="0.3" footer="0.3"/>
  <headerFooter>
    <oddFooter>&amp;L_x000D_&amp;1#&amp;"Calibri"&amp;11&amp;K000000 Classification: Public</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15C0-86A7-4945-97B7-9EDC1B1217F0}">
  <dimension ref="A1:E19"/>
  <sheetViews>
    <sheetView zoomScaleNormal="100" workbookViewId="0"/>
  </sheetViews>
  <sheetFormatPr defaultRowHeight="15" x14ac:dyDescent="0.25"/>
  <cols>
    <col min="1" max="1" width="45.7109375" style="12" customWidth="1"/>
    <col min="2" max="5" width="9.7109375" style="12" customWidth="1"/>
    <col min="6" max="16384" width="9.140625" style="12"/>
  </cols>
  <sheetData>
    <row r="1" spans="1:5" ht="15.75" x14ac:dyDescent="0.25">
      <c r="A1" s="167" t="s">
        <v>274</v>
      </c>
      <c r="B1" s="103"/>
      <c r="C1" s="103"/>
      <c r="D1" s="103"/>
      <c r="E1" s="103"/>
    </row>
    <row r="2" spans="1:5" x14ac:dyDescent="0.25">
      <c r="A2" s="168" t="s">
        <v>275</v>
      </c>
      <c r="B2" s="106"/>
      <c r="C2" s="106"/>
      <c r="D2" s="106"/>
      <c r="E2" s="106"/>
    </row>
    <row r="3" spans="1:5" x14ac:dyDescent="0.25">
      <c r="A3" s="169" t="s">
        <v>216</v>
      </c>
      <c r="B3" s="170">
        <v>2024</v>
      </c>
      <c r="C3" s="170">
        <v>2025</v>
      </c>
      <c r="D3" s="170">
        <v>2026</v>
      </c>
      <c r="E3" s="170">
        <v>2027</v>
      </c>
    </row>
    <row r="4" spans="1:5" x14ac:dyDescent="0.25">
      <c r="A4" s="171" t="s">
        <v>217</v>
      </c>
      <c r="B4" s="175"/>
      <c r="C4" s="175"/>
      <c r="D4" s="175"/>
      <c r="E4" s="175"/>
    </row>
    <row r="5" spans="1:5" x14ac:dyDescent="0.25">
      <c r="A5" s="173" t="s">
        <v>267</v>
      </c>
      <c r="B5" s="172">
        <v>6.2</v>
      </c>
      <c r="C5" s="172">
        <v>6</v>
      </c>
      <c r="D5" s="172">
        <v>6</v>
      </c>
      <c r="E5" s="172">
        <v>6</v>
      </c>
    </row>
    <row r="6" spans="1:5" x14ac:dyDescent="0.25">
      <c r="A6" s="181" t="s">
        <v>219</v>
      </c>
      <c r="B6" s="175">
        <v>6.4</v>
      </c>
      <c r="C6" s="175">
        <v>6.6</v>
      </c>
      <c r="D6" s="175">
        <v>6.3</v>
      </c>
      <c r="E6" s="175">
        <v>6.1</v>
      </c>
    </row>
    <row r="7" spans="1:5" x14ac:dyDescent="0.25">
      <c r="A7" s="171" t="s">
        <v>255</v>
      </c>
      <c r="B7" s="175"/>
      <c r="C7" s="175"/>
      <c r="D7" s="175"/>
      <c r="E7" s="175"/>
    </row>
    <row r="8" spans="1:5" x14ac:dyDescent="0.25">
      <c r="A8" s="173" t="s">
        <v>268</v>
      </c>
      <c r="B8" s="172">
        <v>6</v>
      </c>
      <c r="C8" s="172">
        <v>5.7</v>
      </c>
      <c r="D8" s="172" t="s">
        <v>222</v>
      </c>
      <c r="E8" s="172" t="s">
        <v>222</v>
      </c>
    </row>
    <row r="9" spans="1:5" x14ac:dyDescent="0.25">
      <c r="A9" s="173" t="s">
        <v>269</v>
      </c>
      <c r="B9" s="175">
        <v>6.3</v>
      </c>
      <c r="C9" s="175">
        <v>5.9</v>
      </c>
      <c r="D9" s="175" t="s">
        <v>222</v>
      </c>
      <c r="E9" s="175" t="s">
        <v>222</v>
      </c>
    </row>
    <row r="10" spans="1:5" x14ac:dyDescent="0.25">
      <c r="A10" s="173" t="s">
        <v>259</v>
      </c>
      <c r="B10" s="175">
        <v>6.5</v>
      </c>
      <c r="C10" s="175" t="s">
        <v>222</v>
      </c>
      <c r="D10" s="175" t="s">
        <v>222</v>
      </c>
      <c r="E10" s="175" t="s">
        <v>222</v>
      </c>
    </row>
    <row r="11" spans="1:5" x14ac:dyDescent="0.25">
      <c r="A11" s="173" t="s">
        <v>226</v>
      </c>
      <c r="B11" s="175">
        <v>7.1</v>
      </c>
      <c r="C11" s="175">
        <v>7.6</v>
      </c>
      <c r="D11" s="175" t="s">
        <v>222</v>
      </c>
      <c r="E11" s="175" t="s">
        <v>222</v>
      </c>
    </row>
    <row r="12" spans="1:5" x14ac:dyDescent="0.25">
      <c r="A12" s="173" t="s">
        <v>260</v>
      </c>
      <c r="B12" s="175">
        <v>5.8</v>
      </c>
      <c r="C12" s="175">
        <v>5.7</v>
      </c>
      <c r="D12" s="175" t="s">
        <v>222</v>
      </c>
      <c r="E12" s="175" t="s">
        <v>222</v>
      </c>
    </row>
    <row r="13" spans="1:5" x14ac:dyDescent="0.25">
      <c r="A13" s="173" t="s">
        <v>228</v>
      </c>
      <c r="B13" s="175">
        <v>6.8</v>
      </c>
      <c r="C13" s="175">
        <v>7</v>
      </c>
      <c r="D13" s="175" t="s">
        <v>222</v>
      </c>
      <c r="E13" s="175" t="s">
        <v>222</v>
      </c>
    </row>
    <row r="14" spans="1:5" x14ac:dyDescent="0.25">
      <c r="A14" s="176" t="s">
        <v>270</v>
      </c>
      <c r="B14" s="177">
        <v>6.3</v>
      </c>
      <c r="C14" s="177">
        <v>6.4</v>
      </c>
      <c r="D14" s="177" t="s">
        <v>222</v>
      </c>
      <c r="E14" s="177" t="s">
        <v>222</v>
      </c>
    </row>
    <row r="15" spans="1:5" x14ac:dyDescent="0.25">
      <c r="A15" s="168" t="s">
        <v>206</v>
      </c>
      <c r="B15" s="175">
        <f>IF(MAX(B5:B14)&lt;&gt;0,MAX(B5:B14),"n/a")</f>
        <v>7.1</v>
      </c>
      <c r="C15" s="175">
        <f>IF(MAX(C5:C14)&lt;&gt;0,MAX(C5:C14),"n/a")</f>
        <v>7.6</v>
      </c>
      <c r="D15" s="175">
        <f>IF(MAX(D5:D14)&lt;&gt;0,MAX(D5:D14),"n/a")</f>
        <v>6.3</v>
      </c>
      <c r="E15" s="175">
        <f>IF(MAX(E5:E14)&lt;&gt;0,MAX(E5:E14),"n/a")</f>
        <v>6.1</v>
      </c>
    </row>
    <row r="16" spans="1:5" x14ac:dyDescent="0.25">
      <c r="A16" s="168" t="s">
        <v>207</v>
      </c>
      <c r="B16" s="175">
        <f>IF(MIN(B5:B14)&lt;&gt;0,MIN(B5:B14),"n/a")</f>
        <v>5.8</v>
      </c>
      <c r="C16" s="175">
        <f>IF(MIN(C5:C14)&lt;&gt;0,MIN(C5:C14),"n/a")</f>
        <v>5.7</v>
      </c>
      <c r="D16" s="175">
        <f>IF(MIN(D5:D14)&lt;&gt;0,MIN(D5:D14),"n/a")</f>
        <v>6</v>
      </c>
      <c r="E16" s="175">
        <f>IF(MIN(E5:E14)&lt;&gt;0,MIN(E5:E14),"n/a")</f>
        <v>6</v>
      </c>
    </row>
    <row r="17" spans="1:5" x14ac:dyDescent="0.25">
      <c r="A17" s="117" t="s">
        <v>236</v>
      </c>
      <c r="B17" s="153">
        <f>IFERROR(AVERAGE(B5:B14),"n/a")</f>
        <v>6.3777777777777764</v>
      </c>
      <c r="C17" s="153">
        <f>IFERROR(AVERAGE(C5:C14),"n/a")</f>
        <v>6.3625000000000007</v>
      </c>
      <c r="D17" s="153">
        <f>IFERROR(AVERAGE(D5:D14),"n/a")</f>
        <v>6.15</v>
      </c>
      <c r="E17" s="153">
        <f>IFERROR(AVERAGE(E5:E14),"n/a")</f>
        <v>6.05</v>
      </c>
    </row>
    <row r="18" spans="1:5" x14ac:dyDescent="0.25">
      <c r="A18" s="119" t="s">
        <v>237</v>
      </c>
      <c r="B18" s="154">
        <v>6.5</v>
      </c>
      <c r="C18" s="154">
        <v>6</v>
      </c>
      <c r="D18" s="154">
        <v>5.8</v>
      </c>
      <c r="E18" s="154">
        <v>5.8</v>
      </c>
    </row>
    <row r="19" spans="1:5" x14ac:dyDescent="0.25">
      <c r="A19" s="178" t="str">
        <f>"Includes forecasts finalized on or before "&amp;Date2&amp;"."</f>
        <v>Includes forecasts finalized on or before January 30, 2024.</v>
      </c>
      <c r="B19" s="179"/>
      <c r="C19" s="180"/>
      <c r="D19" s="103"/>
      <c r="E19" s="103"/>
    </row>
  </sheetData>
  <pageMargins left="0.7" right="0.7" top="0.75" bottom="0.75" header="0.3" footer="0.3"/>
  <headerFooter>
    <oddFooter>&amp;L_x000D_&amp;1#&amp;"Calibri"&amp;11&amp;K000000 Classification: Public</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006F-4257-4DB1-A738-2F55AE28FEE4}">
  <dimension ref="A1:E19"/>
  <sheetViews>
    <sheetView zoomScaleNormal="100" workbookViewId="0"/>
  </sheetViews>
  <sheetFormatPr defaultRowHeight="15" x14ac:dyDescent="0.25"/>
  <cols>
    <col min="1" max="1" width="45.7109375" style="12" customWidth="1"/>
    <col min="2" max="5" width="9.7109375" style="12" customWidth="1"/>
    <col min="6" max="16384" width="9.140625" style="12"/>
  </cols>
  <sheetData>
    <row r="1" spans="1:5" ht="15.75" x14ac:dyDescent="0.25">
      <c r="A1" s="167" t="s">
        <v>276</v>
      </c>
      <c r="B1" s="103"/>
      <c r="C1" s="103"/>
      <c r="D1" s="103"/>
      <c r="E1" s="103"/>
    </row>
    <row r="2" spans="1:5" x14ac:dyDescent="0.25">
      <c r="A2" s="168" t="s">
        <v>277</v>
      </c>
      <c r="B2" s="106"/>
      <c r="C2" s="106"/>
      <c r="D2" s="106"/>
      <c r="E2" s="106"/>
    </row>
    <row r="3" spans="1:5" x14ac:dyDescent="0.25">
      <c r="A3" s="169" t="s">
        <v>216</v>
      </c>
      <c r="B3" s="170">
        <v>2024</v>
      </c>
      <c r="C3" s="170">
        <v>2025</v>
      </c>
      <c r="D3" s="170">
        <v>2026</v>
      </c>
      <c r="E3" s="170">
        <v>2027</v>
      </c>
    </row>
    <row r="4" spans="1:5" x14ac:dyDescent="0.25">
      <c r="A4" s="171" t="s">
        <v>217</v>
      </c>
      <c r="B4" s="175"/>
      <c r="C4" s="175"/>
      <c r="D4" s="175"/>
      <c r="E4" s="175"/>
    </row>
    <row r="5" spans="1:5" x14ac:dyDescent="0.25">
      <c r="A5" s="173" t="s">
        <v>278</v>
      </c>
      <c r="B5" s="172">
        <v>31.716666666667201</v>
      </c>
      <c r="C5" s="172">
        <v>32.535714285714299</v>
      </c>
      <c r="D5" s="172">
        <v>33.354761904761602</v>
      </c>
      <c r="E5" s="172">
        <v>34.200000000000003</v>
      </c>
    </row>
    <row r="6" spans="1:5" x14ac:dyDescent="0.25">
      <c r="A6" s="181" t="s">
        <v>219</v>
      </c>
      <c r="B6" s="172">
        <v>39.6</v>
      </c>
      <c r="C6" s="172">
        <v>41.8</v>
      </c>
      <c r="D6" s="172">
        <v>42.4</v>
      </c>
      <c r="E6" s="172">
        <v>41.1</v>
      </c>
    </row>
    <row r="7" spans="1:5" x14ac:dyDescent="0.25">
      <c r="A7" s="171" t="s">
        <v>255</v>
      </c>
      <c r="B7" s="175"/>
      <c r="C7" s="175"/>
      <c r="D7" s="175"/>
      <c r="E7" s="175"/>
    </row>
    <row r="8" spans="1:5" x14ac:dyDescent="0.25">
      <c r="A8" s="173" t="s">
        <v>268</v>
      </c>
      <c r="B8" s="172">
        <v>40</v>
      </c>
      <c r="C8" s="172">
        <v>42</v>
      </c>
      <c r="D8" s="172" t="s">
        <v>222</v>
      </c>
      <c r="E8" s="172" t="s">
        <v>222</v>
      </c>
    </row>
    <row r="9" spans="1:5" x14ac:dyDescent="0.25">
      <c r="A9" s="173" t="s">
        <v>269</v>
      </c>
      <c r="B9" s="172">
        <v>37</v>
      </c>
      <c r="C9" s="172">
        <v>40</v>
      </c>
      <c r="D9" s="172" t="s">
        <v>222</v>
      </c>
      <c r="E9" s="172" t="s">
        <v>222</v>
      </c>
    </row>
    <row r="10" spans="1:5" x14ac:dyDescent="0.25">
      <c r="A10" s="173" t="s">
        <v>259</v>
      </c>
      <c r="B10" s="175">
        <v>35</v>
      </c>
      <c r="C10" s="175" t="s">
        <v>222</v>
      </c>
      <c r="D10" s="175" t="s">
        <v>222</v>
      </c>
      <c r="E10" s="175" t="s">
        <v>222</v>
      </c>
    </row>
    <row r="11" spans="1:5" x14ac:dyDescent="0.25">
      <c r="A11" s="173" t="s">
        <v>226</v>
      </c>
      <c r="B11" s="175">
        <v>32.200000000000003</v>
      </c>
      <c r="C11" s="175">
        <v>36.4</v>
      </c>
      <c r="D11" s="175" t="s">
        <v>222</v>
      </c>
      <c r="E11" s="175" t="s">
        <v>222</v>
      </c>
    </row>
    <row r="12" spans="1:5" x14ac:dyDescent="0.25">
      <c r="A12" s="173" t="s">
        <v>260</v>
      </c>
      <c r="B12" s="175">
        <v>42.8</v>
      </c>
      <c r="C12" s="175">
        <v>47.8</v>
      </c>
      <c r="D12" s="175" t="s">
        <v>222</v>
      </c>
      <c r="E12" s="175" t="s">
        <v>222</v>
      </c>
    </row>
    <row r="13" spans="1:5" x14ac:dyDescent="0.25">
      <c r="A13" s="173" t="s">
        <v>228</v>
      </c>
      <c r="B13" s="175">
        <v>34</v>
      </c>
      <c r="C13" s="175">
        <v>36</v>
      </c>
      <c r="D13" s="175" t="s">
        <v>222</v>
      </c>
      <c r="E13" s="175" t="s">
        <v>222</v>
      </c>
    </row>
    <row r="14" spans="1:5" x14ac:dyDescent="0.25">
      <c r="A14" s="176" t="s">
        <v>270</v>
      </c>
      <c r="B14" s="177">
        <v>33.299999999999997</v>
      </c>
      <c r="C14" s="177">
        <v>31.4</v>
      </c>
      <c r="D14" s="177" t="s">
        <v>222</v>
      </c>
      <c r="E14" s="177" t="s">
        <v>222</v>
      </c>
    </row>
    <row r="15" spans="1:5" x14ac:dyDescent="0.25">
      <c r="A15" s="168" t="s">
        <v>206</v>
      </c>
      <c r="B15" s="175">
        <f>IF(MAX(B5:B14)&lt;&gt;0,MAX(B5:B14),"n/a")</f>
        <v>42.8</v>
      </c>
      <c r="C15" s="175">
        <f>IF(MAX(C5:C14)&lt;&gt;0,MAX(C5:C14),"n/a")</f>
        <v>47.8</v>
      </c>
      <c r="D15" s="175">
        <f>IF(MAX(D5:D14)&lt;&gt;0,MAX(D5:D14),"n/a")</f>
        <v>42.4</v>
      </c>
      <c r="E15" s="175">
        <f>IF(MAX(E5:E14)&lt;&gt;0,MAX(E5:E14),"n/a")</f>
        <v>41.1</v>
      </c>
    </row>
    <row r="16" spans="1:5" x14ac:dyDescent="0.25">
      <c r="A16" s="168" t="s">
        <v>207</v>
      </c>
      <c r="B16" s="175">
        <f>IF(MIN(B5:B14)&lt;&gt;0,MIN(B5:B14),"n/a")</f>
        <v>31.716666666667201</v>
      </c>
      <c r="C16" s="175">
        <f>IF(MIN(C5:C14)&lt;&gt;0,MIN(C5:C14),"n/a")</f>
        <v>31.4</v>
      </c>
      <c r="D16" s="175">
        <f>IF(MIN(D5:D14)&lt;&gt;0,MIN(D5:D14),"n/a")</f>
        <v>33.354761904761602</v>
      </c>
      <c r="E16" s="175">
        <f>IF(MIN(E5:E14)&lt;&gt;0,MIN(E5:E14),"n/a")</f>
        <v>34.200000000000003</v>
      </c>
    </row>
    <row r="17" spans="1:5" x14ac:dyDescent="0.25">
      <c r="A17" s="117" t="s">
        <v>236</v>
      </c>
      <c r="B17" s="153">
        <f>IFERROR(AVERAGE(B5:B14),"n/a")</f>
        <v>36.179629629629694</v>
      </c>
      <c r="C17" s="153">
        <f>IFERROR(AVERAGE(C5:C14),"n/a")</f>
        <v>38.491964285714282</v>
      </c>
      <c r="D17" s="153">
        <f>IFERROR(AVERAGE(D5:D14),"n/a")</f>
        <v>37.877380952380804</v>
      </c>
      <c r="E17" s="153">
        <f>IFERROR(AVERAGE(E5:E14),"n/a")</f>
        <v>37.650000000000006</v>
      </c>
    </row>
    <row r="18" spans="1:5" x14ac:dyDescent="0.25">
      <c r="A18" s="119" t="s">
        <v>237</v>
      </c>
      <c r="B18" s="154">
        <v>38.799999999999997</v>
      </c>
      <c r="C18" s="154">
        <v>39.9</v>
      </c>
      <c r="D18" s="154">
        <v>37.200000000000003</v>
      </c>
      <c r="E18" s="154">
        <v>37.200000000000003</v>
      </c>
    </row>
    <row r="19" spans="1:5" x14ac:dyDescent="0.25">
      <c r="A19" s="178" t="str">
        <f>"Includes forecasts finalized on or before "&amp;Date2&amp;"."</f>
        <v>Includes forecasts finalized on or before January 30, 2024.</v>
      </c>
      <c r="B19" s="179"/>
      <c r="C19" s="180"/>
      <c r="D19" s="103"/>
      <c r="E19" s="179"/>
    </row>
  </sheetData>
  <pageMargins left="0.7" right="0.7" top="0.75" bottom="0.75" header="0.3" footer="0.3"/>
  <headerFooter>
    <oddFooter>&amp;L_x000D_&amp;1#&amp;"Calibri"&amp;11&amp;K000000 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Cover</vt:lpstr>
      <vt:lpstr>Key Assumptions</vt:lpstr>
      <vt:lpstr>1. Real GDP (C2G)</vt:lpstr>
      <vt:lpstr>2. Real GDP (Indexed)</vt:lpstr>
      <vt:lpstr>3. Global Growth</vt:lpstr>
      <vt:lpstr>4. Cdn Growth</vt:lpstr>
      <vt:lpstr>5. Interest Rates</vt:lpstr>
      <vt:lpstr>6. Supply &amp; Demand</vt:lpstr>
      <vt:lpstr>7. Pipelines</vt:lpstr>
      <vt:lpstr>8. Energy Invest &amp; Prod</vt:lpstr>
      <vt:lpstr>9. Investment</vt:lpstr>
      <vt:lpstr>10. Exports</vt:lpstr>
      <vt:lpstr>11. Population</vt:lpstr>
      <vt:lpstr>12. Unabsorbed units</vt:lpstr>
      <vt:lpstr>13. Immigrant Employment </vt:lpstr>
      <vt:lpstr>14. Labour Market</vt:lpstr>
      <vt:lpstr>15. Wages</vt:lpstr>
      <vt:lpstr>16. Income</vt:lpstr>
      <vt:lpstr>17. Inflation</vt:lpstr>
      <vt:lpstr>18. Insolvencies</vt:lpstr>
      <vt:lpstr>19. Per Capita</vt:lpstr>
      <vt:lpstr>Scenarios</vt:lpstr>
      <vt:lpstr>B1. Oil</vt:lpstr>
      <vt:lpstr>B1. Oil Last Year</vt:lpstr>
      <vt:lpstr>B2. Oil Diff</vt:lpstr>
      <vt:lpstr>B3. Natural Gas</vt:lpstr>
      <vt:lpstr>B3. Natural Gas Last Year</vt:lpstr>
      <vt:lpstr>B4. FX Rate</vt:lpstr>
      <vt:lpstr>B5. Long Rates</vt:lpstr>
      <vt:lpstr>B6. Real RGP</vt:lpstr>
      <vt:lpstr>B7. Nominal GDP</vt:lpstr>
      <vt:lpstr>B8. Employment</vt:lpstr>
      <vt:lpstr>B9. Unemployment</vt:lpstr>
      <vt:lpstr>B10. Housing Starts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2024-27 Fiscal Plan – Economic Outlook – Data File (Alberta Budget 2024)</dc:title>
  <dc:creator>Government of Alberta</dc:creator>
  <cp:keywords>Security Classification: Public</cp:keywords>
  <dcterms:created xsi:type="dcterms:W3CDTF">2024-02-26T16:18:30Z</dcterms:created>
  <dcterms:modified xsi:type="dcterms:W3CDTF">2024-02-29T06:54:27Z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2024-02-29T06:54:19Z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4e5a6479-1325-4411-8fec-2e35085bdf84</vt:lpwstr>
  </property>
  <property fmtid="{D5CDD505-2E9C-101B-9397-08002B2CF9AE}" pid="8" name="MSIP_Label_60c3ebf9-3c2f-4745-a75f-55836bdb736f_ContentBits">
    <vt:lpwstr>2</vt:lpwstr>
  </property>
</Properties>
</file>