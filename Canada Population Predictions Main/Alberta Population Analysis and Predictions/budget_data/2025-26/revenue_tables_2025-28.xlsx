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CPE\Outreach (612316)\01 Projects\Budget\Embargo\Budget-2025\Public\Final web versions\Budget Excel files\"/>
    </mc:Choice>
  </mc:AlternateContent>
  <xr:revisionPtr revIDLastSave="0" documentId="13_ncr:1_{86150B08-9D4A-4339-93B6-BBD0DAB66A94}" xr6:coauthVersionLast="47" xr6:coauthVersionMax="47" xr10:uidLastSave="{00000000-0000-0000-0000-000000000000}"/>
  <bookViews>
    <workbookView xWindow="1275" yWindow="1575" windowWidth="23895" windowHeight="13950" tabRatio="912" xr2:uid="{00000000-000D-0000-FFFF-FFFF00000000}"/>
  </bookViews>
  <sheets>
    <sheet name="Cover" sheetId="13" r:id="rId1"/>
    <sheet name="Tb 1 Total Revenue" sheetId="2" r:id="rId2"/>
    <sheet name="Tb 2 O&amp;G prices" sheetId="4" r:id="rId3"/>
    <sheet name="Tb 3 Oil &amp; Gas assumptions" sheetId="5" r:id="rId4"/>
    <sheet name="Tb 4 NRR" sheetId="6" r:id="rId5"/>
    <sheet name="Tb 5 Tax revenue" sheetId="7" r:id="rId6"/>
    <sheet name="Tb 6 Fed Transfers" sheetId="8" r:id="rId7"/>
    <sheet name="Tb 7 Inv. income" sheetId="9" r:id="rId8"/>
    <sheet name="Tb 8 Other sources" sheetId="10" r:id="rId9"/>
    <sheet name="Tb 9 Sensitivities" sheetId="11" r:id="rId10"/>
    <sheet name="END" sheetId="12" r:id="rId11"/>
    <sheet name="DELETE - Tb 2 rev changes" sheetId="3" state="hidden" r:id="rId12"/>
  </sheets>
  <definedNames>
    <definedName name="Authority_Name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_xlnm.Print_Area" localSheetId="11">'DELETE - Tb 2 rev changes'!$A$1:$F$35</definedName>
    <definedName name="_xlnm.Print_Area" localSheetId="1">'Tb 1 Total Revenue'!$A$1:$G$15</definedName>
    <definedName name="_xlnm.Print_Area" localSheetId="2">'Tb 2 O&amp;G prices'!$A$1:$A$3</definedName>
    <definedName name="_xlnm.Print_Area" localSheetId="3">'Tb 3 Oil &amp; Gas assumptions'!$A$1:$G$21</definedName>
    <definedName name="_xlnm.Print_Area" localSheetId="4">'Tb 4 NRR'!$A$1:$G$11</definedName>
    <definedName name="_xlnm.Print_Area" localSheetId="5">'Tb 5 Tax revenue'!$A$1:$G$9</definedName>
    <definedName name="_xlnm.Print_Area" localSheetId="6">'Tb 6 Fed Transfers'!$A$1:$G$14</definedName>
    <definedName name="_xlnm.Print_Area" localSheetId="7">'Tb 7 Inv. income'!$A$1:$H$12</definedName>
    <definedName name="_xlnm.Print_Area" localSheetId="8">'Tb 8 Other sources'!$A$1:$G$19</definedName>
    <definedName name="_xlnm.Print_Area" localSheetId="9">'Tb 9 Sensitivities'!$A$1:$C$10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C33" i="3" l="1"/>
  <c r="C23" i="3"/>
  <c r="C13" i="3"/>
  <c r="B33" i="3"/>
  <c r="B34" i="3" s="1"/>
  <c r="Q26" i="3" l="1"/>
  <c r="R26" i="3" s="1"/>
  <c r="D33" i="3"/>
  <c r="R25" i="3"/>
  <c r="S25" i="3"/>
  <c r="Q24" i="3"/>
  <c r="R24" i="3" s="1"/>
  <c r="Q23" i="3"/>
  <c r="P27" i="3"/>
  <c r="O27" i="3"/>
  <c r="Q18" i="3"/>
  <c r="S18" i="3" s="1"/>
  <c r="Q17" i="3"/>
  <c r="S17" i="3" s="1"/>
  <c r="Q16" i="3"/>
  <c r="S16" i="3" s="1"/>
  <c r="R15" i="3"/>
  <c r="S15" i="3"/>
  <c r="P19" i="3"/>
  <c r="O19" i="3"/>
  <c r="P11" i="3"/>
  <c r="Q10" i="3"/>
  <c r="R10" i="3" s="1"/>
  <c r="Q9" i="3"/>
  <c r="R9" i="3" s="1"/>
  <c r="Q8" i="3"/>
  <c r="O11" i="3"/>
  <c r="S26" i="3" l="1"/>
  <c r="Q11" i="3"/>
  <c r="Q27" i="3"/>
  <c r="S24" i="3"/>
  <c r="R17" i="3"/>
  <c r="R8" i="3"/>
  <c r="R11" i="3" s="1"/>
  <c r="S10" i="3"/>
  <c r="S23" i="3"/>
  <c r="S8" i="3"/>
  <c r="S9" i="3"/>
  <c r="R23" i="3"/>
  <c r="R27" i="3" s="1"/>
  <c r="R18" i="3"/>
  <c r="Q19" i="3"/>
  <c r="S19" i="3"/>
  <c r="R16" i="3"/>
  <c r="D23" i="3"/>
  <c r="D13" i="3"/>
  <c r="C14" i="3"/>
  <c r="B14" i="3"/>
  <c r="S27" i="3" l="1"/>
  <c r="R19" i="3"/>
  <c r="S11" i="3"/>
  <c r="D30" i="3" l="1"/>
  <c r="D32" i="3"/>
  <c r="D29" i="3"/>
  <c r="D28" i="3"/>
  <c r="D27" i="3"/>
  <c r="D22" i="3"/>
  <c r="D21" i="3"/>
  <c r="D18" i="3"/>
  <c r="D17" i="3"/>
  <c r="D12" i="3"/>
  <c r="D9" i="3"/>
  <c r="D8" i="3"/>
  <c r="D7" i="3"/>
  <c r="E7" i="3" s="1"/>
  <c r="D10" i="3" l="1"/>
  <c r="F7" i="3"/>
  <c r="D20" i="3" l="1"/>
  <c r="C34" i="3" l="1"/>
  <c r="F33" i="3"/>
  <c r="F32" i="3"/>
  <c r="F30" i="3"/>
  <c r="E30" i="3"/>
  <c r="E29" i="3"/>
  <c r="F28" i="3"/>
  <c r="E27" i="3"/>
  <c r="C24" i="3"/>
  <c r="E23" i="3"/>
  <c r="B24" i="3"/>
  <c r="F22" i="3"/>
  <c r="E21" i="3"/>
  <c r="F20" i="3"/>
  <c r="E20" i="3"/>
  <c r="F19" i="3"/>
  <c r="E19" i="3"/>
  <c r="F18" i="3"/>
  <c r="E17" i="3"/>
  <c r="F13" i="3"/>
  <c r="E13" i="3"/>
  <c r="F12" i="3"/>
  <c r="F9" i="3"/>
  <c r="E9" i="3"/>
  <c r="F8" i="3"/>
  <c r="F10" i="3" l="1"/>
  <c r="E12" i="3"/>
  <c r="F27" i="3"/>
  <c r="E18" i="3"/>
  <c r="E8" i="3"/>
  <c r="E22" i="3"/>
  <c r="D24" i="3"/>
  <c r="E10" i="3"/>
  <c r="K19" i="3" s="1"/>
  <c r="F17" i="3"/>
  <c r="F21" i="3"/>
  <c r="F23" i="3"/>
  <c r="E28" i="3"/>
  <c r="F29" i="3"/>
  <c r="E32" i="3"/>
  <c r="E33" i="3"/>
  <c r="D31" i="3" l="1"/>
  <c r="D11" i="3"/>
  <c r="E24" i="3"/>
  <c r="K18" i="3"/>
  <c r="K20" i="3" s="1"/>
  <c r="I24" i="3"/>
  <c r="H24" i="3"/>
  <c r="F24" i="3"/>
  <c r="E31" i="3" l="1"/>
  <c r="E34" i="3" s="1"/>
  <c r="F31" i="3"/>
  <c r="F34" i="3" s="1"/>
  <c r="D34" i="3"/>
  <c r="E11" i="3"/>
  <c r="E14" i="3" s="1"/>
  <c r="D14" i="3"/>
  <c r="F11" i="3"/>
  <c r="F14" i="3" s="1"/>
  <c r="E38" i="3" l="1"/>
  <c r="K21" i="3"/>
  <c r="L20" i="3" s="1"/>
  <c r="I34" i="3"/>
  <c r="H34" i="3"/>
  <c r="I14" i="3"/>
  <c r="H14" i="3"/>
</calcChain>
</file>

<file path=xl/sharedStrings.xml><?xml version="1.0" encoding="utf-8"?>
<sst xmlns="http://schemas.openxmlformats.org/spreadsheetml/2006/main" count="271" uniqueCount="151">
  <si>
    <t>(millions of dollars)</t>
  </si>
  <si>
    <t>2019-20</t>
  </si>
  <si>
    <t>2020-21</t>
  </si>
  <si>
    <t>2021-22</t>
  </si>
  <si>
    <t>2022-23</t>
  </si>
  <si>
    <t>2023-24</t>
  </si>
  <si>
    <t>Actual</t>
  </si>
  <si>
    <t>Budget</t>
  </si>
  <si>
    <t>Estimate</t>
  </si>
  <si>
    <t>Mid-year</t>
  </si>
  <si>
    <t>Target</t>
  </si>
  <si>
    <t>Total Revenue</t>
  </si>
  <si>
    <t>Forecast</t>
  </si>
  <si>
    <t>Personal income tax</t>
  </si>
  <si>
    <t>Corporate income tax</t>
  </si>
  <si>
    <t>Other tax revenue</t>
  </si>
  <si>
    <t>Resource revenue – bitumen</t>
  </si>
  <si>
    <t>Resource revenue – other</t>
  </si>
  <si>
    <t>Federal transfers</t>
  </si>
  <si>
    <t>Investment income</t>
  </si>
  <si>
    <t>Net income from bus. enterprises</t>
  </si>
  <si>
    <t>Premiums, fees and licences</t>
  </si>
  <si>
    <t>Other revenue</t>
  </si>
  <si>
    <t>NRR</t>
  </si>
  <si>
    <t>Change fr</t>
  </si>
  <si>
    <t>Fiscal Year</t>
  </si>
  <si>
    <t>Other taxes</t>
  </si>
  <si>
    <t>Resource revenue</t>
  </si>
  <si>
    <t>Federal govt. transfers</t>
  </si>
  <si>
    <t>Revenue fr. other sources</t>
  </si>
  <si>
    <t>CIT</t>
  </si>
  <si>
    <t>2022-23:</t>
  </si>
  <si>
    <t>Total 2022-23 revenue</t>
  </si>
  <si>
    <t>Oil and Natural Gas Prices</t>
  </si>
  <si>
    <t>WTI (US$/barrel) – left axis</t>
  </si>
  <si>
    <t>WCS (US$/barrel) – left axis</t>
  </si>
  <si>
    <t>ARP (CDN$/GJ) – right axis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</si>
  <si>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</si>
  <si>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</si>
  <si>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</si>
  <si>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</si>
  <si>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</si>
  <si>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</si>
  <si>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</si>
  <si>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</si>
  <si>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</si>
  <si>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</si>
  <si>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</si>
  <si>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</si>
  <si>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Revenue (millions of dollars)</t>
  </si>
  <si>
    <t>Bitumen royalty</t>
  </si>
  <si>
    <t>Crude oil royalty</t>
  </si>
  <si>
    <t>Natural gas / by-products royalties</t>
  </si>
  <si>
    <t>Prices</t>
  </si>
  <si>
    <t>WCS @ Hardisty (Cdn$/bbl)</t>
  </si>
  <si>
    <t>Differential (US$/bbl)</t>
  </si>
  <si>
    <t>Conventional</t>
  </si>
  <si>
    <t>Raw bitumen</t>
  </si>
  <si>
    <t>Natural gas (billion cubic feet / yr)</t>
  </si>
  <si>
    <t>Exchange rate</t>
  </si>
  <si>
    <t>(US¢/Cdn$)</t>
  </si>
  <si>
    <t>Natural gas &amp; by-products royalty</t>
  </si>
  <si>
    <t>Bonuses &amp; sales of Crown leases</t>
  </si>
  <si>
    <t>Rentals and fees / coal royalty</t>
  </si>
  <si>
    <t>Total Resource Revenue</t>
  </si>
  <si>
    <t>Tax Revenue</t>
  </si>
  <si>
    <t>Education property tax</t>
  </si>
  <si>
    <t>n.a.</t>
  </si>
  <si>
    <t>Total Tax Revenue</t>
  </si>
  <si>
    <t>Other</t>
  </si>
  <si>
    <t>Transfers from Government of Canada</t>
  </si>
  <si>
    <t>Canada Health Transfer</t>
  </si>
  <si>
    <t>Canada Social Transfer</t>
  </si>
  <si>
    <t>Transfers to SUCH sector</t>
  </si>
  <si>
    <t>Agriculture support programs</t>
  </si>
  <si>
    <t>Infrastructure support</t>
  </si>
  <si>
    <t>Labour market agreements</t>
  </si>
  <si>
    <t>Other transfers</t>
  </si>
  <si>
    <t>Total Federal Transfers</t>
  </si>
  <si>
    <t>Fund Assets / Investment Income</t>
  </si>
  <si>
    <t>Investment Income</t>
  </si>
  <si>
    <t>Assets as at</t>
  </si>
  <si>
    <r>
      <t xml:space="preserve">Endowment funds </t>
    </r>
    <r>
      <rPr>
        <vertAlign val="superscript"/>
        <sz val="8"/>
        <rFont val="Arial"/>
        <family val="2"/>
      </rPr>
      <t>a</t>
    </r>
  </si>
  <si>
    <t>Loans to local authorities</t>
  </si>
  <si>
    <t>Ag. Financial Services Corp.</t>
  </si>
  <si>
    <t>SUCH sector</t>
  </si>
  <si>
    <r>
      <t xml:space="preserve">Other </t>
    </r>
    <r>
      <rPr>
        <vertAlign val="superscript"/>
        <sz val="8"/>
        <rFont val="Arial"/>
        <family val="2"/>
      </rPr>
      <t>b</t>
    </r>
  </si>
  <si>
    <t>Total Assets / Inv. Income</t>
  </si>
  <si>
    <t>Revenue from Other Sources</t>
  </si>
  <si>
    <t>AGLC - gaming / lottery</t>
  </si>
  <si>
    <t>AGLC - liquor</t>
  </si>
  <si>
    <t>AGLC - cannabis</t>
  </si>
  <si>
    <t>ATB Financial</t>
  </si>
  <si>
    <t>Balancing Pool</t>
  </si>
  <si>
    <t>Post-secondary tuition fees</t>
  </si>
  <si>
    <t>Health / school board fees</t>
  </si>
  <si>
    <t>SUCH sales, rentals, services</t>
  </si>
  <si>
    <t>SUCH fundraising, donations, gifts</t>
  </si>
  <si>
    <t>TIER Fund</t>
  </si>
  <si>
    <t>Change</t>
  </si>
  <si>
    <t>Net Impact</t>
  </si>
  <si>
    <t>Oil price (WTI US$/bbl)</t>
  </si>
  <si>
    <t>-$1</t>
  </si>
  <si>
    <t>Light-heavy oil price differential (US$/bbl)</t>
  </si>
  <si>
    <t>+$1</t>
  </si>
  <si>
    <t>Natural gas price (Cdn$/GJ)</t>
  </si>
  <si>
    <r>
      <t>-10</t>
    </r>
    <r>
      <rPr>
        <sz val="8"/>
        <rFont val="Calibri"/>
        <family val="2"/>
        <scheme val="minor"/>
      </rPr>
      <t>¢</t>
    </r>
  </si>
  <si>
    <t>Exchange rate (US¢/Cdn$)</t>
  </si>
  <si>
    <r>
      <t>+ 1</t>
    </r>
    <r>
      <rPr>
        <sz val="8"/>
        <rFont val="Calibri"/>
        <family val="2"/>
        <scheme val="minor"/>
      </rPr>
      <t>¢</t>
    </r>
  </si>
  <si>
    <t>Interest rates</t>
  </si>
  <si>
    <t>+1%</t>
  </si>
  <si>
    <t>Primary household income</t>
  </si>
  <si>
    <t>-1%</t>
  </si>
  <si>
    <t>2024-25</t>
  </si>
  <si>
    <t>2023-24:</t>
  </si>
  <si>
    <t>Total 2023-24 revenue</t>
  </si>
  <si>
    <t>GBE</t>
  </si>
  <si>
    <t>PFL</t>
  </si>
  <si>
    <t xml:space="preserve">Other </t>
  </si>
  <si>
    <t>2022-23 revenue fr. other sources</t>
  </si>
  <si>
    <t>West Texas Intermediate (US$/bbl)</t>
  </si>
  <si>
    <t>2025-26</t>
  </si>
  <si>
    <t>Bud 2022</t>
  </si>
  <si>
    <t>2024-25:</t>
  </si>
  <si>
    <t>2023-24 revenue fr. other sources</t>
  </si>
  <si>
    <t>Total 2024-25 revenue fr. other sources</t>
  </si>
  <si>
    <t>2025-26f</t>
  </si>
  <si>
    <t>Early learning child care agreements</t>
  </si>
  <si>
    <t>Total 2024-25 revenue</t>
  </si>
  <si>
    <r>
      <rPr>
        <b/>
        <sz val="9"/>
        <color rgb="FFFF0000"/>
        <rFont val="Arial"/>
        <family val="2"/>
      </rPr>
      <t>pdf named:</t>
    </r>
    <r>
      <rPr>
        <b/>
        <sz val="9"/>
        <color theme="1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B24-FP_Rev_tb02_rctq.pdf</t>
    </r>
  </si>
  <si>
    <t>2026-27</t>
  </si>
  <si>
    <r>
      <t xml:space="preserve">Evolution of Revenue Forecast Since </t>
    </r>
    <r>
      <rPr>
        <b/>
        <i/>
        <sz val="10"/>
        <color theme="1"/>
        <rFont val="Arial"/>
        <family val="2"/>
      </rPr>
      <t>Budget 2023</t>
    </r>
  </si>
  <si>
    <t>Bud 2023</t>
  </si>
  <si>
    <t>2025-26:</t>
  </si>
  <si>
    <t>2026-27f</t>
  </si>
  <si>
    <t>Production (thousands of 
barrels / day)</t>
  </si>
  <si>
    <t>Heritage Savings Trust 
Fund</t>
  </si>
  <si>
    <t>Other premiums, fees and licences</t>
  </si>
  <si>
    <t>Ab. Reference Price (Cdn$/GJ)</t>
  </si>
  <si>
    <t>2027-28</t>
  </si>
  <si>
    <t>Mar. 31, 2024</t>
  </si>
  <si>
    <t>Oil and Natural Gas Assumptions</t>
  </si>
  <si>
    <t>Non-Renewable Resource Revenue</t>
  </si>
  <si>
    <r>
      <t>Sensitivities to Fiscal Year Assumptions, 2025-26</t>
    </r>
    <r>
      <rPr>
        <b/>
        <vertAlign val="superscript"/>
        <sz val="12"/>
        <rFont val="Arial"/>
        <family val="2"/>
      </rPr>
      <t>a</t>
    </r>
  </si>
  <si>
    <t>2027-28f</t>
  </si>
  <si>
    <t>2024-25e</t>
  </si>
  <si>
    <t>2023-24a</t>
  </si>
  <si>
    <t>Total Revenue from
Other Sources</t>
  </si>
  <si>
    <t>Other Net Income from GBE 
(APMC/CUDGCo/PSIs)</t>
  </si>
  <si>
    <t>This document contains information licensed under the</t>
  </si>
  <si>
    <t>Open Government Licence – 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</si>
</sst>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#,##0.000"/>
    <numFmt numFmtId="167" formatCode="_(* #,##0.00_);_(* \(#,##0.00\);_(* &quot;-&quot;_);_(@_)"/>
    <numFmt numFmtId="168" formatCode="_(* #,##0.0_);_(* \(#,##0.0\);_(* &quot;-&quot;?_);_(@_)"/>
    <numFmt numFmtId="169" formatCode="_(* #,##0.0_);_(* \(#,##0.0\);_(* &quot;-&quot;_);_(@_)"/>
    <numFmt numFmtId="170" formatCode="_(* #,##0_);_(* \(#,##0\);_(* &quot;-&quot;??_);_(@_)"/>
    <numFmt numFmtId="171" formatCode="_(* #,##0.0_);_(* \(#,##0.0\);_(* &quot;-&quot;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i/>
      <sz val="8"/>
      <color theme="1"/>
      <name val="Arial"/>
      <family val="2"/>
    </font>
    <font>
      <b/>
      <sz val="8"/>
      <color rgb="FF000000"/>
      <name val="Arial Narrow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8"/>
      <color rgb="FF000000"/>
      <name val="Arial Narrow"/>
      <family val="2"/>
    </font>
    <font>
      <sz val="8"/>
      <color rgb="FF000000"/>
      <name val="Arial Narrow"/>
      <family val="2"/>
    </font>
    <font>
      <b/>
      <u/>
      <sz val="8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name val="Arial Narrow"/>
      <family val="2"/>
    </font>
    <font>
      <sz val="11"/>
      <color theme="1"/>
      <name val="Arial"/>
      <family val="2"/>
    </font>
    <font>
      <sz val="11"/>
      <color theme="1"/>
      <name val="Arial Narrow"/>
      <family val="2"/>
    </font>
    <font>
      <b/>
      <sz val="8"/>
      <color theme="1"/>
      <name val="Arial Narrow"/>
      <family val="2"/>
    </font>
    <font>
      <vertAlign val="superscript"/>
      <sz val="8"/>
      <name val="Arial"/>
      <family val="2"/>
    </font>
    <font>
      <sz val="8"/>
      <color rgb="FFFF0000"/>
      <name val="Arial"/>
      <family val="2"/>
    </font>
    <font>
      <b/>
      <vertAlign val="superscript"/>
      <sz val="12"/>
      <name val="Arial"/>
      <family val="2"/>
    </font>
    <font>
      <b/>
      <sz val="14"/>
      <name val="Times New Roman"/>
      <family val="1"/>
    </font>
    <font>
      <sz val="8"/>
      <name val="Calibri"/>
      <family val="2"/>
      <scheme val="minor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i/>
      <sz val="8"/>
      <color rgb="FFFF0000"/>
      <name val="Arial"/>
      <family val="2"/>
    </font>
    <font>
      <sz val="11"/>
      <color theme="1"/>
      <name val="Calibri"/>
      <family val="2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MyriaMM_400 RG 600 NO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3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3"/>
      </bottom>
      <diagonal/>
    </border>
  </borders>
  <cellStyleXfs count="30">
    <xf numFmtId="0" fontId="0" fillId="0" borderId="0"/>
    <xf numFmtId="0" fontId="2" fillId="0" borderId="0"/>
    <xf numFmtId="43" fontId="2" fillId="0" borderId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9" fillId="0" borderId="0"/>
    <xf numFmtId="9" fontId="9" fillId="0" borderId="0" applyFont="0" applyFill="0" applyBorder="0" applyAlignment="0" applyProtection="0"/>
    <xf numFmtId="0" fontId="1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0" fontId="35" fillId="0" borderId="0"/>
    <xf numFmtId="0" fontId="14" fillId="0" borderId="0"/>
    <xf numFmtId="43" fontId="2" fillId="0" borderId="0" applyFont="0" applyFill="0" applyBorder="0" applyAlignment="0" applyProtection="0"/>
    <xf numFmtId="164" fontId="2" fillId="0" borderId="0" applyFill="0" applyBorder="0" applyAlignment="0" applyProtection="0"/>
    <xf numFmtId="0" fontId="36" fillId="5" borderId="0" applyNumberFormat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3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0" fontId="38" fillId="0" borderId="0" applyAlignment="0"/>
    <xf numFmtId="0" fontId="9" fillId="0" borderId="0"/>
    <xf numFmtId="9" fontId="9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198">
    <xf numFmtId="0" fontId="0" fillId="0" borderId="0" xfId="0"/>
    <xf numFmtId="0" fontId="10" fillId="0" borderId="0" xfId="5" applyFont="1" applyAlignment="1">
      <alignment vertical="top" wrapText="1"/>
    </xf>
    <xf numFmtId="0" fontId="9" fillId="0" borderId="0" xfId="5"/>
    <xf numFmtId="41" fontId="9" fillId="0" borderId="0" xfId="5" applyNumberFormat="1"/>
    <xf numFmtId="0" fontId="11" fillId="0" borderId="0" xfId="5" applyFont="1" applyAlignment="1">
      <alignment vertical="top" wrapText="1"/>
    </xf>
    <xf numFmtId="0" fontId="12" fillId="0" borderId="0" xfId="5" applyFont="1" applyAlignment="1">
      <alignment horizontal="right"/>
    </xf>
    <xf numFmtId="0" fontId="9" fillId="0" borderId="1" xfId="5" applyBorder="1" applyAlignment="1">
      <alignment vertical="top"/>
    </xf>
    <xf numFmtId="0" fontId="12" fillId="0" borderId="1" xfId="5" applyFont="1" applyBorder="1" applyAlignment="1">
      <alignment horizontal="right" vertical="top"/>
    </xf>
    <xf numFmtId="41" fontId="9" fillId="0" borderId="0" xfId="5" applyNumberFormat="1" applyAlignment="1">
      <alignment vertical="top"/>
    </xf>
    <xf numFmtId="0" fontId="9" fillId="0" borderId="0" xfId="5" applyAlignment="1">
      <alignment vertical="top"/>
    </xf>
    <xf numFmtId="41" fontId="3" fillId="0" borderId="0" xfId="5" applyNumberFormat="1" applyFont="1"/>
    <xf numFmtId="41" fontId="5" fillId="3" borderId="0" xfId="5" applyNumberFormat="1" applyFont="1" applyFill="1"/>
    <xf numFmtId="165" fontId="0" fillId="0" borderId="0" xfId="6" applyNumberFormat="1" applyFont="1"/>
    <xf numFmtId="0" fontId="9" fillId="0" borderId="1" xfId="5" applyBorder="1"/>
    <xf numFmtId="41" fontId="5" fillId="3" borderId="1" xfId="5" applyNumberFormat="1" applyFont="1" applyFill="1" applyBorder="1"/>
    <xf numFmtId="0" fontId="13" fillId="0" borderId="5" xfId="5" applyFont="1" applyBorder="1" applyAlignment="1">
      <alignment vertical="center"/>
    </xf>
    <xf numFmtId="41" fontId="5" fillId="0" borderId="5" xfId="5" applyNumberFormat="1" applyFont="1" applyBorder="1" applyAlignment="1">
      <alignment vertical="center"/>
    </xf>
    <xf numFmtId="41" fontId="5" fillId="3" borderId="5" xfId="5" applyNumberFormat="1" applyFont="1" applyFill="1" applyBorder="1" applyAlignment="1">
      <alignment vertical="center"/>
    </xf>
    <xf numFmtId="41" fontId="0" fillId="0" borderId="0" xfId="6" applyNumberFormat="1" applyFont="1"/>
    <xf numFmtId="0" fontId="14" fillId="0" borderId="0" xfId="5" applyFont="1"/>
    <xf numFmtId="3" fontId="9" fillId="0" borderId="0" xfId="5" applyNumberFormat="1"/>
    <xf numFmtId="0" fontId="10" fillId="0" borderId="0" xfId="5" applyFont="1" applyAlignment="1">
      <alignment vertical="top"/>
    </xf>
    <xf numFmtId="0" fontId="11" fillId="0" borderId="0" xfId="5" applyFont="1" applyAlignment="1">
      <alignment vertical="top"/>
    </xf>
    <xf numFmtId="0" fontId="16" fillId="2" borderId="0" xfId="5" applyFont="1" applyFill="1" applyAlignment="1">
      <alignment horizontal="right"/>
    </xf>
    <xf numFmtId="0" fontId="16" fillId="3" borderId="0" xfId="5" applyFont="1" applyFill="1" applyAlignment="1">
      <alignment horizontal="right"/>
    </xf>
    <xf numFmtId="0" fontId="13" fillId="2" borderId="1" xfId="5" applyFont="1" applyFill="1" applyBorder="1" applyAlignment="1">
      <alignment vertical="top"/>
    </xf>
    <xf numFmtId="0" fontId="16" fillId="2" borderId="1" xfId="5" applyFont="1" applyFill="1" applyBorder="1" applyAlignment="1">
      <alignment horizontal="right" vertical="top"/>
    </xf>
    <xf numFmtId="0" fontId="16" fillId="3" borderId="1" xfId="5" applyFont="1" applyFill="1" applyBorder="1" applyAlignment="1">
      <alignment horizontal="right" vertical="top"/>
    </xf>
    <xf numFmtId="0" fontId="9" fillId="0" borderId="0" xfId="5" applyAlignment="1">
      <alignment horizontal="right" vertical="top"/>
    </xf>
    <xf numFmtId="0" fontId="13" fillId="2" borderId="0" xfId="5" applyFont="1" applyFill="1" applyAlignment="1">
      <alignment vertical="top"/>
    </xf>
    <xf numFmtId="0" fontId="12" fillId="2" borderId="0" xfId="5" applyFont="1" applyFill="1" applyAlignment="1">
      <alignment horizontal="right" vertical="top"/>
    </xf>
    <xf numFmtId="0" fontId="17" fillId="3" borderId="0" xfId="5" applyFont="1" applyFill="1" applyAlignment="1">
      <alignment horizontal="right" vertical="top"/>
    </xf>
    <xf numFmtId="0" fontId="18" fillId="0" borderId="0" xfId="5" applyFont="1"/>
    <xf numFmtId="41" fontId="9" fillId="2" borderId="0" xfId="5" applyNumberFormat="1" applyFill="1"/>
    <xf numFmtId="41" fontId="13" fillId="2" borderId="0" xfId="5" applyNumberFormat="1" applyFont="1" applyFill="1"/>
    <xf numFmtId="41" fontId="9" fillId="3" borderId="0" xfId="5" applyNumberFormat="1" applyFill="1"/>
    <xf numFmtId="0" fontId="9" fillId="0" borderId="0" xfId="5" applyAlignment="1">
      <alignment horizontal="left" indent="1"/>
    </xf>
    <xf numFmtId="41" fontId="3" fillId="2" borderId="0" xfId="5" applyNumberFormat="1" applyFont="1" applyFill="1"/>
    <xf numFmtId="41" fontId="13" fillId="3" borderId="0" xfId="5" applyNumberFormat="1" applyFont="1" applyFill="1"/>
    <xf numFmtId="41" fontId="3" fillId="2" borderId="1" xfId="5" applyNumberFormat="1" applyFont="1" applyFill="1" applyBorder="1"/>
    <xf numFmtId="0" fontId="13" fillId="0" borderId="3" xfId="5" applyFont="1" applyBorder="1" applyAlignment="1">
      <alignment vertical="center"/>
    </xf>
    <xf numFmtId="41" fontId="5" fillId="2" borderId="3" xfId="5" applyNumberFormat="1" applyFont="1" applyFill="1" applyBorder="1" applyAlignment="1">
      <alignment vertical="center"/>
    </xf>
    <xf numFmtId="41" fontId="5" fillId="3" borderId="3" xfId="5" applyNumberFormat="1" applyFont="1" applyFill="1" applyBorder="1" applyAlignment="1">
      <alignment vertical="center"/>
    </xf>
    <xf numFmtId="41" fontId="12" fillId="2" borderId="0" xfId="5" applyNumberFormat="1" applyFont="1" applyFill="1" applyAlignment="1">
      <alignment horizontal="right" vertical="top"/>
    </xf>
    <xf numFmtId="41" fontId="12" fillId="3" borderId="0" xfId="5" applyNumberFormat="1" applyFont="1" applyFill="1" applyAlignment="1">
      <alignment horizontal="right" vertical="top"/>
    </xf>
    <xf numFmtId="41" fontId="5" fillId="2" borderId="5" xfId="5" applyNumberFormat="1" applyFont="1" applyFill="1" applyBorder="1" applyAlignment="1">
      <alignment vertical="center"/>
    </xf>
    <xf numFmtId="0" fontId="19" fillId="0" borderId="0" xfId="5" applyFont="1" applyAlignment="1">
      <alignment vertical="top"/>
    </xf>
    <xf numFmtId="0" fontId="10" fillId="0" borderId="0" xfId="5" applyFont="1"/>
    <xf numFmtId="0" fontId="9" fillId="0" borderId="0" xfId="5" applyAlignment="1">
      <alignment wrapText="1"/>
    </xf>
    <xf numFmtId="43" fontId="9" fillId="0" borderId="0" xfId="5" applyNumberFormat="1"/>
    <xf numFmtId="0" fontId="1" fillId="0" borderId="0" xfId="5" applyFont="1"/>
    <xf numFmtId="2" fontId="9" fillId="0" borderId="0" xfId="5" applyNumberFormat="1"/>
    <xf numFmtId="17" fontId="9" fillId="0" borderId="0" xfId="5" applyNumberFormat="1"/>
    <xf numFmtId="166" fontId="8" fillId="0" borderId="0" xfId="8" applyNumberFormat="1"/>
    <xf numFmtId="0" fontId="4" fillId="2" borderId="0" xfId="9" applyFont="1" applyFill="1"/>
    <xf numFmtId="0" fontId="1" fillId="2" borderId="0" xfId="7" applyFill="1"/>
    <xf numFmtId="0" fontId="1" fillId="0" borderId="0" xfId="7"/>
    <xf numFmtId="0" fontId="20" fillId="0" borderId="0" xfId="7" applyFont="1"/>
    <xf numFmtId="0" fontId="6" fillId="2" borderId="0" xfId="9" applyFont="1" applyFill="1"/>
    <xf numFmtId="0" fontId="9" fillId="2" borderId="0" xfId="7" applyFont="1" applyFill="1"/>
    <xf numFmtId="0" fontId="9" fillId="2" borderId="1" xfId="7" applyFont="1" applyFill="1" applyBorder="1" applyAlignment="1">
      <alignment vertical="top"/>
    </xf>
    <xf numFmtId="0" fontId="12" fillId="2" borderId="1" xfId="5" applyFont="1" applyFill="1" applyBorder="1" applyAlignment="1">
      <alignment horizontal="right" vertical="top"/>
    </xf>
    <xf numFmtId="0" fontId="1" fillId="0" borderId="0" xfId="7" applyAlignment="1">
      <alignment vertical="top"/>
    </xf>
    <xf numFmtId="0" fontId="20" fillId="0" borderId="0" xfId="7" applyFont="1" applyAlignment="1">
      <alignment vertical="top"/>
    </xf>
    <xf numFmtId="49" fontId="5" fillId="2" borderId="0" xfId="9" applyNumberFormat="1" applyFont="1" applyFill="1" applyAlignment="1">
      <alignment horizontal="right" vertical="center"/>
    </xf>
    <xf numFmtId="49" fontId="3" fillId="2" borderId="2" xfId="9" applyNumberFormat="1" applyFont="1" applyFill="1" applyBorder="1" applyAlignment="1">
      <alignment horizontal="right" vertical="center"/>
    </xf>
    <xf numFmtId="49" fontId="3" fillId="2" borderId="0" xfId="9" applyNumberFormat="1" applyFont="1" applyFill="1" applyAlignment="1">
      <alignment horizontal="right" vertical="center"/>
    </xf>
    <xf numFmtId="0" fontId="9" fillId="3" borderId="0" xfId="7" applyFont="1" applyFill="1"/>
    <xf numFmtId="0" fontId="5" fillId="2" borderId="0" xfId="7" applyFont="1" applyFill="1"/>
    <xf numFmtId="0" fontId="9" fillId="2" borderId="0" xfId="7" applyFont="1" applyFill="1" applyAlignment="1">
      <alignment horizontal="left" vertical="center" wrapText="1" indent="1"/>
    </xf>
    <xf numFmtId="41" fontId="9" fillId="2" borderId="0" xfId="7" applyNumberFormat="1" applyFont="1" applyFill="1"/>
    <xf numFmtId="41" fontId="13" fillId="3" borderId="0" xfId="7" applyNumberFormat="1" applyFont="1" applyFill="1"/>
    <xf numFmtId="0" fontId="9" fillId="2" borderId="0" xfId="7" applyFont="1" applyFill="1" applyAlignment="1">
      <alignment horizontal="left" vertical="center" indent="1"/>
    </xf>
    <xf numFmtId="0" fontId="13" fillId="2" borderId="0" xfId="7" applyFont="1" applyFill="1"/>
    <xf numFmtId="0" fontId="9" fillId="2" borderId="0" xfId="7" applyFont="1" applyFill="1" applyAlignment="1">
      <alignment horizontal="left" indent="1"/>
    </xf>
    <xf numFmtId="41" fontId="9" fillId="0" borderId="0" xfId="7" applyNumberFormat="1" applyFont="1"/>
    <xf numFmtId="0" fontId="9" fillId="0" borderId="0" xfId="7" applyFont="1"/>
    <xf numFmtId="0" fontId="9" fillId="2" borderId="0" xfId="7" applyFont="1" applyFill="1" applyAlignment="1">
      <alignment horizontal="left" wrapText="1" indent="1"/>
    </xf>
    <xf numFmtId="0" fontId="9" fillId="0" borderId="4" xfId="7" applyFont="1" applyBorder="1"/>
    <xf numFmtId="0" fontId="9" fillId="2" borderId="4" xfId="7" applyFont="1" applyFill="1" applyBorder="1"/>
    <xf numFmtId="0" fontId="9" fillId="3" borderId="4" xfId="7" applyFont="1" applyFill="1" applyBorder="1"/>
    <xf numFmtId="0" fontId="21" fillId="0" borderId="0" xfId="7" applyFont="1"/>
    <xf numFmtId="49" fontId="22" fillId="2" borderId="0" xfId="9" applyNumberFormat="1" applyFont="1" applyFill="1" applyAlignment="1">
      <alignment horizontal="right" vertical="center"/>
    </xf>
    <xf numFmtId="49" fontId="22" fillId="3" borderId="0" xfId="9" applyNumberFormat="1" applyFont="1" applyFill="1" applyAlignment="1">
      <alignment horizontal="right" vertical="center"/>
    </xf>
    <xf numFmtId="0" fontId="9" fillId="2" borderId="0" xfId="7" applyFont="1" applyFill="1" applyAlignment="1">
      <alignment horizontal="left" vertical="center" wrapText="1"/>
    </xf>
    <xf numFmtId="41" fontId="9" fillId="2" borderId="0" xfId="7" applyNumberFormat="1" applyFont="1" applyFill="1" applyAlignment="1">
      <alignment vertical="center"/>
    </xf>
    <xf numFmtId="41" fontId="3" fillId="2" borderId="0" xfId="10" applyNumberFormat="1" applyFont="1" applyFill="1" applyAlignment="1">
      <alignment vertical="center"/>
    </xf>
    <xf numFmtId="41" fontId="13" fillId="3" borderId="0" xfId="7" applyNumberFormat="1" applyFont="1" applyFill="1" applyAlignment="1">
      <alignment vertical="center"/>
    </xf>
    <xf numFmtId="0" fontId="1" fillId="0" borderId="0" xfId="7" applyAlignment="1">
      <alignment vertical="center"/>
    </xf>
    <xf numFmtId="0" fontId="9" fillId="2" borderId="0" xfId="7" applyFont="1" applyFill="1" applyAlignment="1">
      <alignment horizontal="left" vertical="center"/>
    </xf>
    <xf numFmtId="41" fontId="3" fillId="0" borderId="0" xfId="10" applyNumberFormat="1" applyFont="1" applyAlignment="1">
      <alignment vertical="center"/>
    </xf>
    <xf numFmtId="41" fontId="5" fillId="3" borderId="0" xfId="10" applyNumberFormat="1" applyFont="1" applyFill="1" applyAlignment="1">
      <alignment vertical="center"/>
    </xf>
    <xf numFmtId="41" fontId="1" fillId="0" borderId="0" xfId="7" applyNumberFormat="1" applyAlignment="1">
      <alignment vertical="center"/>
    </xf>
    <xf numFmtId="41" fontId="3" fillId="0" borderId="0" xfId="11" applyNumberFormat="1" applyFont="1" applyAlignment="1">
      <alignment vertical="center"/>
    </xf>
    <xf numFmtId="41" fontId="3" fillId="2" borderId="0" xfId="11" applyNumberFormat="1" applyFont="1" applyFill="1" applyAlignment="1">
      <alignment vertical="center"/>
    </xf>
    <xf numFmtId="41" fontId="5" fillId="3" borderId="0" xfId="11" applyNumberFormat="1" applyFont="1" applyFill="1" applyAlignment="1">
      <alignment vertical="center"/>
    </xf>
    <xf numFmtId="41" fontId="3" fillId="0" borderId="0" xfId="12" applyNumberFormat="1" applyFont="1" applyAlignment="1">
      <alignment vertical="center"/>
    </xf>
    <xf numFmtId="41" fontId="3" fillId="2" borderId="0" xfId="12" applyNumberFormat="1" applyFont="1" applyFill="1" applyAlignment="1">
      <alignment vertical="center"/>
    </xf>
    <xf numFmtId="41" fontId="5" fillId="3" borderId="0" xfId="12" applyNumberFormat="1" applyFont="1" applyFill="1" applyAlignment="1">
      <alignment vertical="center"/>
    </xf>
    <xf numFmtId="0" fontId="13" fillId="2" borderId="5" xfId="7" applyFont="1" applyFill="1" applyBorder="1" applyAlignment="1">
      <alignment vertical="center"/>
    </xf>
    <xf numFmtId="41" fontId="5" fillId="0" borderId="5" xfId="11" applyNumberFormat="1" applyFont="1" applyBorder="1" applyAlignment="1">
      <alignment vertical="center"/>
    </xf>
    <xf numFmtId="41" fontId="5" fillId="2" borderId="5" xfId="11" applyNumberFormat="1" applyFont="1" applyFill="1" applyBorder="1" applyAlignment="1">
      <alignment vertical="center"/>
    </xf>
    <xf numFmtId="41" fontId="5" fillId="3" borderId="5" xfId="11" applyNumberFormat="1" applyFont="1" applyFill="1" applyBorder="1" applyAlignment="1">
      <alignment vertical="center"/>
    </xf>
    <xf numFmtId="0" fontId="23" fillId="2" borderId="0" xfId="7" applyFont="1" applyFill="1"/>
    <xf numFmtId="0" fontId="3" fillId="2" borderId="0" xfId="7" applyFont="1" applyFill="1"/>
    <xf numFmtId="0" fontId="3" fillId="2" borderId="1" xfId="7" applyFont="1" applyFill="1" applyBorder="1"/>
    <xf numFmtId="41" fontId="9" fillId="2" borderId="1" xfId="7" applyNumberFormat="1" applyFont="1" applyFill="1" applyBorder="1"/>
    <xf numFmtId="41" fontId="13" fillId="3" borderId="1" xfId="7" applyNumberFormat="1" applyFont="1" applyFill="1" applyBorder="1"/>
    <xf numFmtId="0" fontId="5" fillId="2" borderId="5" xfId="7" applyFont="1" applyFill="1" applyBorder="1" applyAlignment="1">
      <alignment vertical="center"/>
    </xf>
    <xf numFmtId="41" fontId="5" fillId="2" borderId="5" xfId="7" applyNumberFormat="1" applyFont="1" applyFill="1" applyBorder="1" applyAlignment="1">
      <alignment vertical="center"/>
    </xf>
    <xf numFmtId="41" fontId="5" fillId="3" borderId="5" xfId="7" applyNumberFormat="1" applyFont="1" applyFill="1" applyBorder="1" applyAlignment="1">
      <alignment vertical="center"/>
    </xf>
    <xf numFmtId="0" fontId="20" fillId="0" borderId="0" xfId="7" applyFont="1" applyAlignment="1">
      <alignment vertical="center"/>
    </xf>
    <xf numFmtId="41" fontId="1" fillId="0" borderId="0" xfId="7" applyNumberFormat="1"/>
    <xf numFmtId="165" fontId="1" fillId="0" borderId="0" xfId="6" applyNumberFormat="1" applyFont="1"/>
    <xf numFmtId="41" fontId="5" fillId="0" borderId="5" xfId="7" applyNumberFormat="1" applyFont="1" applyBorder="1" applyAlignment="1">
      <alignment vertical="center"/>
    </xf>
    <xf numFmtId="0" fontId="24" fillId="2" borderId="0" xfId="7" applyFont="1" applyFill="1"/>
    <xf numFmtId="17" fontId="25" fillId="2" borderId="6" xfId="7" applyNumberFormat="1" applyFont="1" applyFill="1" applyBorder="1" applyAlignment="1">
      <alignment horizontal="right"/>
    </xf>
    <xf numFmtId="0" fontId="24" fillId="2" borderId="1" xfId="7" applyFont="1" applyFill="1" applyBorder="1" applyAlignment="1">
      <alignment vertical="top"/>
    </xf>
    <xf numFmtId="15" fontId="25" fillId="2" borderId="7" xfId="7" quotePrefix="1" applyNumberFormat="1" applyFont="1" applyFill="1" applyBorder="1" applyAlignment="1">
      <alignment horizontal="right" vertical="top"/>
    </xf>
    <xf numFmtId="0" fontId="3" fillId="2" borderId="0" xfId="7" applyFont="1" applyFill="1" applyAlignment="1">
      <alignment vertical="center"/>
    </xf>
    <xf numFmtId="41" fontId="9" fillId="2" borderId="0" xfId="7" applyNumberFormat="1" applyFont="1" applyFill="1" applyAlignment="1">
      <alignment horizontal="right" vertical="center"/>
    </xf>
    <xf numFmtId="41" fontId="13" fillId="3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horizontal="left" vertical="center"/>
    </xf>
    <xf numFmtId="41" fontId="9" fillId="0" borderId="0" xfId="7" applyNumberFormat="1" applyFont="1" applyAlignment="1">
      <alignment horizontal="right" vertical="center"/>
    </xf>
    <xf numFmtId="0" fontId="5" fillId="2" borderId="8" xfId="7" applyFont="1" applyFill="1" applyBorder="1" applyAlignment="1">
      <alignment vertical="center"/>
    </xf>
    <xf numFmtId="41" fontId="5" fillId="2" borderId="8" xfId="7" applyNumberFormat="1" applyFont="1" applyFill="1" applyBorder="1" applyAlignment="1">
      <alignment horizontal="right" vertical="center"/>
    </xf>
    <xf numFmtId="41" fontId="5" fillId="3" borderId="8" xfId="7" applyNumberFormat="1" applyFont="1" applyFill="1" applyBorder="1" applyAlignment="1">
      <alignment horizontal="right" vertical="center"/>
    </xf>
    <xf numFmtId="0" fontId="7" fillId="2" borderId="0" xfId="7" applyFont="1" applyFill="1"/>
    <xf numFmtId="41" fontId="7" fillId="2" borderId="0" xfId="7" applyNumberFormat="1" applyFont="1" applyFill="1"/>
    <xf numFmtId="3" fontId="1" fillId="0" borderId="0" xfId="7" applyNumberFormat="1"/>
    <xf numFmtId="0" fontId="29" fillId="2" borderId="0" xfId="8" applyFont="1" applyFill="1"/>
    <xf numFmtId="0" fontId="8" fillId="0" borderId="0" xfId="8"/>
    <xf numFmtId="0" fontId="3" fillId="2" borderId="0" xfId="8" applyFont="1" applyFill="1"/>
    <xf numFmtId="0" fontId="3" fillId="0" borderId="0" xfId="8" applyFont="1"/>
    <xf numFmtId="0" fontId="5" fillId="2" borderId="0" xfId="8" applyFont="1" applyFill="1" applyAlignment="1">
      <alignment horizontal="center"/>
    </xf>
    <xf numFmtId="0" fontId="3" fillId="2" borderId="1" xfId="8" applyFont="1" applyFill="1" applyBorder="1"/>
    <xf numFmtId="0" fontId="5" fillId="2" borderId="1" xfId="8" applyFont="1" applyFill="1" applyBorder="1" applyAlignment="1">
      <alignment horizontal="center" vertical="center"/>
    </xf>
    <xf numFmtId="0" fontId="5" fillId="2" borderId="1" xfId="8" applyFont="1" applyFill="1" applyBorder="1" applyAlignment="1">
      <alignment horizontal="right" vertical="center"/>
    </xf>
    <xf numFmtId="0" fontId="5" fillId="2" borderId="0" xfId="8" applyFont="1" applyFill="1" applyAlignment="1">
      <alignment horizontal="right" vertical="center"/>
    </xf>
    <xf numFmtId="0" fontId="3" fillId="2" borderId="0" xfId="8" quotePrefix="1" applyFont="1" applyFill="1" applyAlignment="1">
      <alignment horizontal="center"/>
    </xf>
    <xf numFmtId="0" fontId="3" fillId="2" borderId="0" xfId="8" applyFont="1" applyFill="1" applyAlignment="1">
      <alignment horizontal="right"/>
    </xf>
    <xf numFmtId="0" fontId="3" fillId="0" borderId="0" xfId="8" applyFont="1" applyAlignment="1">
      <alignment horizontal="right"/>
    </xf>
    <xf numFmtId="0" fontId="8" fillId="0" borderId="0" xfId="8" quotePrefix="1"/>
    <xf numFmtId="0" fontId="3" fillId="0" borderId="1" xfId="8" applyFont="1" applyBorder="1"/>
    <xf numFmtId="0" fontId="3" fillId="0" borderId="1" xfId="8" quotePrefix="1" applyFont="1" applyBorder="1" applyAlignment="1">
      <alignment horizontal="center"/>
    </xf>
    <xf numFmtId="0" fontId="3" fillId="2" borderId="1" xfId="8" applyFont="1" applyFill="1" applyBorder="1" applyAlignment="1">
      <alignment horizontal="right"/>
    </xf>
    <xf numFmtId="1" fontId="3" fillId="0" borderId="0" xfId="8" applyNumberFormat="1" applyFont="1" applyAlignment="1">
      <alignment horizontal="right"/>
    </xf>
    <xf numFmtId="0" fontId="5" fillId="0" borderId="0" xfId="8" applyFont="1"/>
    <xf numFmtId="41" fontId="3" fillId="2" borderId="6" xfId="7" applyNumberFormat="1" applyFont="1" applyFill="1" applyBorder="1" applyAlignment="1">
      <alignment vertical="center"/>
    </xf>
    <xf numFmtId="41" fontId="3" fillId="2" borderId="6" xfId="7" applyNumberFormat="1" applyFont="1" applyFill="1" applyBorder="1" applyAlignment="1">
      <alignment horizontal="right" vertical="center"/>
    </xf>
    <xf numFmtId="41" fontId="9" fillId="0" borderId="1" xfId="5" applyNumberFormat="1" applyBorder="1"/>
    <xf numFmtId="41" fontId="13" fillId="0" borderId="5" xfId="5" applyNumberFormat="1" applyFont="1" applyBorder="1" applyAlignment="1">
      <alignment vertical="center"/>
    </xf>
    <xf numFmtId="0" fontId="9" fillId="0" borderId="0" xfId="5" applyAlignment="1">
      <alignment horizontal="left" indent="2"/>
    </xf>
    <xf numFmtId="0" fontId="0" fillId="0" borderId="0" xfId="5" applyFont="1"/>
    <xf numFmtId="0" fontId="27" fillId="0" borderId="0" xfId="5" applyFont="1" applyAlignment="1">
      <alignment wrapText="1"/>
    </xf>
    <xf numFmtId="10" fontId="9" fillId="0" borderId="0" xfId="14" applyNumberFormat="1" applyFont="1"/>
    <xf numFmtId="165" fontId="9" fillId="0" borderId="0" xfId="6" applyNumberFormat="1" applyFont="1"/>
    <xf numFmtId="41" fontId="3" fillId="0" borderId="6" xfId="7" applyNumberFormat="1" applyFont="1" applyBorder="1" applyAlignment="1">
      <alignment horizontal="right" vertical="center"/>
    </xf>
    <xf numFmtId="41" fontId="5" fillId="0" borderId="9" xfId="7" applyNumberFormat="1" applyFont="1" applyBorder="1" applyAlignment="1">
      <alignment vertical="center"/>
    </xf>
    <xf numFmtId="0" fontId="0" fillId="0" borderId="0" xfId="7" applyFont="1"/>
    <xf numFmtId="0" fontId="32" fillId="0" borderId="0" xfId="5" applyFont="1"/>
    <xf numFmtId="0" fontId="13" fillId="2" borderId="0" xfId="7" applyFont="1" applyFill="1" applyAlignment="1">
      <alignment vertical="center" wrapText="1"/>
    </xf>
    <xf numFmtId="0" fontId="3" fillId="2" borderId="0" xfId="7" applyFont="1" applyFill="1" applyAlignment="1">
      <alignment vertical="center" wrapText="1"/>
    </xf>
    <xf numFmtId="41" fontId="9" fillId="0" borderId="1" xfId="7" applyNumberFormat="1" applyFont="1" applyBorder="1"/>
    <xf numFmtId="49" fontId="5" fillId="0" borderId="0" xfId="9" applyNumberFormat="1" applyFont="1" applyAlignment="1">
      <alignment horizontal="right" vertical="center"/>
    </xf>
    <xf numFmtId="41" fontId="9" fillId="0" borderId="0" xfId="7" applyNumberFormat="1" applyFont="1" applyAlignment="1">
      <alignment vertical="center"/>
    </xf>
    <xf numFmtId="49" fontId="22" fillId="0" borderId="0" xfId="9" applyNumberFormat="1" applyFont="1" applyAlignment="1">
      <alignment horizontal="right" vertical="center"/>
    </xf>
    <xf numFmtId="41" fontId="23" fillId="2" borderId="0" xfId="7" applyNumberFormat="1" applyFont="1" applyFill="1"/>
    <xf numFmtId="43" fontId="9" fillId="0" borderId="0" xfId="7" applyNumberFormat="1" applyFont="1"/>
    <xf numFmtId="167" fontId="9" fillId="0" borderId="0" xfId="7" applyNumberFormat="1" applyFont="1"/>
    <xf numFmtId="168" fontId="9" fillId="0" borderId="0" xfId="7" applyNumberFormat="1" applyFont="1"/>
    <xf numFmtId="169" fontId="9" fillId="0" borderId="0" xfId="7" applyNumberFormat="1" applyFont="1"/>
    <xf numFmtId="165" fontId="33" fillId="0" borderId="0" xfId="6" applyNumberFormat="1" applyFont="1"/>
    <xf numFmtId="0" fontId="34" fillId="0" borderId="0" xfId="0" applyFont="1" applyAlignment="1">
      <alignment horizontal="left"/>
    </xf>
    <xf numFmtId="171" fontId="34" fillId="0" borderId="0" xfId="0" applyNumberFormat="1" applyFont="1"/>
    <xf numFmtId="0" fontId="3" fillId="0" borderId="0" xfId="0" applyFont="1" applyAlignment="1">
      <alignment vertical="center"/>
    </xf>
    <xf numFmtId="41" fontId="9" fillId="0" borderId="0" xfId="5" applyNumberFormat="1" applyAlignment="1">
      <alignment horizontal="right" vertical="top"/>
    </xf>
    <xf numFmtId="0" fontId="9" fillId="0" borderId="0" xfId="16" applyFont="1"/>
    <xf numFmtId="4" fontId="1" fillId="0" borderId="0" xfId="7" applyNumberFormat="1"/>
    <xf numFmtId="170" fontId="3" fillId="0" borderId="0" xfId="1" applyNumberFormat="1" applyFont="1" applyAlignment="1">
      <alignment vertical="center"/>
    </xf>
    <xf numFmtId="0" fontId="12" fillId="0" borderId="0" xfId="5" applyFont="1" applyAlignment="1">
      <alignment horizontal="center"/>
    </xf>
    <xf numFmtId="0" fontId="12" fillId="0" borderId="1" xfId="5" applyFont="1" applyBorder="1" applyAlignment="1">
      <alignment horizontal="center" vertical="top"/>
    </xf>
    <xf numFmtId="169" fontId="13" fillId="3" borderId="0" xfId="7" applyNumberFormat="1" applyFont="1" applyFill="1"/>
    <xf numFmtId="167" fontId="13" fillId="3" borderId="0" xfId="7" applyNumberFormat="1" applyFont="1" applyFill="1"/>
    <xf numFmtId="0" fontId="12" fillId="0" borderId="0" xfId="5" applyFont="1" applyAlignment="1">
      <alignment horizontal="center" vertical="center"/>
    </xf>
    <xf numFmtId="0" fontId="12" fillId="4" borderId="0" xfId="5" applyFont="1" applyFill="1" applyAlignment="1">
      <alignment horizontal="center"/>
    </xf>
    <xf numFmtId="0" fontId="12" fillId="3" borderId="1" xfId="5" applyFont="1" applyFill="1" applyBorder="1" applyAlignment="1">
      <alignment horizontal="center" vertical="top"/>
    </xf>
    <xf numFmtId="0" fontId="12" fillId="3" borderId="1" xfId="5" applyFont="1" applyFill="1" applyBorder="1" applyAlignment="1">
      <alignment horizontal="center"/>
    </xf>
    <xf numFmtId="0" fontId="12" fillId="0" borderId="1" xfId="5" applyFont="1" applyBorder="1" applyAlignment="1">
      <alignment horizontal="center"/>
    </xf>
    <xf numFmtId="0" fontId="5" fillId="2" borderId="5" xfId="7" applyFont="1" applyFill="1" applyBorder="1" applyAlignment="1">
      <alignment horizontal="left" vertical="center" wrapText="1"/>
    </xf>
    <xf numFmtId="0" fontId="9" fillId="2" borderId="0" xfId="7" applyFont="1" applyFill="1" applyAlignment="1">
      <alignment wrapText="1"/>
    </xf>
    <xf numFmtId="43" fontId="9" fillId="0" borderId="0" xfId="5" applyNumberFormat="1" applyBorder="1"/>
    <xf numFmtId="43" fontId="13" fillId="0" borderId="0" xfId="5" applyNumberFormat="1" applyFont="1" applyBorder="1"/>
    <xf numFmtId="0" fontId="9" fillId="0" borderId="0" xfId="5" applyFill="1"/>
    <xf numFmtId="0" fontId="37" fillId="0" borderId="0" xfId="29" applyBorder="1" applyAlignment="1">
      <alignment horizontal="center" vertical="top"/>
    </xf>
    <xf numFmtId="0" fontId="12" fillId="0" borderId="0" xfId="5" applyFont="1" applyAlignment="1">
      <alignment horizontal="center"/>
    </xf>
    <xf numFmtId="0" fontId="12" fillId="0" borderId="1" xfId="5" applyFont="1" applyBorder="1" applyAlignment="1">
      <alignment horizontal="center" vertical="top"/>
    </xf>
    <xf numFmtId="0" fontId="4" fillId="2" borderId="0" xfId="8" applyFont="1" applyFill="1"/>
  </cellXfs>
  <cellStyles count="30">
    <cellStyle name="Comma 2" xfId="25" xr:uid="{685BC254-0813-4CFD-AB6D-A1A90890A8FC}"/>
    <cellStyle name="Comma 2 5 2" xfId="2" xr:uid="{00000000-0005-0000-0000-000001000000}"/>
    <cellStyle name="Comma 2 5 2 2" xfId="18" xr:uid="{B1E1CF51-38C3-4A3F-A91D-0EA10FDA02F6}"/>
    <cellStyle name="Comma 3" xfId="23" xr:uid="{5CF59685-AF76-4AD6-A056-B63D0EE47871}"/>
    <cellStyle name="Comma 4" xfId="20" xr:uid="{C2DF0226-4F6F-42F7-97D8-B35C7ADB5832}"/>
    <cellStyle name="Comma 5" xfId="17" xr:uid="{2879C1C7-0658-4468-8F24-E175213D4473}"/>
    <cellStyle name="Hyperlink" xfId="29" builtinId="8"/>
    <cellStyle name="Hyperlink 2" xfId="22" xr:uid="{A5B4EC51-36B2-4279-B990-44F85D6B4D29}"/>
    <cellStyle name="Neutral 2" xfId="19" xr:uid="{5C26536A-3890-4CB6-B084-C3412490A731}"/>
    <cellStyle name="Normal" xfId="0" builtinId="0"/>
    <cellStyle name="Normal 16 2" xfId="21" xr:uid="{12F46B6C-2E18-4E1D-BC93-0E7E81149EDD}"/>
    <cellStyle name="Normal 2" xfId="5" xr:uid="{00000000-0005-0000-0000-000003000000}"/>
    <cellStyle name="Normal 2 13" xfId="1" xr:uid="{00000000-0005-0000-0000-000004000000}"/>
    <cellStyle name="Normal 2 15" xfId="15" xr:uid="{7A5005CE-AE11-485D-8DFF-404D88FDB535}"/>
    <cellStyle name="Normal 2 2" xfId="27" xr:uid="{5BCAE05F-B36C-47AD-98D2-6051A5443B24}"/>
    <cellStyle name="Normal 2 3" xfId="24" xr:uid="{68897C72-53FE-4ACD-BF7E-6C3980691443}"/>
    <cellStyle name="Normal 3" xfId="8" xr:uid="{00000000-0005-0000-0000-000005000000}"/>
    <cellStyle name="Normal 4" xfId="7" xr:uid="{00000000-0005-0000-0000-000006000000}"/>
    <cellStyle name="Normal 407" xfId="4" xr:uid="{00000000-0005-0000-0000-000007000000}"/>
    <cellStyle name="Normal 412" xfId="10" xr:uid="{00000000-0005-0000-0000-000008000000}"/>
    <cellStyle name="Normal 415" xfId="11" xr:uid="{00000000-0005-0000-0000-000009000000}"/>
    <cellStyle name="Normal 416" xfId="12" xr:uid="{00000000-0005-0000-0000-00000A000000}"/>
    <cellStyle name="Normal 417" xfId="13" xr:uid="{00000000-0005-0000-0000-00000B000000}"/>
    <cellStyle name="Normal 5 2" xfId="16" xr:uid="{CEE151C6-D101-4E7E-8656-2E172AFEB98A}"/>
    <cellStyle name="Normal 61" xfId="26" xr:uid="{07E9D6BF-7DC8-4EF7-A72A-DF5881B8E1DE}"/>
    <cellStyle name="Normal_X-BUDGET2010_TABLESPRINT" xfId="9" xr:uid="{00000000-0005-0000-0000-00000C000000}"/>
    <cellStyle name="Percent" xfId="14" builtinId="5"/>
    <cellStyle name="Percent 2" xfId="6" xr:uid="{00000000-0005-0000-0000-00000E000000}"/>
    <cellStyle name="Percent 2 2" xfId="28" xr:uid="{B78B535E-ADBE-4FCB-8F41-8821067DBE4B}"/>
    <cellStyle name="Percent 2 2 2 2" xfId="3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invertIfNegative val="0"/>
          <c:val>
            <c:numRef>
              <c:f>'B17-Rev-Chrt-2'!#REF!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'B17-Rev-Chrt-2'!#REF!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'B17-Rev-Chrt-2'!#REF!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780-48FA-BC13-F8378CF9CFF5}"/>
            </c:ext>
          </c:extLst>
        </c:ser>
        <c:ser>
          <c:idx val="1"/>
          <c:order val="1"/>
          <c:invertIfNegative val="0"/>
          <c:val>
            <c:numRef>
              <c:f>'B17-Rev-Chrt-2'!#REF!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'B17-Rev-Chrt-2'!#REF!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'B17-Rev-Chrt-2'!#REF!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780-48FA-BC13-F8378CF9CFF5}"/>
            </c:ext>
          </c:extLst>
        </c:ser>
        <c:ser>
          <c:idx val="2"/>
          <c:order val="2"/>
          <c:invertIfNegative val="0"/>
          <c:val>
            <c:numRef>
              <c:f>'B17-Rev-Chrt-2'!#REF!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'B17-Rev-Chrt-2'!#REF!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'B17-Rev-Chrt-2'!#REF!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780-48FA-BC13-F8378CF9CFF5}"/>
            </c:ext>
          </c:extLst>
        </c:ser>
        <c:ser>
          <c:idx val="3"/>
          <c:order val="3"/>
          <c:invertIfNegative val="0"/>
          <c:val>
            <c:numRef>
              <c:f>'B17-Rev-Chrt-2'!#REF!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'B17-Rev-Chrt-2'!#REF!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'B17-Rev-Chrt-2'!#REF!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780-48FA-BC13-F8378CF9C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807872"/>
        <c:axId val="175862912"/>
      </c:barChart>
      <c:catAx>
        <c:axId val="175807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5862912"/>
        <c:crosses val="autoZero"/>
        <c:auto val="1"/>
        <c:lblAlgn val="ctr"/>
        <c:lblOffset val="100"/>
        <c:noMultiLvlLbl val="0"/>
      </c:catAx>
      <c:valAx>
        <c:axId val="1758629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7580787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412981339661302E-2"/>
          <c:y val="0.21770841883124581"/>
          <c:w val="0.83571508826807617"/>
          <c:h val="0.56707387304742241"/>
        </c:manualLayout>
      </c:layout>
      <c:lineChart>
        <c:grouping val="standard"/>
        <c:varyColors val="0"/>
        <c:ser>
          <c:idx val="0"/>
          <c:order val="0"/>
          <c:tx>
            <c:strRef>
              <c:f>'Tb 2 O&amp;G prices'!$E$5</c:f>
              <c:strCache>
                <c:ptCount val="1"/>
                <c:pt idx="0">
                  <c:v>WTI (US$/barrel) – left axis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'Tb 2 O&amp;G prices'!$D$6:$D$26</c:f>
              <c:strCache>
                <c:ptCount val="21"/>
                <c:pt idx="0">
                  <c:v>2007-08</c:v>
                </c:pt>
                <c:pt idx="1">
                  <c:v>2008-09</c:v>
                </c:pt>
                <c:pt idx="2">
                  <c:v>2009-10</c:v>
                </c:pt>
                <c:pt idx="3">
                  <c:v>2010-11</c:v>
                </c:pt>
                <c:pt idx="4">
                  <c:v>2011-12</c:v>
                </c:pt>
                <c:pt idx="5">
                  <c:v>2012-13</c:v>
                </c:pt>
                <c:pt idx="6">
                  <c:v>2013-14</c:v>
                </c:pt>
                <c:pt idx="7">
                  <c:v>2014-15</c:v>
                </c:pt>
                <c:pt idx="8">
                  <c:v>2015-16</c:v>
                </c:pt>
                <c:pt idx="9">
                  <c:v>2016-17</c:v>
                </c:pt>
                <c:pt idx="10">
                  <c:v>2017-18</c:v>
                </c:pt>
                <c:pt idx="11">
                  <c:v>2018-19</c:v>
                </c:pt>
                <c:pt idx="12">
                  <c:v>2019-20</c:v>
                </c:pt>
                <c:pt idx="13">
                  <c:v>2020-21</c:v>
                </c:pt>
                <c:pt idx="14">
                  <c:v>2021-22</c:v>
                </c:pt>
                <c:pt idx="15">
                  <c:v>2022-23</c:v>
                </c:pt>
                <c:pt idx="16">
                  <c:v>2023-24a</c:v>
                </c:pt>
                <c:pt idx="17">
                  <c:v>2024-25e</c:v>
                </c:pt>
                <c:pt idx="18">
                  <c:v>2025-26f</c:v>
                </c:pt>
                <c:pt idx="19">
                  <c:v>2026-27f</c:v>
                </c:pt>
                <c:pt idx="20">
                  <c:v>2027-28f</c:v>
                </c:pt>
              </c:strCache>
            </c:strRef>
          </c:cat>
          <c:val>
            <c:numRef>
              <c:f>'Tb 2 O&amp;G prices'!$E$6:$E$26</c:f>
              <c:numCache>
                <c:formatCode>_(* #,##0.00_);_(* \(#,##0.00\);_(* "-"??_);_(@_)</c:formatCode>
                <c:ptCount val="21"/>
                <c:pt idx="0">
                  <c:v>82.25</c:v>
                </c:pt>
                <c:pt idx="1">
                  <c:v>85.94</c:v>
                </c:pt>
                <c:pt idx="2">
                  <c:v>70.709999999999994</c:v>
                </c:pt>
                <c:pt idx="3">
                  <c:v>83.38</c:v>
                </c:pt>
                <c:pt idx="4">
                  <c:v>97.33</c:v>
                </c:pt>
                <c:pt idx="5">
                  <c:v>92.07</c:v>
                </c:pt>
                <c:pt idx="6">
                  <c:v>99.05</c:v>
                </c:pt>
                <c:pt idx="7">
                  <c:v>80.48</c:v>
                </c:pt>
                <c:pt idx="8">
                  <c:v>45</c:v>
                </c:pt>
                <c:pt idx="9">
                  <c:v>47.93</c:v>
                </c:pt>
                <c:pt idx="10">
                  <c:v>53.69</c:v>
                </c:pt>
                <c:pt idx="11">
                  <c:v>62.77</c:v>
                </c:pt>
                <c:pt idx="12">
                  <c:v>54.85</c:v>
                </c:pt>
                <c:pt idx="13">
                  <c:v>42.32</c:v>
                </c:pt>
                <c:pt idx="14">
                  <c:v>77.03</c:v>
                </c:pt>
                <c:pt idx="15">
                  <c:v>89.69</c:v>
                </c:pt>
                <c:pt idx="16">
                  <c:v>77.83</c:v>
                </c:pt>
                <c:pt idx="17">
                  <c:v>74</c:v>
                </c:pt>
                <c:pt idx="18">
                  <c:v>68</c:v>
                </c:pt>
                <c:pt idx="19">
                  <c:v>71</c:v>
                </c:pt>
                <c:pt idx="20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B-46A1-87C0-CA0F555796C6}"/>
            </c:ext>
          </c:extLst>
        </c:ser>
        <c:ser>
          <c:idx val="1"/>
          <c:order val="1"/>
          <c:tx>
            <c:strRef>
              <c:f>'Tb 2 O&amp;G prices'!$F$5</c:f>
              <c:strCache>
                <c:ptCount val="1"/>
                <c:pt idx="0">
                  <c:v>WCS (US$/barrel) – left axis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'Tb 2 O&amp;G prices'!$D$6:$D$26</c:f>
              <c:strCache>
                <c:ptCount val="21"/>
                <c:pt idx="0">
                  <c:v>2007-08</c:v>
                </c:pt>
                <c:pt idx="1">
                  <c:v>2008-09</c:v>
                </c:pt>
                <c:pt idx="2">
                  <c:v>2009-10</c:v>
                </c:pt>
                <c:pt idx="3">
                  <c:v>2010-11</c:v>
                </c:pt>
                <c:pt idx="4">
                  <c:v>2011-12</c:v>
                </c:pt>
                <c:pt idx="5">
                  <c:v>2012-13</c:v>
                </c:pt>
                <c:pt idx="6">
                  <c:v>2013-14</c:v>
                </c:pt>
                <c:pt idx="7">
                  <c:v>2014-15</c:v>
                </c:pt>
                <c:pt idx="8">
                  <c:v>2015-16</c:v>
                </c:pt>
                <c:pt idx="9">
                  <c:v>2016-17</c:v>
                </c:pt>
                <c:pt idx="10">
                  <c:v>2017-18</c:v>
                </c:pt>
                <c:pt idx="11">
                  <c:v>2018-19</c:v>
                </c:pt>
                <c:pt idx="12">
                  <c:v>2019-20</c:v>
                </c:pt>
                <c:pt idx="13">
                  <c:v>2020-21</c:v>
                </c:pt>
                <c:pt idx="14">
                  <c:v>2021-22</c:v>
                </c:pt>
                <c:pt idx="15">
                  <c:v>2022-23</c:v>
                </c:pt>
                <c:pt idx="16">
                  <c:v>2023-24a</c:v>
                </c:pt>
                <c:pt idx="17">
                  <c:v>2024-25e</c:v>
                </c:pt>
                <c:pt idx="18">
                  <c:v>2025-26f</c:v>
                </c:pt>
                <c:pt idx="19">
                  <c:v>2026-27f</c:v>
                </c:pt>
                <c:pt idx="20">
                  <c:v>2027-28f</c:v>
                </c:pt>
              </c:strCache>
            </c:strRef>
          </c:cat>
          <c:val>
            <c:numRef>
              <c:f>'Tb 2 O&amp;G prices'!$F$6:$F$26</c:f>
              <c:numCache>
                <c:formatCode>_(* #,##0.00_);_(* \(#,##0.00\);_(* "-"??_);_(@_)</c:formatCode>
                <c:ptCount val="21"/>
                <c:pt idx="0">
                  <c:v>57.580299999999994</c:v>
                </c:pt>
                <c:pt idx="1">
                  <c:v>66.626559999999998</c:v>
                </c:pt>
                <c:pt idx="2">
                  <c:v>60.727519999999998</c:v>
                </c:pt>
                <c:pt idx="3">
                  <c:v>65.632800000000003</c:v>
                </c:pt>
                <c:pt idx="4">
                  <c:v>81.285039999999995</c:v>
                </c:pt>
                <c:pt idx="5">
                  <c:v>68.41152000000001</c:v>
                </c:pt>
                <c:pt idx="6">
                  <c:v>76.104500000000002</c:v>
                </c:pt>
                <c:pt idx="7">
                  <c:v>62.2864</c:v>
                </c:pt>
                <c:pt idx="8">
                  <c:v>31.257899999999999</c:v>
                </c:pt>
                <c:pt idx="9">
                  <c:v>34.038540000000005</c:v>
                </c:pt>
                <c:pt idx="10">
                  <c:v>39.296400000000006</c:v>
                </c:pt>
                <c:pt idx="11">
                  <c:v>39.408949999999997</c:v>
                </c:pt>
                <c:pt idx="12">
                  <c:v>39.961280000000002</c:v>
                </c:pt>
                <c:pt idx="13">
                  <c:v>31.354940000000003</c:v>
                </c:pt>
                <c:pt idx="14">
                  <c:v>63.544739999999997</c:v>
                </c:pt>
                <c:pt idx="15">
                  <c:v>68.599339999999998</c:v>
                </c:pt>
                <c:pt idx="16">
                  <c:v>59.508400000000002</c:v>
                </c:pt>
                <c:pt idx="17">
                  <c:v>60.729900000000001</c:v>
                </c:pt>
                <c:pt idx="18">
                  <c:v>50.877599999999994</c:v>
                </c:pt>
                <c:pt idx="19">
                  <c:v>54.500199999999992</c:v>
                </c:pt>
                <c:pt idx="20">
                  <c:v>55.940399999999997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BB-46A1-87C0-CA0F55579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15424"/>
        <c:axId val="162217344"/>
      </c:lineChart>
      <c:lineChart>
        <c:grouping val="standard"/>
        <c:varyColors val="0"/>
        <c:ser>
          <c:idx val="2"/>
          <c:order val="2"/>
          <c:tx>
            <c:strRef>
              <c:f>'Tb 2 O&amp;G prices'!$G$5</c:f>
              <c:strCache>
                <c:ptCount val="1"/>
                <c:pt idx="0">
                  <c:v>ARP (CDN$/GJ) – right axis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'Tb 2 O&amp;G prices'!$D$6:$D$26</c:f>
              <c:strCache>
                <c:ptCount val="21"/>
                <c:pt idx="0">
                  <c:v>2007-08</c:v>
                </c:pt>
                <c:pt idx="1">
                  <c:v>2008-09</c:v>
                </c:pt>
                <c:pt idx="2">
                  <c:v>2009-10</c:v>
                </c:pt>
                <c:pt idx="3">
                  <c:v>2010-11</c:v>
                </c:pt>
                <c:pt idx="4">
                  <c:v>2011-12</c:v>
                </c:pt>
                <c:pt idx="5">
                  <c:v>2012-13</c:v>
                </c:pt>
                <c:pt idx="6">
                  <c:v>2013-14</c:v>
                </c:pt>
                <c:pt idx="7">
                  <c:v>2014-15</c:v>
                </c:pt>
                <c:pt idx="8">
                  <c:v>2015-16</c:v>
                </c:pt>
                <c:pt idx="9">
                  <c:v>2016-17</c:v>
                </c:pt>
                <c:pt idx="10">
                  <c:v>2017-18</c:v>
                </c:pt>
                <c:pt idx="11">
                  <c:v>2018-19</c:v>
                </c:pt>
                <c:pt idx="12">
                  <c:v>2019-20</c:v>
                </c:pt>
                <c:pt idx="13">
                  <c:v>2020-21</c:v>
                </c:pt>
                <c:pt idx="14">
                  <c:v>2021-22</c:v>
                </c:pt>
                <c:pt idx="15">
                  <c:v>2022-23</c:v>
                </c:pt>
                <c:pt idx="16">
                  <c:v>2023-24a</c:v>
                </c:pt>
                <c:pt idx="17">
                  <c:v>2024-25e</c:v>
                </c:pt>
                <c:pt idx="18">
                  <c:v>2025-26f</c:v>
                </c:pt>
                <c:pt idx="19">
                  <c:v>2026-27f</c:v>
                </c:pt>
                <c:pt idx="20">
                  <c:v>2027-28f</c:v>
                </c:pt>
              </c:strCache>
            </c:strRef>
          </c:cat>
          <c:val>
            <c:numRef>
              <c:f>'Tb 2 O&amp;G prices'!$G$6:$G$26</c:f>
              <c:numCache>
                <c:formatCode>_(* #,##0.00_);_(* \(#,##0.00\);_(* "-"??_);_(@_)</c:formatCode>
                <c:ptCount val="21"/>
                <c:pt idx="0">
                  <c:v>5.92</c:v>
                </c:pt>
                <c:pt idx="1">
                  <c:v>6.97</c:v>
                </c:pt>
                <c:pt idx="2">
                  <c:v>3.58</c:v>
                </c:pt>
                <c:pt idx="3">
                  <c:v>3.28</c:v>
                </c:pt>
                <c:pt idx="4">
                  <c:v>2.98</c:v>
                </c:pt>
                <c:pt idx="5">
                  <c:v>2.2799999999999998</c:v>
                </c:pt>
                <c:pt idx="6">
                  <c:v>3.28</c:v>
                </c:pt>
                <c:pt idx="7">
                  <c:v>3.51</c:v>
                </c:pt>
                <c:pt idx="8">
                  <c:v>2.21</c:v>
                </c:pt>
                <c:pt idx="9">
                  <c:v>2.0099999999999998</c:v>
                </c:pt>
                <c:pt idx="10">
                  <c:v>1.82</c:v>
                </c:pt>
                <c:pt idx="11">
                  <c:v>1.34</c:v>
                </c:pt>
                <c:pt idx="12">
                  <c:v>1.39</c:v>
                </c:pt>
                <c:pt idx="13">
                  <c:v>2.1</c:v>
                </c:pt>
                <c:pt idx="14">
                  <c:v>3.48</c:v>
                </c:pt>
                <c:pt idx="15">
                  <c:v>4.63</c:v>
                </c:pt>
                <c:pt idx="16">
                  <c:v>2.0699999999999998</c:v>
                </c:pt>
                <c:pt idx="17">
                  <c:v>1.2</c:v>
                </c:pt>
                <c:pt idx="18">
                  <c:v>2.5</c:v>
                </c:pt>
                <c:pt idx="19">
                  <c:v>3.1</c:v>
                </c:pt>
                <c:pt idx="20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BB-46A1-87C0-CA0F55579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32960"/>
        <c:axId val="162231424"/>
      </c:lineChart>
      <c:catAx>
        <c:axId val="162215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800" b="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2217344"/>
        <c:crosses val="autoZero"/>
        <c:auto val="1"/>
        <c:lblAlgn val="ctr"/>
        <c:lblOffset val="100"/>
        <c:tickLblSkip val="2"/>
        <c:noMultiLvlLbl val="0"/>
      </c:catAx>
      <c:valAx>
        <c:axId val="162217344"/>
        <c:scaling>
          <c:orientation val="minMax"/>
          <c:max val="110"/>
          <c:min val="10"/>
        </c:scaling>
        <c:delete val="0"/>
        <c:axPos val="l"/>
        <c:numFmt formatCode="_-[$$-1009]* #,##0_-;\-[$$-1009]* #,##0_-;_-[$$-1009]* &quot;-&quot;_-;_-@_-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vert="horz"/>
          <a:lstStyle/>
          <a:p>
            <a:pPr>
              <a:defRPr sz="800" b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2215424"/>
        <c:crosses val="autoZero"/>
        <c:crossBetween val="between"/>
        <c:majorUnit val="20"/>
      </c:valAx>
      <c:valAx>
        <c:axId val="162231424"/>
        <c:scaling>
          <c:orientation val="minMax"/>
          <c:min val="1"/>
        </c:scaling>
        <c:delete val="0"/>
        <c:axPos val="r"/>
        <c:majorGridlines>
          <c:spPr>
            <a:ln w="6350" cmpd="sng"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_-[$$-1009]* #,##0_-;\-[$$-1009]* #,##0_-;_-[$$-1009]* &quot;-&quot;_-;_-@_-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vert="horz"/>
          <a:lstStyle/>
          <a:p>
            <a:pPr>
              <a:defRPr sz="800" b="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2232960"/>
        <c:crosses val="max"/>
        <c:crossBetween val="between"/>
        <c:majorUnit val="2"/>
      </c:valAx>
      <c:catAx>
        <c:axId val="162232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231424"/>
        <c:crosses val="autoZero"/>
        <c:auto val="1"/>
        <c:lblAlgn val="ctr"/>
        <c:lblOffset val="100"/>
        <c:noMultiLvlLbl val="0"/>
      </c:catAx>
      <c:spPr>
        <a:ln w="6350" cmpd="sng">
          <a:noFill/>
        </a:ln>
        <a:effectLst/>
      </c:spPr>
    </c:plotArea>
    <c:legend>
      <c:legendPos val="b"/>
      <c:layout>
        <c:manualLayout>
          <c:xMode val="edge"/>
          <c:yMode val="edge"/>
          <c:x val="0.11938706719879193"/>
          <c:y val="3.5058977600002914E-2"/>
          <c:w val="0.80388195268399676"/>
          <c:h val="0.15259842519685038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 sz="800" b="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2.29" r="2.06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18209</xdr:colOff>
      <xdr:row>42</xdr:row>
      <xdr:rowOff>122809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1119BC-69EC-F906-61C4-0AAED049B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23809" cy="81238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50</xdr:row>
      <xdr:rowOff>42862</xdr:rowOff>
    </xdr:from>
    <xdr:to>
      <xdr:col>9</xdr:col>
      <xdr:colOff>0</xdr:colOff>
      <xdr:row>69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</xdr:row>
      <xdr:rowOff>66675</xdr:rowOff>
    </xdr:from>
    <xdr:to>
      <xdr:col>0</xdr:col>
      <xdr:colOff>4152900</xdr:colOff>
      <xdr:row>1</xdr:row>
      <xdr:rowOff>2717800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2019-GoA_FinDocs_clr-theme">
      <a:dk1>
        <a:sysClr val="windowText" lastClr="000000"/>
      </a:dk1>
      <a:lt1>
        <a:sysClr val="window" lastClr="FFFFFF"/>
      </a:lt1>
      <a:dk2>
        <a:srgbClr val="6A737B"/>
      </a:dk2>
      <a:lt2>
        <a:srgbClr val="E7E6E6"/>
      </a:lt2>
      <a:accent1>
        <a:srgbClr val="005072"/>
      </a:accent1>
      <a:accent2>
        <a:srgbClr val="D1D4D3"/>
      </a:accent2>
      <a:accent3>
        <a:srgbClr val="00AAD2"/>
      </a:accent3>
      <a:accent4>
        <a:srgbClr val="EDB70A"/>
      </a:accent4>
      <a:accent5>
        <a:srgbClr val="6A737B"/>
      </a:accent5>
      <a:accent6>
        <a:srgbClr val="A50069"/>
      </a:accent6>
      <a:hlink>
        <a:srgbClr val="00AAD2"/>
      </a:hlink>
      <a:folHlink>
        <a:srgbClr val="36424A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pen.alberta.ca/licen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E0E5-7770-4580-9584-B9D66AEADD57}">
  <dimension ref="D45:F46"/>
  <sheetViews>
    <sheetView tabSelected="1" topLeftCell="A19" workbookViewId="0">
      <selection activeCell="F46" sqref="F46"/>
    </sheetView>
  </sheetViews>
  <sheetFormatPr defaultRowHeight="15"/>
  <sheetData>
    <row r="45" spans="4:6">
      <c r="D45" t="s">
        <v>149</v>
      </c>
    </row>
    <row r="46" spans="4:6">
      <c r="F46" s="194" t="s">
        <v>150</v>
      </c>
    </row>
  </sheetData>
  <hyperlinks>
    <hyperlink ref="F46" r:id="rId1" xr:uid="{E60AC76E-77D9-4878-B429-57FF51768ECB}"/>
  </hyperlinks>
  <pageMargins left="0.7" right="0.7" top="0.75" bottom="0.75" header="0.3" footer="0.3"/>
  <pageSetup orientation="portrait" horizontalDpi="1200" verticalDpi="1200" r:id="rId2"/>
  <headerFooter>
    <oddFooter>&amp;L_x000D_&amp;1#&amp;"Calibri"&amp;11&amp;K000000 Classification: Public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AB29"/>
  <sheetViews>
    <sheetView showGridLines="0" zoomScale="120" zoomScaleNormal="120" zoomScaleSheetLayoutView="160" workbookViewId="0">
      <selection activeCell="M11" sqref="M11"/>
    </sheetView>
  </sheetViews>
  <sheetFormatPr defaultColWidth="9.42578125" defaultRowHeight="11.25"/>
  <cols>
    <col min="1" max="1" width="22.140625" style="2" customWidth="1"/>
    <col min="2" max="7" width="6.28515625" style="2" customWidth="1"/>
    <col min="8" max="9" width="9.42578125" style="3"/>
    <col min="10" max="13" width="9.42578125" style="3" customWidth="1"/>
    <col min="14" max="28" width="9.42578125" style="3"/>
    <col min="29" max="16384" width="9.42578125" style="2"/>
  </cols>
  <sheetData>
    <row r="1" spans="1:28" ht="15.75" customHeight="1">
      <c r="A1" s="1" t="s">
        <v>11</v>
      </c>
      <c r="J1" s="155"/>
    </row>
    <row r="2" spans="1:28" ht="14.25" customHeight="1">
      <c r="A2" s="4" t="s">
        <v>0</v>
      </c>
    </row>
    <row r="3" spans="1:28" ht="13.5" customHeight="1">
      <c r="B3" s="180" t="s">
        <v>5</v>
      </c>
      <c r="C3" s="195" t="s">
        <v>113</v>
      </c>
      <c r="D3" s="195"/>
      <c r="E3" s="185" t="s">
        <v>121</v>
      </c>
      <c r="F3" s="180" t="s">
        <v>130</v>
      </c>
      <c r="G3" s="180" t="s">
        <v>139</v>
      </c>
      <c r="I3" s="173"/>
    </row>
    <row r="4" spans="1:28" s="9" customFormat="1" ht="13.5" customHeight="1">
      <c r="A4" s="6"/>
      <c r="B4" s="181" t="s">
        <v>6</v>
      </c>
      <c r="C4" s="7" t="s">
        <v>7</v>
      </c>
      <c r="D4" s="7" t="s">
        <v>12</v>
      </c>
      <c r="E4" s="187" t="s">
        <v>8</v>
      </c>
      <c r="F4" s="188" t="s">
        <v>10</v>
      </c>
      <c r="G4" s="188" t="s">
        <v>10</v>
      </c>
      <c r="H4" s="8"/>
      <c r="I4" s="175"/>
      <c r="J4" s="3"/>
      <c r="K4" s="3"/>
      <c r="L4" s="3"/>
      <c r="M4" s="3"/>
      <c r="N4" s="3"/>
      <c r="O4" s="3"/>
      <c r="P4" s="176"/>
      <c r="Q4" s="176"/>
      <c r="R4" s="176"/>
      <c r="S4" s="3"/>
      <c r="T4" s="3"/>
      <c r="U4" s="3"/>
      <c r="V4" s="3"/>
      <c r="W4" s="8"/>
      <c r="X4" s="8"/>
      <c r="Y4" s="8"/>
      <c r="Z4" s="8"/>
      <c r="AA4" s="8"/>
      <c r="AB4" s="8"/>
    </row>
    <row r="5" spans="1:28" ht="12.75" customHeight="1">
      <c r="A5" s="2" t="s">
        <v>13</v>
      </c>
      <c r="B5" s="3">
        <v>15160</v>
      </c>
      <c r="C5" s="10">
        <v>15604</v>
      </c>
      <c r="D5" s="10">
        <v>16119.993</v>
      </c>
      <c r="E5" s="11">
        <v>15509.644</v>
      </c>
      <c r="F5" s="10">
        <v>16270.87</v>
      </c>
      <c r="G5" s="10">
        <v>16980.97</v>
      </c>
      <c r="I5" s="175"/>
      <c r="P5" s="12"/>
      <c r="Q5" s="12"/>
      <c r="R5" s="12"/>
    </row>
    <row r="6" spans="1:28" ht="12.75" customHeight="1">
      <c r="A6" s="2" t="s">
        <v>14</v>
      </c>
      <c r="B6" s="3">
        <v>7044.1</v>
      </c>
      <c r="C6" s="10">
        <v>7028</v>
      </c>
      <c r="D6" s="10">
        <v>7350.6490000000003</v>
      </c>
      <c r="E6" s="11">
        <v>6764.2659999999996</v>
      </c>
      <c r="F6" s="10">
        <v>6938.2309999999998</v>
      </c>
      <c r="G6" s="10">
        <v>7253.56</v>
      </c>
      <c r="I6" s="175"/>
      <c r="P6" s="12"/>
      <c r="Q6" s="12"/>
      <c r="R6" s="12"/>
    </row>
    <row r="7" spans="1:28" ht="12.75" customHeight="1">
      <c r="A7" s="2" t="s">
        <v>15</v>
      </c>
      <c r="B7" s="3">
        <v>4542.7</v>
      </c>
      <c r="C7" s="10">
        <v>6013.4179999999997</v>
      </c>
      <c r="D7" s="10">
        <v>5994.9409999999998</v>
      </c>
      <c r="E7" s="11">
        <v>6563.3609999999999</v>
      </c>
      <c r="F7" s="10">
        <v>6941.4780000000001</v>
      </c>
      <c r="G7" s="10">
        <v>7155.7839999999997</v>
      </c>
      <c r="I7" s="175"/>
      <c r="P7" s="12"/>
      <c r="Q7" s="12"/>
      <c r="R7" s="12"/>
    </row>
    <row r="8" spans="1:28" ht="12.75" customHeight="1">
      <c r="A8" s="2" t="s">
        <v>16</v>
      </c>
      <c r="B8" s="3">
        <v>14517.6</v>
      </c>
      <c r="C8" s="10">
        <v>12538</v>
      </c>
      <c r="D8" s="10">
        <v>16859.333999999999</v>
      </c>
      <c r="E8" s="11">
        <v>12830.42</v>
      </c>
      <c r="F8" s="10">
        <v>13137.823</v>
      </c>
      <c r="G8" s="10">
        <v>13498.546</v>
      </c>
      <c r="I8" s="175"/>
      <c r="P8" s="12"/>
      <c r="Q8" s="12"/>
      <c r="R8" s="12"/>
    </row>
    <row r="9" spans="1:28" ht="12.75" customHeight="1">
      <c r="A9" s="2" t="s">
        <v>17</v>
      </c>
      <c r="B9" s="3">
        <v>4769.0999999999967</v>
      </c>
      <c r="C9" s="10">
        <v>4777</v>
      </c>
      <c r="D9" s="10">
        <v>4649.768</v>
      </c>
      <c r="E9" s="11">
        <v>4236.8860000000004</v>
      </c>
      <c r="F9" s="10">
        <v>4482.107</v>
      </c>
      <c r="G9" s="10">
        <v>4316.5030000000024</v>
      </c>
      <c r="I9" s="175"/>
      <c r="P9" s="12"/>
      <c r="Q9" s="12"/>
      <c r="R9" s="12"/>
    </row>
    <row r="10" spans="1:28" ht="12.75" customHeight="1">
      <c r="A10" s="2" t="s">
        <v>18</v>
      </c>
      <c r="B10" s="3">
        <v>12335.899999999998</v>
      </c>
      <c r="C10" s="10">
        <v>12639.721</v>
      </c>
      <c r="D10" s="10">
        <v>12958.239000000001</v>
      </c>
      <c r="E10" s="11">
        <v>13287.499000000002</v>
      </c>
      <c r="F10" s="10">
        <v>13752.596</v>
      </c>
      <c r="G10" s="10">
        <v>14228.073</v>
      </c>
      <c r="P10" s="12"/>
      <c r="Q10" s="12"/>
      <c r="R10" s="12"/>
    </row>
    <row r="11" spans="1:28" ht="12.75" customHeight="1">
      <c r="A11" s="2" t="s">
        <v>19</v>
      </c>
      <c r="B11" s="3">
        <v>4581.1000000000004</v>
      </c>
      <c r="C11" s="3">
        <v>3266.7559999999999</v>
      </c>
      <c r="D11" s="3">
        <v>5171.4609999999993</v>
      </c>
      <c r="E11" s="11">
        <v>2882.0919999999996</v>
      </c>
      <c r="F11" s="10">
        <v>3134.8459999999995</v>
      </c>
      <c r="G11" s="10">
        <v>3467.248</v>
      </c>
      <c r="P11" s="12"/>
      <c r="Q11" s="12"/>
      <c r="R11" s="12"/>
    </row>
    <row r="12" spans="1:28" ht="12.75" customHeight="1">
      <c r="A12" s="2" t="s">
        <v>20</v>
      </c>
      <c r="B12" s="3">
        <v>1236.7000000000005</v>
      </c>
      <c r="C12" s="3">
        <v>2122.9170000000008</v>
      </c>
      <c r="D12" s="3">
        <v>2064.3819999999996</v>
      </c>
      <c r="E12" s="11">
        <v>2015.7360000000001</v>
      </c>
      <c r="F12" s="3">
        <v>2505.8190000000004</v>
      </c>
      <c r="G12" s="3">
        <v>2567.5110000000004</v>
      </c>
      <c r="P12" s="12"/>
      <c r="Q12" s="12"/>
      <c r="R12" s="12"/>
    </row>
    <row r="13" spans="1:28" ht="12.75" customHeight="1">
      <c r="A13" s="2" t="s">
        <v>21</v>
      </c>
      <c r="B13" s="3">
        <v>5564.9</v>
      </c>
      <c r="C13" s="3">
        <v>5383.4529999999995</v>
      </c>
      <c r="D13" s="3">
        <v>5564.7710000000006</v>
      </c>
      <c r="E13" s="11">
        <v>5635.74</v>
      </c>
      <c r="F13" s="3">
        <v>5873.527</v>
      </c>
      <c r="G13" s="3">
        <v>6031.8890000000001</v>
      </c>
      <c r="P13" s="12"/>
      <c r="Q13" s="12"/>
      <c r="R13" s="12"/>
    </row>
    <row r="14" spans="1:28" ht="12.75" customHeight="1">
      <c r="A14" s="13" t="s">
        <v>22</v>
      </c>
      <c r="B14" s="150">
        <v>4979.2000000000007</v>
      </c>
      <c r="C14" s="150">
        <v>4164.067</v>
      </c>
      <c r="D14" s="150">
        <v>3958.0309999999986</v>
      </c>
      <c r="E14" s="11">
        <v>4412.1369999999997</v>
      </c>
      <c r="F14" s="150">
        <v>4352.8009999999995</v>
      </c>
      <c r="G14" s="150">
        <v>4469.241</v>
      </c>
      <c r="P14" s="12"/>
      <c r="Q14" s="12"/>
      <c r="R14" s="12"/>
    </row>
    <row r="15" spans="1:28" ht="15" customHeight="1" thickBot="1">
      <c r="A15" s="15" t="s">
        <v>11</v>
      </c>
      <c r="B15" s="151">
        <v>74732.299999999988</v>
      </c>
      <c r="C15" s="16">
        <v>73537.332000000009</v>
      </c>
      <c r="D15" s="16">
        <v>80691.569000000003</v>
      </c>
      <c r="E15" s="17">
        <v>74137.781000000003</v>
      </c>
      <c r="F15" s="151">
        <v>77390.097999999998</v>
      </c>
      <c r="G15" s="151">
        <v>79969.324999999997</v>
      </c>
      <c r="P15" s="12"/>
      <c r="Q15" s="12"/>
      <c r="R15" s="12"/>
    </row>
    <row r="16" spans="1:28" ht="15" customHeight="1"/>
    <row r="17" spans="2:21" ht="15" customHeight="1">
      <c r="B17" s="174"/>
      <c r="C17" s="174"/>
      <c r="D17" s="174"/>
      <c r="E17" s="174"/>
      <c r="F17" s="174"/>
      <c r="G17" s="174"/>
      <c r="H17" s="175"/>
    </row>
    <row r="18" spans="2:21" ht="15" customHeight="1">
      <c r="B18" s="174"/>
      <c r="C18" s="174"/>
      <c r="D18" s="174"/>
      <c r="F18" s="172"/>
      <c r="G18" s="172"/>
      <c r="H18" s="175"/>
    </row>
    <row r="19" spans="2:21" ht="15" customHeight="1">
      <c r="B19" s="174"/>
      <c r="C19" s="174"/>
      <c r="D19" s="174"/>
      <c r="F19" s="172"/>
      <c r="G19" s="172"/>
      <c r="H19" s="175"/>
    </row>
    <row r="20" spans="2:21" ht="15" customHeight="1">
      <c r="B20" s="174"/>
      <c r="C20" s="174"/>
      <c r="D20" s="174"/>
      <c r="F20" s="172"/>
      <c r="G20" s="172"/>
      <c r="H20" s="175"/>
    </row>
    <row r="21" spans="2:21" ht="15" customHeight="1">
      <c r="B21" s="174"/>
      <c r="C21" s="174"/>
      <c r="D21" s="174"/>
      <c r="E21" s="174"/>
      <c r="F21" s="174"/>
      <c r="G21" s="174"/>
      <c r="H21" s="175"/>
    </row>
    <row r="22" spans="2:21">
      <c r="B22" s="20"/>
      <c r="C22" s="20"/>
      <c r="D22" s="20"/>
      <c r="E22" s="20"/>
      <c r="F22" s="20"/>
      <c r="G22" s="20"/>
    </row>
    <row r="23" spans="2:21">
      <c r="B23" s="156"/>
      <c r="C23" s="156"/>
      <c r="D23" s="156"/>
      <c r="E23" s="156"/>
      <c r="F23" s="156"/>
      <c r="G23" s="156"/>
    </row>
    <row r="24" spans="2:21">
      <c r="B24" s="20"/>
      <c r="C24" s="20"/>
      <c r="D24" s="20"/>
      <c r="E24" s="20"/>
      <c r="F24" s="20"/>
      <c r="G24" s="20"/>
    </row>
    <row r="25" spans="2:21">
      <c r="B25" s="156"/>
      <c r="C25" s="156"/>
      <c r="D25" s="156"/>
      <c r="E25" s="156"/>
      <c r="F25" s="156"/>
      <c r="G25" s="156"/>
    </row>
    <row r="26" spans="2:21" ht="15">
      <c r="B26" s="156"/>
      <c r="C26" s="156"/>
      <c r="D26" s="156"/>
      <c r="E26" s="156"/>
      <c r="F26" s="156"/>
      <c r="G26" s="156"/>
      <c r="T26" s="18"/>
      <c r="U26" s="18"/>
    </row>
    <row r="28" spans="2:21">
      <c r="B28" s="20"/>
      <c r="C28" s="20"/>
      <c r="D28" s="20"/>
      <c r="E28" s="20"/>
      <c r="F28" s="20"/>
      <c r="G28" s="20"/>
    </row>
    <row r="29" spans="2:21">
      <c r="B29" s="156"/>
      <c r="C29" s="156"/>
      <c r="D29" s="156"/>
      <c r="E29" s="156"/>
      <c r="F29" s="156"/>
      <c r="G29" s="156"/>
    </row>
  </sheetData>
  <mergeCells count="1">
    <mergeCell ref="C3:D3"/>
  </mergeCells>
  <pageMargins left="1" right="2.85" top="0.74803040244969399" bottom="0.74803040244969399" header="0.31496062992126" footer="0.31496062992126"/>
  <pageSetup scale="93" orientation="portrait" r:id="rId1"/>
  <headerFooter alignWithMargins="0">
    <oddFooter>&amp;L_x000D_&amp;1#&amp;"Calibri"&amp;11&amp;K000000 Classification: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C000"/>
  </sheetPr>
  <dimension ref="A1:O252"/>
  <sheetViews>
    <sheetView zoomScaleNormal="100" workbookViewId="0">
      <selection activeCell="I10" sqref="I10"/>
    </sheetView>
  </sheetViews>
  <sheetFormatPr defaultColWidth="9.42578125" defaultRowHeight="11.25"/>
  <cols>
    <col min="1" max="1" width="68.42578125" style="2" customWidth="1"/>
    <col min="2" max="3" width="9.42578125" style="2"/>
    <col min="4" max="7" width="11" style="2" customWidth="1"/>
    <col min="8" max="8" width="4.42578125" style="2" customWidth="1"/>
    <col min="9" max="9" width="9.140625" style="2" bestFit="1" customWidth="1"/>
    <col min="10" max="12" width="11" style="2" customWidth="1"/>
    <col min="13" max="16384" width="9.42578125" style="2"/>
  </cols>
  <sheetData>
    <row r="1" spans="1:12" ht="15.75">
      <c r="A1" s="46" t="s">
        <v>33</v>
      </c>
    </row>
    <row r="2" spans="1:12" ht="239.25" customHeight="1"/>
    <row r="3" spans="1:12" ht="21.75" customHeight="1">
      <c r="E3" s="177"/>
    </row>
    <row r="4" spans="1:12" ht="12.75">
      <c r="A4" s="47"/>
    </row>
    <row r="5" spans="1:12" ht="39.75" customHeight="1">
      <c r="A5" s="154"/>
      <c r="E5" s="48" t="s">
        <v>34</v>
      </c>
      <c r="F5" s="48" t="s">
        <v>35</v>
      </c>
      <c r="G5" s="48" t="s">
        <v>36</v>
      </c>
      <c r="I5" s="191"/>
      <c r="J5" s="191"/>
      <c r="K5" s="191"/>
      <c r="L5" s="48"/>
    </row>
    <row r="6" spans="1:12" ht="15">
      <c r="D6" s="50" t="s">
        <v>37</v>
      </c>
      <c r="E6" s="49">
        <v>82.25</v>
      </c>
      <c r="F6" s="49">
        <v>57.580299999999994</v>
      </c>
      <c r="G6" s="49">
        <v>5.92</v>
      </c>
      <c r="H6" s="49"/>
      <c r="I6" s="192"/>
      <c r="J6" s="191"/>
      <c r="K6" s="191"/>
    </row>
    <row r="7" spans="1:12" ht="15">
      <c r="D7" s="50" t="s">
        <v>38</v>
      </c>
      <c r="E7" s="49">
        <v>85.94</v>
      </c>
      <c r="F7" s="49">
        <v>66.626559999999998</v>
      </c>
      <c r="G7" s="49">
        <v>6.97</v>
      </c>
      <c r="H7" s="49"/>
      <c r="I7" s="191"/>
      <c r="J7" s="191"/>
      <c r="K7" s="191"/>
    </row>
    <row r="8" spans="1:12" ht="15">
      <c r="D8" s="50" t="s">
        <v>39</v>
      </c>
      <c r="E8" s="49">
        <v>70.709999999999994</v>
      </c>
      <c r="F8" s="49">
        <v>60.727519999999998</v>
      </c>
      <c r="G8" s="49">
        <v>3.58</v>
      </c>
      <c r="H8" s="49"/>
      <c r="I8" s="191"/>
      <c r="J8" s="191"/>
      <c r="K8" s="191"/>
    </row>
    <row r="9" spans="1:12" ht="15">
      <c r="D9" s="50" t="s">
        <v>40</v>
      </c>
      <c r="E9" s="49">
        <v>83.38</v>
      </c>
      <c r="F9" s="49">
        <v>65.632800000000003</v>
      </c>
      <c r="G9" s="49">
        <v>3.28</v>
      </c>
      <c r="H9" s="49"/>
      <c r="I9" s="192"/>
      <c r="J9" s="191"/>
      <c r="K9" s="191"/>
    </row>
    <row r="10" spans="1:12" ht="15">
      <c r="D10" s="50" t="s">
        <v>41</v>
      </c>
      <c r="E10" s="49">
        <v>97.33</v>
      </c>
      <c r="F10" s="49">
        <v>81.285039999999995</v>
      </c>
      <c r="G10" s="49">
        <v>2.98</v>
      </c>
      <c r="H10" s="49"/>
      <c r="I10" s="191"/>
      <c r="J10" s="191"/>
      <c r="K10" s="191"/>
    </row>
    <row r="11" spans="1:12" ht="15">
      <c r="D11" s="50" t="s">
        <v>42</v>
      </c>
      <c r="E11" s="49">
        <v>92.07</v>
      </c>
      <c r="F11" s="49">
        <v>68.41152000000001</v>
      </c>
      <c r="G11" s="49">
        <v>2.2799999999999998</v>
      </c>
      <c r="H11" s="49"/>
      <c r="I11" s="191"/>
      <c r="J11" s="191"/>
      <c r="K11" s="191"/>
    </row>
    <row r="12" spans="1:12" ht="15">
      <c r="D12" s="50" t="s">
        <v>43</v>
      </c>
      <c r="E12" s="49">
        <v>99.05</v>
      </c>
      <c r="F12" s="49">
        <v>76.104500000000002</v>
      </c>
      <c r="G12" s="49">
        <v>3.28</v>
      </c>
      <c r="H12" s="49"/>
      <c r="I12" s="192"/>
      <c r="J12" s="191"/>
      <c r="K12" s="191"/>
      <c r="L12" s="51"/>
    </row>
    <row r="13" spans="1:12" ht="15">
      <c r="D13" s="50" t="s">
        <v>44</v>
      </c>
      <c r="E13" s="49">
        <v>80.48</v>
      </c>
      <c r="F13" s="49">
        <v>62.2864</v>
      </c>
      <c r="G13" s="49">
        <v>3.51</v>
      </c>
      <c r="H13" s="49"/>
      <c r="I13" s="191"/>
      <c r="J13" s="191"/>
      <c r="K13" s="191"/>
      <c r="L13" s="51"/>
    </row>
    <row r="14" spans="1:12" ht="15">
      <c r="D14" s="50" t="s">
        <v>45</v>
      </c>
      <c r="E14" s="49">
        <v>45</v>
      </c>
      <c r="F14" s="49">
        <v>31.257899999999999</v>
      </c>
      <c r="G14" s="49">
        <v>2.21</v>
      </c>
      <c r="H14" s="49"/>
      <c r="I14" s="191"/>
      <c r="J14" s="191"/>
      <c r="K14" s="191"/>
      <c r="L14" s="51"/>
    </row>
    <row r="15" spans="1:12" ht="15">
      <c r="D15" s="50" t="s">
        <v>46</v>
      </c>
      <c r="E15" s="49">
        <v>47.93</v>
      </c>
      <c r="F15" s="49">
        <v>34.038540000000005</v>
      </c>
      <c r="G15" s="49">
        <v>2.0099999999999998</v>
      </c>
      <c r="H15" s="49"/>
      <c r="I15" s="192"/>
      <c r="J15" s="191"/>
      <c r="K15" s="191"/>
      <c r="L15" s="51"/>
    </row>
    <row r="16" spans="1:12" ht="15">
      <c r="D16" s="50" t="s">
        <v>47</v>
      </c>
      <c r="E16" s="49">
        <v>53.69</v>
      </c>
      <c r="F16" s="49">
        <v>39.296400000000006</v>
      </c>
      <c r="G16" s="49">
        <v>1.82</v>
      </c>
      <c r="H16" s="49"/>
      <c r="I16" s="191"/>
      <c r="J16" s="191"/>
      <c r="K16" s="191"/>
      <c r="L16" s="51"/>
    </row>
    <row r="17" spans="2:15" ht="15">
      <c r="D17" s="50" t="s">
        <v>48</v>
      </c>
      <c r="E17" s="49">
        <v>62.77</v>
      </c>
      <c r="F17" s="49">
        <v>39.408949999999997</v>
      </c>
      <c r="G17" s="49">
        <v>1.34</v>
      </c>
      <c r="H17" s="49"/>
      <c r="I17" s="191"/>
      <c r="J17" s="191"/>
      <c r="K17" s="191"/>
      <c r="L17" s="51"/>
    </row>
    <row r="18" spans="2:15" ht="15">
      <c r="D18" s="50" t="s">
        <v>1</v>
      </c>
      <c r="E18" s="49">
        <v>54.85</v>
      </c>
      <c r="F18" s="49">
        <v>39.961280000000002</v>
      </c>
      <c r="G18" s="49">
        <v>1.39</v>
      </c>
      <c r="H18" s="49"/>
      <c r="I18" s="192"/>
      <c r="J18" s="191"/>
      <c r="K18" s="191"/>
      <c r="L18" s="51"/>
    </row>
    <row r="19" spans="2:15" ht="15">
      <c r="B19" s="193"/>
      <c r="C19" s="193"/>
      <c r="D19" s="153" t="s">
        <v>2</v>
      </c>
      <c r="E19" s="49">
        <v>42.32</v>
      </c>
      <c r="F19" s="49">
        <v>31.354940000000003</v>
      </c>
      <c r="G19" s="49">
        <v>2.1</v>
      </c>
      <c r="H19" s="49"/>
      <c r="I19" s="191"/>
      <c r="J19" s="191"/>
      <c r="K19" s="191"/>
      <c r="L19" s="51"/>
    </row>
    <row r="20" spans="2:15" ht="15">
      <c r="D20" s="153" t="s">
        <v>3</v>
      </c>
      <c r="E20" s="49">
        <v>77.03</v>
      </c>
      <c r="F20" s="49">
        <v>63.544739999999997</v>
      </c>
      <c r="G20" s="49">
        <v>3.48</v>
      </c>
      <c r="H20" s="49"/>
      <c r="I20" s="191"/>
      <c r="J20" s="191"/>
      <c r="K20" s="191"/>
      <c r="L20" s="51"/>
      <c r="O20" s="52"/>
    </row>
    <row r="21" spans="2:15" ht="15">
      <c r="D21" s="153" t="s">
        <v>4</v>
      </c>
      <c r="E21" s="49">
        <v>89.69</v>
      </c>
      <c r="F21" s="49">
        <v>68.599339999999998</v>
      </c>
      <c r="G21" s="49">
        <v>4.63</v>
      </c>
      <c r="H21" s="49"/>
      <c r="I21" s="192"/>
      <c r="J21" s="191"/>
      <c r="K21" s="191"/>
      <c r="L21" s="51"/>
      <c r="O21" s="52"/>
    </row>
    <row r="22" spans="2:15" ht="15">
      <c r="D22" s="153" t="s">
        <v>146</v>
      </c>
      <c r="E22" s="49">
        <v>77.83</v>
      </c>
      <c r="F22" s="49">
        <v>59.508400000000002</v>
      </c>
      <c r="G22" s="49">
        <v>2.0699999999999998</v>
      </c>
      <c r="H22" s="49"/>
      <c r="I22" s="191"/>
      <c r="J22" s="191"/>
      <c r="K22" s="191"/>
      <c r="L22" s="51"/>
      <c r="O22" s="52"/>
    </row>
    <row r="23" spans="2:15" ht="15">
      <c r="D23" s="153" t="s">
        <v>145</v>
      </c>
      <c r="E23" s="49">
        <v>74</v>
      </c>
      <c r="F23" s="49">
        <v>60.729900000000001</v>
      </c>
      <c r="G23" s="49">
        <v>1.2</v>
      </c>
      <c r="H23" s="49"/>
      <c r="I23" s="191"/>
      <c r="J23" s="191"/>
      <c r="K23" s="191"/>
      <c r="L23" s="51"/>
      <c r="O23" s="52"/>
    </row>
    <row r="24" spans="2:15" ht="15">
      <c r="D24" s="153" t="s">
        <v>126</v>
      </c>
      <c r="E24" s="49">
        <v>68</v>
      </c>
      <c r="F24" s="49">
        <v>50.877599999999994</v>
      </c>
      <c r="G24" s="49">
        <v>2.5</v>
      </c>
      <c r="H24" s="49"/>
      <c r="I24" s="192"/>
      <c r="J24" s="191"/>
      <c r="K24" s="191"/>
      <c r="L24" s="51"/>
    </row>
    <row r="25" spans="2:15" ht="15">
      <c r="D25" s="153" t="s">
        <v>134</v>
      </c>
      <c r="E25" s="49">
        <v>71</v>
      </c>
      <c r="F25" s="49">
        <v>54.500199999999992</v>
      </c>
      <c r="G25" s="49">
        <v>3.1</v>
      </c>
      <c r="H25" s="49"/>
      <c r="I25" s="191"/>
      <c r="J25" s="191"/>
      <c r="K25" s="191"/>
      <c r="L25" s="51"/>
    </row>
    <row r="26" spans="2:15" ht="15">
      <c r="D26" s="153" t="s">
        <v>144</v>
      </c>
      <c r="E26" s="49">
        <v>71.5</v>
      </c>
      <c r="F26" s="49">
        <v>55.940399999999997</v>
      </c>
      <c r="G26" s="49">
        <v>2.9</v>
      </c>
      <c r="H26" s="49"/>
      <c r="I26" s="191"/>
      <c r="J26" s="191"/>
      <c r="K26" s="191"/>
      <c r="L26" s="51"/>
    </row>
    <row r="27" spans="2:15" ht="15">
      <c r="D27" s="153"/>
      <c r="E27" s="49"/>
      <c r="F27" s="49"/>
      <c r="G27" s="49"/>
      <c r="H27" s="49"/>
      <c r="I27" s="191"/>
      <c r="J27" s="191"/>
      <c r="K27" s="191"/>
      <c r="L27" s="51"/>
    </row>
    <row r="28" spans="2:15" ht="12.75">
      <c r="C28" s="53"/>
      <c r="E28" s="49"/>
      <c r="G28" s="49"/>
      <c r="H28" s="49"/>
      <c r="I28" s="49"/>
      <c r="J28" s="49"/>
      <c r="K28" s="49"/>
      <c r="L28" s="51"/>
    </row>
    <row r="29" spans="2:15">
      <c r="E29" s="49"/>
      <c r="F29" s="49"/>
      <c r="G29" s="49"/>
      <c r="H29" s="49"/>
      <c r="I29" s="49"/>
      <c r="J29" s="49"/>
      <c r="K29" s="49"/>
      <c r="L29" s="51"/>
    </row>
    <row r="30" spans="2:15">
      <c r="E30" s="49"/>
      <c r="F30" s="49"/>
      <c r="G30" s="49"/>
      <c r="H30" s="49"/>
      <c r="I30" s="49"/>
      <c r="J30" s="49"/>
      <c r="K30" s="49"/>
      <c r="L30" s="51"/>
    </row>
    <row r="31" spans="2:15">
      <c r="E31" s="49"/>
      <c r="F31" s="49"/>
      <c r="G31" s="49"/>
      <c r="H31" s="49"/>
      <c r="I31" s="49"/>
      <c r="J31" s="49"/>
      <c r="K31" s="49"/>
      <c r="L31" s="51"/>
    </row>
    <row r="32" spans="2:15">
      <c r="E32" s="49"/>
      <c r="F32" s="49"/>
      <c r="G32" s="49"/>
      <c r="H32" s="49"/>
      <c r="I32" s="49"/>
      <c r="J32" s="49"/>
      <c r="K32" s="49"/>
    </row>
    <row r="33" spans="5:11">
      <c r="E33" s="49"/>
      <c r="F33" s="49"/>
      <c r="G33" s="49"/>
      <c r="H33" s="49"/>
      <c r="I33" s="49"/>
      <c r="J33" s="49"/>
      <c r="K33" s="49"/>
    </row>
    <row r="34" spans="5:11">
      <c r="E34" s="49"/>
      <c r="F34" s="49"/>
      <c r="G34" s="49"/>
      <c r="H34" s="49"/>
      <c r="I34" s="49"/>
      <c r="J34" s="49"/>
      <c r="K34" s="49"/>
    </row>
    <row r="35" spans="5:11">
      <c r="E35" s="49"/>
      <c r="F35" s="49"/>
      <c r="G35" s="49"/>
      <c r="H35" s="49"/>
      <c r="I35" s="49"/>
      <c r="J35" s="49"/>
      <c r="K35" s="49"/>
    </row>
    <row r="36" spans="5:11">
      <c r="E36" s="49"/>
      <c r="F36" s="49"/>
      <c r="G36" s="49"/>
      <c r="H36" s="49"/>
      <c r="I36" s="49"/>
      <c r="J36" s="49"/>
      <c r="K36" s="49"/>
    </row>
    <row r="37" spans="5:11">
      <c r="E37" s="49"/>
      <c r="F37" s="49"/>
      <c r="G37" s="49"/>
      <c r="H37" s="49"/>
      <c r="I37" s="49"/>
      <c r="J37" s="49"/>
      <c r="K37" s="49"/>
    </row>
    <row r="38" spans="5:11">
      <c r="E38" s="49"/>
      <c r="F38" s="49"/>
      <c r="G38" s="49"/>
      <c r="H38" s="49"/>
      <c r="I38" s="49"/>
      <c r="J38" s="49"/>
      <c r="K38" s="49"/>
    </row>
    <row r="39" spans="5:11">
      <c r="E39" s="49"/>
      <c r="F39" s="49"/>
      <c r="G39" s="49"/>
      <c r="H39" s="49"/>
      <c r="I39" s="49"/>
      <c r="J39" s="49"/>
      <c r="K39" s="49"/>
    </row>
    <row r="40" spans="5:11">
      <c r="E40" s="49"/>
      <c r="F40" s="49"/>
      <c r="G40" s="49"/>
      <c r="H40" s="49"/>
      <c r="I40" s="49"/>
      <c r="J40" s="49"/>
      <c r="K40" s="49"/>
    </row>
    <row r="41" spans="5:11">
      <c r="E41" s="49"/>
      <c r="F41" s="49"/>
      <c r="G41" s="49"/>
      <c r="H41" s="49"/>
      <c r="I41" s="49"/>
      <c r="J41" s="49"/>
      <c r="K41" s="49"/>
    </row>
    <row r="42" spans="5:11">
      <c r="E42" s="49"/>
      <c r="F42" s="49"/>
      <c r="G42" s="49"/>
      <c r="H42" s="49"/>
      <c r="I42" s="49"/>
      <c r="J42" s="49"/>
      <c r="K42" s="49"/>
    </row>
    <row r="43" spans="5:11">
      <c r="E43" s="49"/>
      <c r="F43" s="49"/>
      <c r="G43" s="49"/>
      <c r="H43" s="49"/>
      <c r="I43" s="49"/>
      <c r="J43" s="49"/>
      <c r="K43" s="49"/>
    </row>
    <row r="44" spans="5:11">
      <c r="E44" s="49"/>
      <c r="F44" s="49"/>
      <c r="G44" s="49"/>
      <c r="H44" s="49"/>
      <c r="I44" s="49"/>
      <c r="J44" s="49"/>
      <c r="K44" s="49"/>
    </row>
    <row r="45" spans="5:11">
      <c r="E45" s="49"/>
      <c r="F45" s="49"/>
      <c r="G45" s="49"/>
      <c r="H45" s="49"/>
      <c r="I45" s="49"/>
      <c r="J45" s="49"/>
      <c r="K45" s="49"/>
    </row>
    <row r="46" spans="5:11">
      <c r="E46" s="49"/>
      <c r="F46" s="49"/>
      <c r="G46" s="49"/>
      <c r="H46" s="49"/>
      <c r="I46" s="49"/>
      <c r="J46" s="49"/>
      <c r="K46" s="49"/>
    </row>
    <row r="47" spans="5:11">
      <c r="E47" s="49"/>
      <c r="F47" s="49"/>
      <c r="G47" s="49"/>
      <c r="H47" s="49"/>
      <c r="I47" s="49"/>
      <c r="J47" s="49"/>
      <c r="K47" s="49"/>
    </row>
    <row r="48" spans="5:11">
      <c r="E48" s="49"/>
      <c r="F48" s="49"/>
      <c r="G48" s="49"/>
      <c r="H48" s="49"/>
      <c r="I48" s="49"/>
      <c r="J48" s="49"/>
      <c r="K48" s="49"/>
    </row>
    <row r="49" spans="5:11">
      <c r="E49" s="49"/>
      <c r="F49" s="49"/>
      <c r="G49" s="49"/>
      <c r="H49" s="49"/>
      <c r="I49" s="49"/>
      <c r="J49" s="49"/>
      <c r="K49" s="49"/>
    </row>
    <row r="50" spans="5:11">
      <c r="E50" s="49"/>
      <c r="F50" s="49"/>
      <c r="G50" s="49"/>
      <c r="H50" s="49"/>
      <c r="I50" s="49"/>
      <c r="J50" s="49"/>
      <c r="K50" s="49"/>
    </row>
    <row r="51" spans="5:11">
      <c r="E51" s="49"/>
      <c r="F51" s="49"/>
      <c r="G51" s="49"/>
      <c r="H51" s="49"/>
      <c r="I51" s="49"/>
      <c r="J51" s="49"/>
      <c r="K51" s="49"/>
    </row>
    <row r="52" spans="5:11">
      <c r="E52" s="49"/>
      <c r="F52" s="49"/>
      <c r="G52" s="49"/>
      <c r="H52" s="49"/>
      <c r="I52" s="49"/>
      <c r="J52" s="49"/>
      <c r="K52" s="49"/>
    </row>
    <row r="53" spans="5:11">
      <c r="E53" s="49"/>
      <c r="F53" s="49"/>
      <c r="G53" s="49"/>
      <c r="H53" s="49"/>
      <c r="I53" s="49"/>
      <c r="J53" s="49"/>
      <c r="K53" s="49"/>
    </row>
    <row r="54" spans="5:11">
      <c r="E54" s="49"/>
      <c r="F54" s="49"/>
      <c r="G54" s="49"/>
      <c r="H54" s="49"/>
      <c r="I54" s="49"/>
      <c r="J54" s="49"/>
      <c r="K54" s="49"/>
    </row>
    <row r="55" spans="5:11">
      <c r="E55" s="49"/>
      <c r="F55" s="49"/>
      <c r="G55" s="49"/>
      <c r="H55" s="49"/>
      <c r="I55" s="49"/>
      <c r="J55" s="49"/>
      <c r="K55" s="49"/>
    </row>
    <row r="56" spans="5:11">
      <c r="E56" s="49"/>
      <c r="F56" s="49"/>
      <c r="G56" s="49"/>
      <c r="H56" s="49"/>
      <c r="I56" s="49"/>
      <c r="J56" s="49"/>
      <c r="K56" s="49"/>
    </row>
    <row r="57" spans="5:11">
      <c r="E57" s="49"/>
      <c r="F57" s="49"/>
      <c r="G57" s="49"/>
      <c r="H57" s="49"/>
      <c r="I57" s="49"/>
      <c r="J57" s="49"/>
      <c r="K57" s="49"/>
    </row>
    <row r="58" spans="5:11">
      <c r="E58" s="49"/>
      <c r="F58" s="49"/>
      <c r="G58" s="49"/>
      <c r="H58" s="49"/>
      <c r="I58" s="49"/>
      <c r="J58" s="49"/>
      <c r="K58" s="49"/>
    </row>
    <row r="59" spans="5:11">
      <c r="E59" s="49"/>
      <c r="F59" s="49"/>
      <c r="G59" s="49"/>
      <c r="H59" s="49"/>
      <c r="I59" s="49"/>
      <c r="J59" s="49"/>
      <c r="K59" s="49"/>
    </row>
    <row r="60" spans="5:11">
      <c r="E60" s="49"/>
      <c r="F60" s="49"/>
      <c r="G60" s="49"/>
      <c r="H60" s="49"/>
      <c r="I60" s="49"/>
      <c r="J60" s="49"/>
      <c r="K60" s="49"/>
    </row>
    <row r="61" spans="5:11">
      <c r="E61" s="49"/>
      <c r="F61" s="49"/>
      <c r="G61" s="49"/>
      <c r="H61" s="49"/>
      <c r="I61" s="49"/>
      <c r="J61" s="49"/>
      <c r="K61" s="49"/>
    </row>
    <row r="62" spans="5:11">
      <c r="E62" s="49"/>
      <c r="F62" s="49"/>
      <c r="G62" s="49"/>
      <c r="H62" s="49"/>
      <c r="I62" s="49"/>
      <c r="J62" s="49"/>
      <c r="K62" s="49"/>
    </row>
    <row r="63" spans="5:11">
      <c r="E63" s="49"/>
      <c r="F63" s="49"/>
      <c r="G63" s="49"/>
      <c r="H63" s="49"/>
      <c r="I63" s="49"/>
      <c r="J63" s="49"/>
      <c r="K63" s="49"/>
    </row>
    <row r="64" spans="5:11">
      <c r="E64" s="49"/>
      <c r="F64" s="49"/>
      <c r="G64" s="49"/>
      <c r="H64" s="49"/>
      <c r="I64" s="49"/>
      <c r="J64" s="49"/>
      <c r="K64" s="49"/>
    </row>
    <row r="65" spans="5:11">
      <c r="E65" s="49"/>
      <c r="F65" s="49"/>
      <c r="G65" s="49"/>
      <c r="H65" s="49"/>
      <c r="I65" s="49"/>
      <c r="J65" s="49"/>
      <c r="K65" s="49"/>
    </row>
    <row r="66" spans="5:11">
      <c r="E66" s="49"/>
      <c r="F66" s="49"/>
      <c r="G66" s="49"/>
      <c r="H66" s="49"/>
      <c r="I66" s="49"/>
      <c r="J66" s="49"/>
      <c r="K66" s="49"/>
    </row>
    <row r="67" spans="5:11">
      <c r="E67" s="49"/>
      <c r="F67" s="49"/>
      <c r="G67" s="49"/>
      <c r="H67" s="49"/>
      <c r="I67" s="49"/>
      <c r="J67" s="49"/>
      <c r="K67" s="49"/>
    </row>
    <row r="68" spans="5:11">
      <c r="E68" s="49"/>
      <c r="F68" s="49"/>
      <c r="G68" s="49"/>
      <c r="H68" s="49"/>
      <c r="I68" s="49"/>
      <c r="J68" s="49"/>
      <c r="K68" s="49"/>
    </row>
    <row r="69" spans="5:11">
      <c r="E69" s="49"/>
      <c r="F69" s="49"/>
      <c r="G69" s="49"/>
      <c r="H69" s="49"/>
      <c r="I69" s="49"/>
      <c r="J69" s="49"/>
      <c r="K69" s="49"/>
    </row>
    <row r="70" spans="5:11">
      <c r="E70" s="49"/>
      <c r="F70" s="49"/>
      <c r="G70" s="49"/>
      <c r="H70" s="49"/>
      <c r="I70" s="49"/>
      <c r="J70" s="49"/>
      <c r="K70" s="49"/>
    </row>
    <row r="71" spans="5:11">
      <c r="E71" s="49"/>
      <c r="F71" s="49"/>
      <c r="G71" s="49"/>
      <c r="H71" s="49"/>
      <c r="I71" s="49"/>
      <c r="J71" s="49"/>
      <c r="K71" s="49"/>
    </row>
    <row r="72" spans="5:11">
      <c r="E72" s="49"/>
      <c r="F72" s="49"/>
      <c r="G72" s="49"/>
      <c r="H72" s="49"/>
      <c r="I72" s="49"/>
      <c r="J72" s="49"/>
      <c r="K72" s="49"/>
    </row>
    <row r="73" spans="5:11">
      <c r="E73" s="49"/>
      <c r="F73" s="49"/>
      <c r="G73" s="49"/>
      <c r="H73" s="49"/>
      <c r="I73" s="49"/>
      <c r="J73" s="49"/>
      <c r="K73" s="49"/>
    </row>
    <row r="74" spans="5:11">
      <c r="E74" s="49"/>
      <c r="F74" s="49"/>
      <c r="G74" s="49"/>
      <c r="H74" s="49"/>
      <c r="I74" s="49"/>
      <c r="J74" s="49"/>
      <c r="K74" s="49"/>
    </row>
    <row r="75" spans="5:11">
      <c r="E75" s="49"/>
      <c r="F75" s="49"/>
      <c r="G75" s="49"/>
      <c r="H75" s="49"/>
      <c r="I75" s="49"/>
      <c r="J75" s="49"/>
      <c r="K75" s="49"/>
    </row>
    <row r="76" spans="5:11">
      <c r="E76" s="49"/>
      <c r="F76" s="49"/>
      <c r="G76" s="49"/>
      <c r="H76" s="49"/>
      <c r="I76" s="49"/>
      <c r="J76" s="49"/>
      <c r="K76" s="49"/>
    </row>
    <row r="77" spans="5:11">
      <c r="E77" s="49"/>
      <c r="F77" s="49"/>
      <c r="G77" s="49"/>
      <c r="H77" s="49"/>
      <c r="I77" s="49"/>
      <c r="J77" s="49"/>
      <c r="K77" s="49"/>
    </row>
    <row r="78" spans="5:11">
      <c r="E78" s="49"/>
      <c r="F78" s="49"/>
      <c r="G78" s="49"/>
      <c r="H78" s="49"/>
      <c r="I78" s="49"/>
      <c r="J78" s="49"/>
      <c r="K78" s="49"/>
    </row>
    <row r="79" spans="5:11">
      <c r="E79" s="49"/>
      <c r="F79" s="49"/>
      <c r="G79" s="49"/>
      <c r="H79" s="49"/>
      <c r="I79" s="49"/>
      <c r="J79" s="49"/>
      <c r="K79" s="49"/>
    </row>
    <row r="80" spans="5:11">
      <c r="E80" s="49"/>
      <c r="F80" s="49"/>
      <c r="G80" s="49"/>
      <c r="H80" s="49"/>
      <c r="I80" s="49"/>
      <c r="J80" s="49"/>
      <c r="K80" s="49"/>
    </row>
    <row r="81" spans="5:11">
      <c r="E81" s="49"/>
      <c r="F81" s="49"/>
      <c r="G81" s="49"/>
      <c r="H81" s="49"/>
      <c r="I81" s="49"/>
      <c r="J81" s="49"/>
      <c r="K81" s="49"/>
    </row>
    <row r="82" spans="5:11">
      <c r="E82" s="49"/>
      <c r="F82" s="49"/>
      <c r="G82" s="49"/>
      <c r="H82" s="49"/>
      <c r="I82" s="49"/>
      <c r="J82" s="49"/>
      <c r="K82" s="49"/>
    </row>
    <row r="83" spans="5:11">
      <c r="E83" s="49"/>
      <c r="F83" s="49"/>
      <c r="G83" s="49"/>
      <c r="H83" s="49"/>
      <c r="I83" s="49"/>
      <c r="J83" s="49"/>
      <c r="K83" s="49"/>
    </row>
    <row r="84" spans="5:11">
      <c r="E84" s="49"/>
      <c r="F84" s="49"/>
      <c r="G84" s="49"/>
      <c r="H84" s="49"/>
      <c r="I84" s="49"/>
      <c r="J84" s="49"/>
      <c r="K84" s="49"/>
    </row>
    <row r="85" spans="5:11">
      <c r="E85" s="49"/>
      <c r="F85" s="49"/>
      <c r="G85" s="49"/>
      <c r="H85" s="49"/>
      <c r="I85" s="49"/>
      <c r="J85" s="49"/>
      <c r="K85" s="49"/>
    </row>
    <row r="86" spans="5:11">
      <c r="E86" s="49"/>
      <c r="F86" s="49"/>
      <c r="G86" s="49"/>
      <c r="H86" s="49"/>
      <c r="I86" s="49"/>
      <c r="J86" s="49"/>
      <c r="K86" s="49"/>
    </row>
    <row r="87" spans="5:11">
      <c r="E87" s="49"/>
      <c r="F87" s="49"/>
      <c r="G87" s="49"/>
      <c r="H87" s="49"/>
      <c r="I87" s="49"/>
      <c r="J87" s="49"/>
      <c r="K87" s="49"/>
    </row>
    <row r="88" spans="5:11">
      <c r="E88" s="49"/>
      <c r="F88" s="49"/>
      <c r="G88" s="49"/>
      <c r="H88" s="49"/>
      <c r="I88" s="49"/>
      <c r="J88" s="49"/>
      <c r="K88" s="49"/>
    </row>
    <row r="89" spans="5:11">
      <c r="E89" s="49"/>
      <c r="F89" s="49"/>
      <c r="G89" s="49"/>
      <c r="H89" s="49"/>
      <c r="I89" s="49"/>
      <c r="J89" s="49"/>
      <c r="K89" s="49"/>
    </row>
    <row r="90" spans="5:11">
      <c r="E90" s="49"/>
      <c r="F90" s="49"/>
      <c r="G90" s="49"/>
      <c r="H90" s="49"/>
      <c r="I90" s="49"/>
      <c r="J90" s="49"/>
      <c r="K90" s="49"/>
    </row>
    <row r="91" spans="5:11">
      <c r="E91" s="49"/>
      <c r="F91" s="49"/>
      <c r="G91" s="49"/>
      <c r="H91" s="49"/>
      <c r="I91" s="49"/>
      <c r="J91" s="49"/>
      <c r="K91" s="49"/>
    </row>
    <row r="92" spans="5:11">
      <c r="E92" s="49"/>
      <c r="F92" s="49"/>
      <c r="G92" s="49"/>
      <c r="H92" s="49"/>
      <c r="I92" s="49"/>
      <c r="J92" s="49"/>
      <c r="K92" s="49"/>
    </row>
    <row r="93" spans="5:11">
      <c r="E93" s="49"/>
      <c r="F93" s="49"/>
      <c r="G93" s="49"/>
      <c r="H93" s="49"/>
      <c r="I93" s="49"/>
      <c r="J93" s="49"/>
      <c r="K93" s="49"/>
    </row>
    <row r="94" spans="5:11">
      <c r="E94" s="49"/>
      <c r="F94" s="49"/>
      <c r="G94" s="49"/>
      <c r="H94" s="49"/>
      <c r="I94" s="49"/>
      <c r="J94" s="49"/>
      <c r="K94" s="49"/>
    </row>
    <row r="95" spans="5:11">
      <c r="E95" s="49"/>
      <c r="F95" s="49"/>
      <c r="G95" s="49"/>
      <c r="H95" s="49"/>
      <c r="I95" s="49"/>
      <c r="J95" s="49"/>
      <c r="K95" s="49"/>
    </row>
    <row r="96" spans="5:11">
      <c r="E96" s="49"/>
      <c r="F96" s="49"/>
      <c r="G96" s="49"/>
      <c r="H96" s="49"/>
      <c r="I96" s="49"/>
      <c r="J96" s="49"/>
      <c r="K96" s="49"/>
    </row>
    <row r="97" spans="5:11">
      <c r="E97" s="49"/>
      <c r="F97" s="49"/>
      <c r="G97" s="49"/>
      <c r="H97" s="49"/>
      <c r="I97" s="49"/>
      <c r="J97" s="49"/>
      <c r="K97" s="49"/>
    </row>
    <row r="98" spans="5:11">
      <c r="E98" s="49"/>
      <c r="F98" s="49"/>
      <c r="G98" s="49"/>
      <c r="H98" s="49"/>
      <c r="I98" s="49"/>
      <c r="J98" s="49"/>
      <c r="K98" s="49"/>
    </row>
    <row r="99" spans="5:11">
      <c r="E99" s="49"/>
      <c r="F99" s="49"/>
      <c r="G99" s="49"/>
      <c r="H99" s="49"/>
      <c r="I99" s="49"/>
      <c r="J99" s="49"/>
      <c r="K99" s="49"/>
    </row>
    <row r="100" spans="5:11">
      <c r="E100" s="49"/>
      <c r="F100" s="49"/>
      <c r="G100" s="49"/>
      <c r="H100" s="49"/>
      <c r="I100" s="49"/>
      <c r="J100" s="49"/>
      <c r="K100" s="49"/>
    </row>
    <row r="101" spans="5:11">
      <c r="E101" s="49"/>
      <c r="F101" s="49"/>
      <c r="G101" s="49"/>
      <c r="H101" s="49"/>
      <c r="I101" s="49"/>
      <c r="J101" s="49"/>
      <c r="K101" s="49"/>
    </row>
    <row r="102" spans="5:11">
      <c r="E102" s="49"/>
      <c r="F102" s="49"/>
      <c r="G102" s="49"/>
      <c r="H102" s="49"/>
      <c r="I102" s="49"/>
      <c r="J102" s="49"/>
      <c r="K102" s="49"/>
    </row>
    <row r="103" spans="5:11">
      <c r="E103" s="49"/>
      <c r="F103" s="49"/>
      <c r="G103" s="49"/>
      <c r="H103" s="49"/>
      <c r="I103" s="49"/>
      <c r="J103" s="49"/>
      <c r="K103" s="49"/>
    </row>
    <row r="104" spans="5:11">
      <c r="E104" s="49"/>
      <c r="F104" s="49"/>
      <c r="G104" s="49"/>
      <c r="H104" s="49"/>
      <c r="I104" s="49"/>
      <c r="J104" s="49"/>
      <c r="K104" s="49"/>
    </row>
    <row r="105" spans="5:11">
      <c r="E105" s="49"/>
      <c r="F105" s="49"/>
      <c r="G105" s="49"/>
      <c r="H105" s="49"/>
      <c r="I105" s="49"/>
      <c r="J105" s="49"/>
      <c r="K105" s="49"/>
    </row>
    <row r="106" spans="5:11">
      <c r="E106" s="49"/>
      <c r="F106" s="49"/>
      <c r="G106" s="49"/>
      <c r="H106" s="49"/>
      <c r="I106" s="49"/>
      <c r="J106" s="49"/>
      <c r="K106" s="49"/>
    </row>
    <row r="107" spans="5:11">
      <c r="E107" s="49"/>
      <c r="F107" s="49"/>
      <c r="G107" s="49"/>
      <c r="H107" s="49"/>
      <c r="I107" s="49"/>
      <c r="J107" s="49"/>
      <c r="K107" s="49"/>
    </row>
    <row r="108" spans="5:11">
      <c r="E108" s="49"/>
      <c r="F108" s="49"/>
      <c r="G108" s="49"/>
      <c r="H108" s="49"/>
      <c r="I108" s="49"/>
      <c r="J108" s="49"/>
      <c r="K108" s="49"/>
    </row>
    <row r="109" spans="5:11">
      <c r="E109" s="49"/>
      <c r="F109" s="49"/>
      <c r="G109" s="49"/>
      <c r="H109" s="49"/>
      <c r="I109" s="49"/>
      <c r="J109" s="49"/>
      <c r="K109" s="49"/>
    </row>
    <row r="110" spans="5:11">
      <c r="E110" s="49"/>
      <c r="F110" s="49"/>
      <c r="G110" s="49"/>
      <c r="H110" s="49"/>
      <c r="I110" s="49"/>
      <c r="J110" s="49"/>
      <c r="K110" s="49"/>
    </row>
    <row r="111" spans="5:11">
      <c r="E111" s="49"/>
      <c r="F111" s="49"/>
      <c r="G111" s="49"/>
      <c r="H111" s="49"/>
      <c r="I111" s="49"/>
      <c r="J111" s="49"/>
      <c r="K111" s="49"/>
    </row>
    <row r="112" spans="5:11">
      <c r="E112" s="49"/>
      <c r="F112" s="49"/>
      <c r="G112" s="49"/>
      <c r="H112" s="49"/>
      <c r="I112" s="49"/>
      <c r="J112" s="49"/>
      <c r="K112" s="49"/>
    </row>
    <row r="113" spans="5:11">
      <c r="E113" s="49"/>
      <c r="F113" s="49"/>
      <c r="G113" s="49"/>
      <c r="H113" s="49"/>
      <c r="I113" s="49"/>
      <c r="J113" s="49"/>
      <c r="K113" s="49"/>
    </row>
    <row r="114" spans="5:11">
      <c r="E114" s="49"/>
      <c r="F114" s="49"/>
      <c r="G114" s="49"/>
      <c r="H114" s="49"/>
      <c r="I114" s="49"/>
      <c r="J114" s="49"/>
      <c r="K114" s="49"/>
    </row>
    <row r="115" spans="5:11">
      <c r="E115" s="49"/>
      <c r="F115" s="49"/>
      <c r="G115" s="49"/>
      <c r="H115" s="49"/>
      <c r="I115" s="49"/>
      <c r="J115" s="49"/>
      <c r="K115" s="49"/>
    </row>
    <row r="116" spans="5:11">
      <c r="E116" s="49"/>
      <c r="F116" s="49"/>
      <c r="G116" s="49"/>
      <c r="H116" s="49"/>
      <c r="I116" s="49"/>
      <c r="J116" s="49"/>
      <c r="K116" s="49"/>
    </row>
    <row r="117" spans="5:11">
      <c r="E117" s="49"/>
      <c r="F117" s="49"/>
      <c r="G117" s="49"/>
      <c r="H117" s="49"/>
      <c r="I117" s="49"/>
      <c r="J117" s="49"/>
      <c r="K117" s="49"/>
    </row>
    <row r="118" spans="5:11">
      <c r="E118" s="49"/>
      <c r="F118" s="49"/>
      <c r="G118" s="49"/>
      <c r="H118" s="49"/>
      <c r="I118" s="49"/>
      <c r="J118" s="49"/>
      <c r="K118" s="49"/>
    </row>
    <row r="119" spans="5:11">
      <c r="E119" s="49"/>
      <c r="F119" s="49"/>
      <c r="G119" s="49"/>
      <c r="H119" s="49"/>
      <c r="I119" s="49"/>
      <c r="J119" s="49"/>
      <c r="K119" s="49"/>
    </row>
    <row r="120" spans="5:11">
      <c r="E120" s="49"/>
      <c r="F120" s="49"/>
      <c r="G120" s="49"/>
      <c r="H120" s="49"/>
      <c r="I120" s="49"/>
      <c r="J120" s="49"/>
      <c r="K120" s="49"/>
    </row>
    <row r="121" spans="5:11">
      <c r="E121" s="49"/>
      <c r="F121" s="49"/>
      <c r="G121" s="49"/>
      <c r="H121" s="49"/>
      <c r="I121" s="49"/>
      <c r="J121" s="49"/>
      <c r="K121" s="49"/>
    </row>
    <row r="122" spans="5:11">
      <c r="E122" s="49"/>
      <c r="F122" s="49"/>
      <c r="G122" s="49"/>
      <c r="H122" s="49"/>
      <c r="I122" s="49"/>
      <c r="J122" s="49"/>
      <c r="K122" s="49"/>
    </row>
    <row r="123" spans="5:11">
      <c r="E123" s="49"/>
      <c r="F123" s="49"/>
      <c r="G123" s="49"/>
      <c r="H123" s="49"/>
      <c r="I123" s="49"/>
      <c r="J123" s="49"/>
      <c r="K123" s="49"/>
    </row>
    <row r="124" spans="5:11">
      <c r="E124" s="49"/>
      <c r="F124" s="49"/>
      <c r="G124" s="49"/>
      <c r="H124" s="49"/>
      <c r="I124" s="49"/>
      <c r="J124" s="49"/>
      <c r="K124" s="49"/>
    </row>
    <row r="125" spans="5:11">
      <c r="E125" s="49"/>
      <c r="F125" s="49"/>
      <c r="G125" s="49"/>
      <c r="H125" s="49"/>
      <c r="I125" s="49"/>
      <c r="J125" s="49"/>
      <c r="K125" s="49"/>
    </row>
    <row r="126" spans="5:11">
      <c r="E126" s="49"/>
      <c r="F126" s="49"/>
      <c r="G126" s="49"/>
      <c r="H126" s="49"/>
      <c r="I126" s="49"/>
      <c r="J126" s="49"/>
      <c r="K126" s="49"/>
    </row>
    <row r="127" spans="5:11">
      <c r="E127" s="49"/>
      <c r="F127" s="49"/>
      <c r="G127" s="49"/>
      <c r="H127" s="49"/>
      <c r="I127" s="49"/>
      <c r="J127" s="49"/>
      <c r="K127" s="49"/>
    </row>
    <row r="128" spans="5:11">
      <c r="E128" s="49"/>
      <c r="F128" s="49"/>
      <c r="G128" s="49"/>
      <c r="H128" s="49"/>
      <c r="I128" s="49"/>
      <c r="J128" s="49"/>
      <c r="K128" s="49"/>
    </row>
    <row r="129" spans="5:11">
      <c r="E129" s="49"/>
      <c r="F129" s="49"/>
      <c r="G129" s="49"/>
      <c r="H129" s="49"/>
      <c r="I129" s="49"/>
      <c r="J129" s="49"/>
      <c r="K129" s="49"/>
    </row>
    <row r="130" spans="5:11">
      <c r="E130" s="49"/>
      <c r="F130" s="49"/>
      <c r="G130" s="49"/>
      <c r="H130" s="49"/>
      <c r="I130" s="49"/>
      <c r="J130" s="49"/>
      <c r="K130" s="49"/>
    </row>
    <row r="131" spans="5:11">
      <c r="E131" s="49"/>
      <c r="F131" s="49"/>
      <c r="G131" s="49"/>
      <c r="H131" s="49"/>
      <c r="I131" s="49"/>
      <c r="J131" s="49"/>
      <c r="K131" s="49"/>
    </row>
    <row r="132" spans="5:11">
      <c r="E132" s="49"/>
      <c r="F132" s="49"/>
      <c r="G132" s="49"/>
      <c r="H132" s="49"/>
      <c r="I132" s="49"/>
      <c r="J132" s="49"/>
      <c r="K132" s="49"/>
    </row>
    <row r="133" spans="5:11">
      <c r="E133" s="49"/>
      <c r="F133" s="49"/>
      <c r="G133" s="49"/>
      <c r="H133" s="49"/>
      <c r="I133" s="49"/>
      <c r="J133" s="49"/>
      <c r="K133" s="49"/>
    </row>
    <row r="134" spans="5:11">
      <c r="E134" s="49"/>
      <c r="F134" s="49"/>
      <c r="G134" s="49"/>
      <c r="H134" s="49"/>
      <c r="I134" s="49"/>
      <c r="J134" s="49"/>
      <c r="K134" s="49"/>
    </row>
    <row r="135" spans="5:11">
      <c r="E135" s="49"/>
      <c r="F135" s="49"/>
      <c r="G135" s="49"/>
      <c r="H135" s="49"/>
      <c r="I135" s="49"/>
      <c r="J135" s="49"/>
      <c r="K135" s="49"/>
    </row>
    <row r="136" spans="5:11">
      <c r="E136" s="49"/>
      <c r="F136" s="49"/>
      <c r="G136" s="49"/>
      <c r="H136" s="49"/>
      <c r="I136" s="49"/>
      <c r="J136" s="49"/>
      <c r="K136" s="49"/>
    </row>
    <row r="137" spans="5:11">
      <c r="E137" s="49"/>
      <c r="F137" s="49"/>
      <c r="G137" s="49"/>
      <c r="H137" s="49"/>
      <c r="I137" s="49"/>
      <c r="J137" s="49"/>
      <c r="K137" s="49"/>
    </row>
    <row r="138" spans="5:11">
      <c r="E138" s="49"/>
      <c r="F138" s="49"/>
      <c r="G138" s="49"/>
      <c r="H138" s="49"/>
      <c r="I138" s="49"/>
      <c r="J138" s="49"/>
      <c r="K138" s="49"/>
    </row>
    <row r="139" spans="5:11">
      <c r="E139" s="49"/>
      <c r="F139" s="49"/>
      <c r="G139" s="49"/>
      <c r="H139" s="49"/>
      <c r="I139" s="49"/>
      <c r="J139" s="49"/>
      <c r="K139" s="49"/>
    </row>
    <row r="140" spans="5:11">
      <c r="E140" s="49"/>
      <c r="F140" s="49"/>
      <c r="G140" s="49"/>
      <c r="H140" s="49"/>
      <c r="I140" s="49"/>
      <c r="J140" s="49"/>
      <c r="K140" s="49"/>
    </row>
    <row r="141" spans="5:11">
      <c r="E141" s="49"/>
      <c r="F141" s="49"/>
      <c r="G141" s="49"/>
      <c r="H141" s="49"/>
      <c r="I141" s="49"/>
      <c r="J141" s="49"/>
      <c r="K141" s="49"/>
    </row>
    <row r="142" spans="5:11">
      <c r="E142" s="49"/>
      <c r="F142" s="49"/>
      <c r="G142" s="49"/>
      <c r="H142" s="49"/>
      <c r="I142" s="49"/>
      <c r="J142" s="49"/>
      <c r="K142" s="49"/>
    </row>
    <row r="143" spans="5:11">
      <c r="E143" s="49"/>
      <c r="F143" s="49"/>
      <c r="G143" s="49"/>
      <c r="H143" s="49"/>
      <c r="I143" s="49"/>
      <c r="J143" s="49"/>
      <c r="K143" s="49"/>
    </row>
    <row r="144" spans="5:11">
      <c r="E144" s="49"/>
      <c r="F144" s="49"/>
      <c r="G144" s="49"/>
      <c r="H144" s="49"/>
      <c r="I144" s="49"/>
      <c r="J144" s="49"/>
      <c r="K144" s="49"/>
    </row>
    <row r="145" spans="5:11">
      <c r="E145" s="49"/>
      <c r="F145" s="49"/>
      <c r="G145" s="49"/>
      <c r="H145" s="49"/>
      <c r="I145" s="49"/>
      <c r="J145" s="49"/>
      <c r="K145" s="49"/>
    </row>
    <row r="146" spans="5:11">
      <c r="E146" s="49"/>
      <c r="F146" s="49"/>
      <c r="G146" s="49"/>
      <c r="H146" s="49"/>
      <c r="I146" s="49"/>
      <c r="J146" s="49"/>
      <c r="K146" s="49"/>
    </row>
    <row r="147" spans="5:11">
      <c r="E147" s="49"/>
      <c r="F147" s="49"/>
      <c r="G147" s="49"/>
      <c r="H147" s="49"/>
      <c r="I147" s="49"/>
      <c r="J147" s="49"/>
      <c r="K147" s="49"/>
    </row>
    <row r="148" spans="5:11">
      <c r="E148" s="49"/>
      <c r="F148" s="49"/>
      <c r="G148" s="49"/>
      <c r="H148" s="49"/>
      <c r="I148" s="49"/>
      <c r="J148" s="49"/>
      <c r="K148" s="49"/>
    </row>
    <row r="149" spans="5:11">
      <c r="E149" s="49"/>
      <c r="F149" s="49"/>
      <c r="G149" s="49"/>
      <c r="H149" s="49"/>
      <c r="I149" s="49"/>
      <c r="J149" s="49"/>
      <c r="K149" s="49"/>
    </row>
    <row r="150" spans="5:11">
      <c r="E150" s="49"/>
      <c r="F150" s="49"/>
      <c r="G150" s="49"/>
      <c r="H150" s="49"/>
      <c r="I150" s="49"/>
      <c r="J150" s="49"/>
      <c r="K150" s="49"/>
    </row>
    <row r="151" spans="5:11">
      <c r="E151" s="49"/>
      <c r="F151" s="49"/>
      <c r="G151" s="49"/>
      <c r="H151" s="49"/>
      <c r="I151" s="49"/>
      <c r="J151" s="49"/>
      <c r="K151" s="49"/>
    </row>
    <row r="152" spans="5:11">
      <c r="E152" s="49"/>
      <c r="F152" s="49"/>
      <c r="G152" s="49"/>
      <c r="H152" s="49"/>
      <c r="I152" s="49"/>
      <c r="J152" s="49"/>
      <c r="K152" s="49"/>
    </row>
    <row r="153" spans="5:11">
      <c r="E153" s="49"/>
      <c r="F153" s="49"/>
      <c r="G153" s="49"/>
      <c r="H153" s="49"/>
      <c r="I153" s="49"/>
      <c r="J153" s="49"/>
      <c r="K153" s="49"/>
    </row>
    <row r="154" spans="5:11">
      <c r="E154" s="49"/>
      <c r="F154" s="49"/>
      <c r="G154" s="49"/>
      <c r="H154" s="49"/>
      <c r="I154" s="49"/>
      <c r="J154" s="49"/>
      <c r="K154" s="49"/>
    </row>
    <row r="155" spans="5:11">
      <c r="E155" s="49"/>
      <c r="F155" s="49"/>
      <c r="G155" s="49"/>
      <c r="H155" s="49"/>
      <c r="I155" s="49"/>
      <c r="J155" s="49"/>
      <c r="K155" s="49"/>
    </row>
    <row r="156" spans="5:11">
      <c r="E156" s="49"/>
      <c r="F156" s="49"/>
      <c r="G156" s="49"/>
      <c r="H156" s="49"/>
      <c r="I156" s="49"/>
      <c r="J156" s="49"/>
      <c r="K156" s="49"/>
    </row>
    <row r="157" spans="5:11">
      <c r="E157" s="49"/>
      <c r="F157" s="49"/>
      <c r="G157" s="49"/>
      <c r="H157" s="49"/>
      <c r="I157" s="49"/>
      <c r="J157" s="49"/>
      <c r="K157" s="49"/>
    </row>
    <row r="158" spans="5:11">
      <c r="E158" s="49"/>
      <c r="F158" s="49"/>
      <c r="G158" s="49"/>
      <c r="H158" s="49"/>
      <c r="I158" s="49"/>
      <c r="J158" s="49"/>
      <c r="K158" s="49"/>
    </row>
    <row r="159" spans="5:11">
      <c r="E159" s="49"/>
      <c r="F159" s="49"/>
      <c r="G159" s="49"/>
      <c r="H159" s="49"/>
      <c r="I159" s="49"/>
      <c r="J159" s="49"/>
      <c r="K159" s="49"/>
    </row>
    <row r="160" spans="5:11">
      <c r="E160" s="49"/>
      <c r="F160" s="49"/>
      <c r="G160" s="49"/>
      <c r="H160" s="49"/>
      <c r="I160" s="49"/>
      <c r="J160" s="49"/>
      <c r="K160" s="49"/>
    </row>
    <row r="161" spans="5:11">
      <c r="E161" s="49"/>
      <c r="F161" s="49"/>
      <c r="G161" s="49"/>
      <c r="H161" s="49"/>
      <c r="I161" s="49"/>
      <c r="J161" s="49"/>
      <c r="K161" s="49"/>
    </row>
    <row r="162" spans="5:11">
      <c r="E162" s="49"/>
      <c r="F162" s="49"/>
      <c r="G162" s="49"/>
      <c r="H162" s="49"/>
      <c r="I162" s="49"/>
      <c r="J162" s="49"/>
      <c r="K162" s="49"/>
    </row>
    <row r="163" spans="5:11">
      <c r="E163" s="49"/>
      <c r="F163" s="49"/>
      <c r="G163" s="49"/>
      <c r="H163" s="49"/>
      <c r="I163" s="49"/>
      <c r="J163" s="49"/>
      <c r="K163" s="49"/>
    </row>
    <row r="164" spans="5:11">
      <c r="E164" s="49"/>
      <c r="F164" s="49"/>
      <c r="G164" s="49"/>
      <c r="H164" s="49"/>
      <c r="I164" s="49"/>
      <c r="J164" s="49"/>
      <c r="K164" s="49"/>
    </row>
    <row r="165" spans="5:11">
      <c r="E165" s="49"/>
      <c r="F165" s="49"/>
      <c r="G165" s="49"/>
      <c r="H165" s="49"/>
      <c r="I165" s="49"/>
      <c r="J165" s="49"/>
      <c r="K165" s="49"/>
    </row>
    <row r="166" spans="5:11">
      <c r="E166" s="49"/>
      <c r="F166" s="49"/>
      <c r="G166" s="49"/>
      <c r="H166" s="49"/>
      <c r="I166" s="49"/>
      <c r="J166" s="49"/>
      <c r="K166" s="49"/>
    </row>
    <row r="167" spans="5:11">
      <c r="E167" s="49"/>
      <c r="F167" s="49"/>
      <c r="G167" s="49"/>
      <c r="H167" s="49"/>
      <c r="I167" s="49"/>
      <c r="J167" s="49"/>
      <c r="K167" s="49"/>
    </row>
    <row r="168" spans="5:11">
      <c r="E168" s="49"/>
      <c r="F168" s="49"/>
      <c r="G168" s="49"/>
      <c r="H168" s="49"/>
      <c r="I168" s="49"/>
      <c r="J168" s="49"/>
      <c r="K168" s="49"/>
    </row>
    <row r="169" spans="5:11">
      <c r="E169" s="49"/>
      <c r="F169" s="49"/>
      <c r="G169" s="49"/>
      <c r="H169" s="49"/>
      <c r="I169" s="49"/>
      <c r="J169" s="49"/>
      <c r="K169" s="49"/>
    </row>
    <row r="170" spans="5:11">
      <c r="E170" s="49"/>
      <c r="F170" s="49"/>
      <c r="G170" s="49"/>
      <c r="H170" s="49"/>
      <c r="I170" s="49"/>
      <c r="J170" s="49"/>
      <c r="K170" s="49"/>
    </row>
    <row r="171" spans="5:11">
      <c r="E171" s="49"/>
      <c r="F171" s="49"/>
      <c r="G171" s="49"/>
      <c r="H171" s="49"/>
      <c r="I171" s="49"/>
      <c r="J171" s="49"/>
      <c r="K171" s="49"/>
    </row>
    <row r="172" spans="5:11">
      <c r="E172" s="49"/>
      <c r="F172" s="49"/>
      <c r="G172" s="49"/>
      <c r="H172" s="49"/>
      <c r="I172" s="49"/>
      <c r="J172" s="49"/>
      <c r="K172" s="49"/>
    </row>
    <row r="173" spans="5:11">
      <c r="E173" s="49"/>
      <c r="F173" s="49"/>
      <c r="G173" s="49"/>
      <c r="H173" s="49"/>
      <c r="I173" s="49"/>
      <c r="J173" s="49"/>
      <c r="K173" s="49"/>
    </row>
    <row r="174" spans="5:11">
      <c r="E174" s="49"/>
      <c r="F174" s="49"/>
      <c r="G174" s="49"/>
      <c r="H174" s="49"/>
      <c r="I174" s="49"/>
      <c r="J174" s="49"/>
      <c r="K174" s="49"/>
    </row>
    <row r="175" spans="5:11">
      <c r="E175" s="49"/>
      <c r="F175" s="49"/>
      <c r="G175" s="49"/>
      <c r="H175" s="49"/>
      <c r="I175" s="49"/>
      <c r="J175" s="49"/>
      <c r="K175" s="49"/>
    </row>
    <row r="176" spans="5:11">
      <c r="E176" s="49"/>
      <c r="F176" s="49"/>
      <c r="G176" s="49"/>
      <c r="H176" s="49"/>
      <c r="I176" s="49"/>
      <c r="J176" s="49"/>
      <c r="K176" s="49"/>
    </row>
    <row r="177" spans="5:11">
      <c r="E177" s="49"/>
      <c r="F177" s="49"/>
      <c r="G177" s="49"/>
      <c r="H177" s="49"/>
      <c r="I177" s="49"/>
      <c r="J177" s="49"/>
      <c r="K177" s="49"/>
    </row>
    <row r="178" spans="5:11">
      <c r="E178" s="49"/>
      <c r="F178" s="49"/>
      <c r="G178" s="49"/>
      <c r="H178" s="49"/>
      <c r="I178" s="49"/>
      <c r="J178" s="49"/>
      <c r="K178" s="49"/>
    </row>
    <row r="179" spans="5:11">
      <c r="E179" s="49"/>
      <c r="F179" s="49"/>
      <c r="G179" s="49"/>
      <c r="H179" s="49"/>
      <c r="I179" s="49"/>
      <c r="J179" s="49"/>
      <c r="K179" s="49"/>
    </row>
    <row r="180" spans="5:11">
      <c r="E180" s="49"/>
      <c r="F180" s="49"/>
      <c r="G180" s="49"/>
      <c r="H180" s="49"/>
      <c r="I180" s="49"/>
      <c r="J180" s="49"/>
      <c r="K180" s="49"/>
    </row>
    <row r="181" spans="5:11">
      <c r="E181" s="49"/>
      <c r="F181" s="49"/>
      <c r="G181" s="49"/>
      <c r="H181" s="49"/>
      <c r="I181" s="49"/>
      <c r="J181" s="49"/>
      <c r="K181" s="49"/>
    </row>
    <row r="182" spans="5:11">
      <c r="E182" s="49"/>
      <c r="F182" s="49"/>
      <c r="G182" s="49"/>
      <c r="H182" s="49"/>
      <c r="I182" s="49"/>
      <c r="J182" s="49"/>
      <c r="K182" s="49"/>
    </row>
    <row r="183" spans="5:11">
      <c r="E183" s="49"/>
      <c r="F183" s="49"/>
      <c r="G183" s="49"/>
      <c r="H183" s="49"/>
      <c r="I183" s="49"/>
      <c r="J183" s="49"/>
      <c r="K183" s="49"/>
    </row>
    <row r="184" spans="5:11">
      <c r="E184" s="49"/>
      <c r="F184" s="49"/>
      <c r="G184" s="49"/>
      <c r="H184" s="49"/>
      <c r="I184" s="49"/>
      <c r="J184" s="49"/>
      <c r="K184" s="49"/>
    </row>
    <row r="185" spans="5:11">
      <c r="E185" s="49"/>
      <c r="F185" s="49"/>
      <c r="G185" s="49"/>
      <c r="H185" s="49"/>
      <c r="I185" s="49"/>
      <c r="J185" s="49"/>
      <c r="K185" s="49"/>
    </row>
    <row r="186" spans="5:11">
      <c r="E186" s="49"/>
      <c r="F186" s="49"/>
      <c r="G186" s="49"/>
      <c r="H186" s="49"/>
      <c r="I186" s="49"/>
      <c r="J186" s="49"/>
      <c r="K186" s="49"/>
    </row>
    <row r="187" spans="5:11">
      <c r="E187" s="49"/>
      <c r="F187" s="49"/>
      <c r="G187" s="49"/>
      <c r="H187" s="49"/>
      <c r="I187" s="49"/>
      <c r="J187" s="49"/>
      <c r="K187" s="49"/>
    </row>
    <row r="188" spans="5:11">
      <c r="E188" s="49"/>
      <c r="F188" s="49"/>
      <c r="G188" s="49"/>
      <c r="H188" s="49"/>
      <c r="I188" s="49"/>
      <c r="J188" s="49"/>
      <c r="K188" s="49"/>
    </row>
    <row r="189" spans="5:11">
      <c r="E189" s="49"/>
      <c r="F189" s="49"/>
      <c r="G189" s="49"/>
      <c r="H189" s="49"/>
      <c r="I189" s="49"/>
      <c r="J189" s="49"/>
      <c r="K189" s="49"/>
    </row>
    <row r="190" spans="5:11">
      <c r="E190" s="49"/>
      <c r="F190" s="49"/>
      <c r="G190" s="49"/>
      <c r="H190" s="49"/>
      <c r="I190" s="49"/>
      <c r="J190" s="49"/>
      <c r="K190" s="49"/>
    </row>
    <row r="191" spans="5:11">
      <c r="E191" s="49"/>
      <c r="F191" s="49"/>
      <c r="G191" s="49"/>
      <c r="H191" s="49"/>
      <c r="I191" s="49"/>
      <c r="J191" s="49"/>
      <c r="K191" s="49"/>
    </row>
    <row r="192" spans="5:11">
      <c r="E192" s="49"/>
      <c r="F192" s="49"/>
      <c r="G192" s="49"/>
      <c r="H192" s="49"/>
      <c r="I192" s="49"/>
      <c r="J192" s="49"/>
      <c r="K192" s="49"/>
    </row>
    <row r="193" spans="5:11">
      <c r="E193" s="49"/>
      <c r="F193" s="49"/>
      <c r="G193" s="49"/>
      <c r="H193" s="49"/>
      <c r="I193" s="49"/>
      <c r="J193" s="49"/>
      <c r="K193" s="49"/>
    </row>
    <row r="194" spans="5:11">
      <c r="E194" s="49"/>
      <c r="F194" s="49"/>
      <c r="G194" s="49"/>
      <c r="H194" s="49"/>
      <c r="I194" s="49"/>
      <c r="J194" s="49"/>
      <c r="K194" s="49"/>
    </row>
    <row r="195" spans="5:11">
      <c r="E195" s="49"/>
      <c r="F195" s="49"/>
      <c r="G195" s="49"/>
      <c r="H195" s="49"/>
      <c r="I195" s="49"/>
      <c r="J195" s="49"/>
      <c r="K195" s="49"/>
    </row>
    <row r="196" spans="5:11">
      <c r="E196" s="49"/>
      <c r="F196" s="49"/>
      <c r="G196" s="49"/>
      <c r="H196" s="49"/>
      <c r="I196" s="49"/>
      <c r="J196" s="49"/>
      <c r="K196" s="49"/>
    </row>
    <row r="197" spans="5:11">
      <c r="E197" s="49"/>
      <c r="F197" s="49"/>
      <c r="G197" s="49"/>
      <c r="H197" s="49"/>
      <c r="I197" s="49"/>
      <c r="J197" s="49"/>
      <c r="K197" s="49"/>
    </row>
    <row r="198" spans="5:11">
      <c r="E198" s="49"/>
      <c r="F198" s="49"/>
      <c r="G198" s="49"/>
      <c r="H198" s="49"/>
      <c r="I198" s="49"/>
      <c r="J198" s="49"/>
      <c r="K198" s="49"/>
    </row>
    <row r="199" spans="5:11">
      <c r="E199" s="49"/>
      <c r="F199" s="49"/>
      <c r="G199" s="49"/>
      <c r="H199" s="49"/>
      <c r="I199" s="49"/>
      <c r="J199" s="49"/>
      <c r="K199" s="49"/>
    </row>
    <row r="200" spans="5:11">
      <c r="E200" s="49"/>
      <c r="F200" s="49"/>
      <c r="G200" s="49"/>
      <c r="H200" s="49"/>
      <c r="I200" s="49"/>
      <c r="J200" s="49"/>
      <c r="K200" s="49"/>
    </row>
    <row r="201" spans="5:11">
      <c r="E201" s="49"/>
      <c r="F201" s="49"/>
      <c r="G201" s="49"/>
      <c r="H201" s="49"/>
      <c r="I201" s="49"/>
      <c r="J201" s="49"/>
      <c r="K201" s="49"/>
    </row>
    <row r="202" spans="5:11">
      <c r="E202" s="49"/>
      <c r="F202" s="49"/>
      <c r="G202" s="49"/>
      <c r="H202" s="49"/>
      <c r="I202" s="49"/>
      <c r="J202" s="49"/>
      <c r="K202" s="49"/>
    </row>
    <row r="203" spans="5:11">
      <c r="E203" s="49"/>
      <c r="F203" s="49"/>
      <c r="G203" s="49"/>
      <c r="H203" s="49"/>
      <c r="I203" s="49"/>
      <c r="J203" s="49"/>
      <c r="K203" s="49"/>
    </row>
    <row r="204" spans="5:11">
      <c r="E204" s="49"/>
      <c r="F204" s="49"/>
      <c r="G204" s="49"/>
      <c r="H204" s="49"/>
      <c r="I204" s="49"/>
      <c r="J204" s="49"/>
      <c r="K204" s="49"/>
    </row>
    <row r="205" spans="5:11">
      <c r="E205" s="49"/>
      <c r="F205" s="49"/>
      <c r="G205" s="49"/>
      <c r="H205" s="49"/>
      <c r="I205" s="49"/>
      <c r="J205" s="49"/>
      <c r="K205" s="49"/>
    </row>
    <row r="206" spans="5:11">
      <c r="E206" s="49"/>
      <c r="F206" s="49"/>
      <c r="G206" s="49"/>
      <c r="H206" s="49"/>
      <c r="I206" s="49"/>
      <c r="J206" s="49"/>
      <c r="K206" s="49"/>
    </row>
    <row r="207" spans="5:11">
      <c r="E207" s="49"/>
      <c r="F207" s="49"/>
      <c r="G207" s="49"/>
      <c r="H207" s="49"/>
      <c r="I207" s="49"/>
      <c r="J207" s="49"/>
      <c r="K207" s="49"/>
    </row>
    <row r="208" spans="5:11">
      <c r="E208" s="49"/>
      <c r="F208" s="49"/>
      <c r="G208" s="49"/>
      <c r="H208" s="49"/>
      <c r="I208" s="49"/>
      <c r="J208" s="49"/>
      <c r="K208" s="49"/>
    </row>
    <row r="209" spans="5:11">
      <c r="E209" s="49"/>
      <c r="F209" s="49"/>
      <c r="G209" s="49"/>
      <c r="H209" s="49"/>
      <c r="I209" s="49"/>
      <c r="J209" s="49"/>
      <c r="K209" s="49"/>
    </row>
    <row r="210" spans="5:11">
      <c r="E210" s="49"/>
      <c r="F210" s="49"/>
      <c r="G210" s="49"/>
      <c r="H210" s="49"/>
      <c r="I210" s="49"/>
      <c r="J210" s="49"/>
      <c r="K210" s="49"/>
    </row>
    <row r="211" spans="5:11">
      <c r="E211" s="49"/>
      <c r="F211" s="49"/>
      <c r="G211" s="49"/>
      <c r="H211" s="49"/>
      <c r="I211" s="49"/>
      <c r="J211" s="49"/>
      <c r="K211" s="49"/>
    </row>
    <row r="212" spans="5:11">
      <c r="E212" s="49"/>
      <c r="F212" s="49"/>
      <c r="G212" s="49"/>
      <c r="H212" s="49"/>
      <c r="I212" s="49"/>
      <c r="J212" s="49"/>
      <c r="K212" s="49"/>
    </row>
    <row r="213" spans="5:11">
      <c r="E213" s="49"/>
      <c r="F213" s="49"/>
      <c r="G213" s="49"/>
      <c r="H213" s="49"/>
      <c r="I213" s="49"/>
      <c r="J213" s="49"/>
      <c r="K213" s="49"/>
    </row>
    <row r="214" spans="5:11">
      <c r="E214" s="49"/>
      <c r="F214" s="49"/>
      <c r="G214" s="49"/>
      <c r="H214" s="49"/>
      <c r="I214" s="49"/>
      <c r="J214" s="49"/>
      <c r="K214" s="49"/>
    </row>
    <row r="215" spans="5:11">
      <c r="E215" s="49"/>
      <c r="F215" s="49"/>
      <c r="G215" s="49"/>
      <c r="H215" s="49"/>
      <c r="I215" s="49"/>
      <c r="J215" s="49"/>
      <c r="K215" s="49"/>
    </row>
    <row r="216" spans="5:11">
      <c r="E216" s="49"/>
      <c r="F216" s="49"/>
      <c r="G216" s="49"/>
      <c r="H216" s="49"/>
      <c r="I216" s="49"/>
      <c r="J216" s="49"/>
      <c r="K216" s="49"/>
    </row>
    <row r="217" spans="5:11">
      <c r="E217" s="49"/>
      <c r="F217" s="49"/>
      <c r="G217" s="49"/>
      <c r="H217" s="49"/>
      <c r="I217" s="49"/>
      <c r="J217" s="49"/>
      <c r="K217" s="49"/>
    </row>
    <row r="218" spans="5:11">
      <c r="E218" s="49"/>
      <c r="F218" s="49"/>
      <c r="G218" s="49"/>
      <c r="H218" s="49"/>
      <c r="I218" s="49"/>
      <c r="J218" s="49"/>
      <c r="K218" s="49"/>
    </row>
    <row r="219" spans="5:11">
      <c r="E219" s="49"/>
      <c r="F219" s="49"/>
      <c r="G219" s="49"/>
      <c r="H219" s="49"/>
      <c r="I219" s="49"/>
      <c r="J219" s="49"/>
      <c r="K219" s="49"/>
    </row>
    <row r="220" spans="5:11">
      <c r="E220" s="49"/>
      <c r="F220" s="49"/>
      <c r="G220" s="49"/>
      <c r="H220" s="49"/>
      <c r="I220" s="49"/>
      <c r="J220" s="49"/>
      <c r="K220" s="49"/>
    </row>
    <row r="221" spans="5:11">
      <c r="E221" s="49"/>
      <c r="F221" s="49"/>
      <c r="G221" s="49"/>
      <c r="H221" s="49"/>
      <c r="I221" s="49"/>
      <c r="J221" s="49"/>
      <c r="K221" s="49"/>
    </row>
    <row r="222" spans="5:11">
      <c r="E222" s="49"/>
      <c r="F222" s="49"/>
      <c r="G222" s="49"/>
      <c r="H222" s="49"/>
      <c r="I222" s="49"/>
      <c r="J222" s="49"/>
      <c r="K222" s="49"/>
    </row>
    <row r="223" spans="5:11">
      <c r="E223" s="49"/>
      <c r="F223" s="49"/>
      <c r="G223" s="49"/>
      <c r="H223" s="49"/>
      <c r="I223" s="49"/>
      <c r="J223" s="49"/>
      <c r="K223" s="49"/>
    </row>
    <row r="224" spans="5:11">
      <c r="E224" s="49"/>
      <c r="F224" s="49"/>
      <c r="G224" s="49"/>
      <c r="H224" s="49"/>
      <c r="I224" s="49"/>
      <c r="J224" s="49"/>
      <c r="K224" s="49"/>
    </row>
    <row r="225" spans="5:11">
      <c r="E225" s="49"/>
      <c r="F225" s="49"/>
      <c r="G225" s="49"/>
      <c r="H225" s="49"/>
      <c r="I225" s="49"/>
      <c r="J225" s="49"/>
      <c r="K225" s="49"/>
    </row>
    <row r="226" spans="5:11">
      <c r="E226" s="49"/>
      <c r="F226" s="49"/>
      <c r="G226" s="49"/>
      <c r="H226" s="49"/>
      <c r="I226" s="49"/>
      <c r="J226" s="49"/>
      <c r="K226" s="49"/>
    </row>
    <row r="227" spans="5:11">
      <c r="E227" s="49"/>
      <c r="F227" s="49"/>
      <c r="G227" s="49"/>
      <c r="H227" s="49"/>
      <c r="I227" s="49"/>
      <c r="J227" s="49"/>
      <c r="K227" s="49"/>
    </row>
    <row r="228" spans="5:11">
      <c r="E228" s="49"/>
      <c r="F228" s="49"/>
      <c r="G228" s="49"/>
      <c r="H228" s="49"/>
      <c r="I228" s="49"/>
      <c r="J228" s="49"/>
      <c r="K228" s="49"/>
    </row>
    <row r="229" spans="5:11">
      <c r="E229" s="49"/>
      <c r="F229" s="49"/>
      <c r="G229" s="49"/>
      <c r="H229" s="49"/>
      <c r="I229" s="49"/>
      <c r="J229" s="49"/>
      <c r="K229" s="49"/>
    </row>
    <row r="230" spans="5:11">
      <c r="E230" s="49"/>
      <c r="F230" s="49"/>
      <c r="G230" s="49"/>
      <c r="H230" s="49"/>
      <c r="I230" s="49"/>
      <c r="J230" s="49"/>
      <c r="K230" s="49"/>
    </row>
    <row r="231" spans="5:11">
      <c r="E231" s="49"/>
      <c r="F231" s="49"/>
      <c r="G231" s="49"/>
      <c r="H231" s="49"/>
      <c r="I231" s="49"/>
      <c r="J231" s="49"/>
      <c r="K231" s="49"/>
    </row>
    <row r="232" spans="5:11">
      <c r="E232" s="49"/>
      <c r="F232" s="49"/>
      <c r="G232" s="49"/>
      <c r="H232" s="49"/>
      <c r="I232" s="49"/>
      <c r="J232" s="49"/>
      <c r="K232" s="49"/>
    </row>
    <row r="233" spans="5:11">
      <c r="E233" s="49"/>
      <c r="F233" s="49"/>
      <c r="G233" s="49"/>
      <c r="H233" s="49"/>
      <c r="I233" s="49"/>
      <c r="J233" s="49"/>
      <c r="K233" s="49"/>
    </row>
    <row r="234" spans="5:11">
      <c r="E234" s="49"/>
      <c r="F234" s="49"/>
      <c r="G234" s="49"/>
      <c r="H234" s="49"/>
      <c r="I234" s="49"/>
      <c r="J234" s="49"/>
      <c r="K234" s="49"/>
    </row>
    <row r="235" spans="5:11">
      <c r="E235" s="49"/>
      <c r="F235" s="49"/>
      <c r="G235" s="49"/>
      <c r="H235" s="49"/>
      <c r="I235" s="49"/>
      <c r="J235" s="49"/>
      <c r="K235" s="49"/>
    </row>
    <row r="236" spans="5:11">
      <c r="E236" s="49"/>
      <c r="F236" s="49"/>
      <c r="G236" s="49"/>
      <c r="H236" s="49"/>
      <c r="I236" s="49"/>
      <c r="J236" s="49"/>
      <c r="K236" s="49"/>
    </row>
    <row r="237" spans="5:11">
      <c r="E237" s="49"/>
      <c r="F237" s="49"/>
      <c r="G237" s="49"/>
      <c r="H237" s="49"/>
      <c r="I237" s="49"/>
      <c r="J237" s="49"/>
      <c r="K237" s="49"/>
    </row>
    <row r="238" spans="5:11">
      <c r="E238" s="49"/>
      <c r="F238" s="49"/>
      <c r="G238" s="49"/>
      <c r="H238" s="49"/>
      <c r="I238" s="49"/>
      <c r="J238" s="49"/>
      <c r="K238" s="49"/>
    </row>
    <row r="239" spans="5:11">
      <c r="E239" s="49"/>
      <c r="F239" s="49"/>
      <c r="G239" s="49"/>
      <c r="H239" s="49"/>
      <c r="I239" s="49"/>
      <c r="J239" s="49"/>
      <c r="K239" s="49"/>
    </row>
    <row r="240" spans="5:11">
      <c r="E240" s="49"/>
      <c r="F240" s="49"/>
      <c r="G240" s="49"/>
      <c r="H240" s="49"/>
      <c r="I240" s="49"/>
      <c r="J240" s="49"/>
      <c r="K240" s="49"/>
    </row>
    <row r="241" spans="5:11">
      <c r="E241" s="49"/>
      <c r="F241" s="49"/>
      <c r="G241" s="49"/>
      <c r="H241" s="49"/>
      <c r="I241" s="49"/>
      <c r="J241" s="49"/>
      <c r="K241" s="49"/>
    </row>
    <row r="242" spans="5:11">
      <c r="E242" s="49"/>
      <c r="F242" s="49"/>
      <c r="G242" s="49"/>
      <c r="H242" s="49"/>
      <c r="I242" s="49"/>
      <c r="J242" s="49"/>
      <c r="K242" s="49"/>
    </row>
    <row r="243" spans="5:11">
      <c r="E243" s="49"/>
      <c r="F243" s="49"/>
      <c r="G243" s="49"/>
      <c r="H243" s="49"/>
      <c r="I243" s="49"/>
      <c r="J243" s="49"/>
      <c r="K243" s="49"/>
    </row>
    <row r="244" spans="5:11">
      <c r="E244" s="49"/>
      <c r="F244" s="49"/>
      <c r="G244" s="49"/>
      <c r="H244" s="49"/>
      <c r="I244" s="49"/>
      <c r="J244" s="49"/>
      <c r="K244" s="49"/>
    </row>
    <row r="245" spans="5:11">
      <c r="E245" s="49"/>
      <c r="F245" s="49"/>
      <c r="G245" s="49"/>
      <c r="H245" s="49"/>
      <c r="I245" s="49"/>
      <c r="J245" s="49"/>
      <c r="K245" s="49"/>
    </row>
    <row r="246" spans="5:11">
      <c r="E246" s="49"/>
      <c r="F246" s="49"/>
      <c r="G246" s="49"/>
      <c r="H246" s="49"/>
      <c r="I246" s="49"/>
      <c r="J246" s="49"/>
      <c r="K246" s="49"/>
    </row>
    <row r="247" spans="5:11">
      <c r="E247" s="49"/>
      <c r="F247" s="49"/>
      <c r="G247" s="49"/>
      <c r="H247" s="49"/>
      <c r="I247" s="49"/>
      <c r="J247" s="49"/>
      <c r="K247" s="49"/>
    </row>
    <row r="248" spans="5:11">
      <c r="E248" s="49"/>
      <c r="F248" s="49"/>
      <c r="G248" s="49"/>
      <c r="H248" s="49"/>
      <c r="I248" s="49"/>
      <c r="J248" s="49"/>
      <c r="K248" s="49"/>
    </row>
    <row r="249" spans="5:11">
      <c r="E249" s="49"/>
      <c r="F249" s="49"/>
      <c r="G249" s="49"/>
      <c r="H249" s="49"/>
      <c r="I249" s="49"/>
      <c r="J249" s="49"/>
      <c r="K249" s="49"/>
    </row>
    <row r="250" spans="5:11">
      <c r="E250" s="49"/>
      <c r="F250" s="49"/>
      <c r="G250" s="49"/>
      <c r="H250" s="49"/>
      <c r="I250" s="49"/>
      <c r="J250" s="49"/>
      <c r="K250" s="49"/>
    </row>
    <row r="251" spans="5:11">
      <c r="E251" s="49"/>
      <c r="F251" s="49"/>
      <c r="G251" s="49"/>
      <c r="H251" s="49"/>
      <c r="I251" s="49"/>
      <c r="J251" s="49"/>
      <c r="K251" s="49"/>
    </row>
    <row r="252" spans="5:11">
      <c r="E252" s="49"/>
      <c r="F252" s="49"/>
      <c r="G252" s="49"/>
      <c r="H252" s="49"/>
      <c r="I252" s="49"/>
      <c r="J252" s="49"/>
      <c r="K252" s="49"/>
    </row>
  </sheetData>
  <pageMargins left="1" right="2.85" top="0.74803040244969377" bottom="0.74803040244969377" header="0.31496062992125984" footer="0.31496062992125984"/>
  <pageSetup orientation="portrait" r:id="rId1"/>
  <headerFooter alignWithMargins="0">
    <oddHeader>&amp;L&amp;"Calibri,Regular"&amp;K000000pdf named: B25-FP_REV_chrt02.pdf&amp;R&amp;"Calibri,Regular"&amp;K000000Budget 2025 - Fiscal Plan
Revenue section</oddHeader>
    <oddFooter>&amp;L&amp;"Calibri"&amp;11&amp;K000000&amp;8&amp;Z
&amp;F_x000D_&amp;1#&amp;"Calibri"&amp;11&amp;K000000 Classification: Public&amp;R&amp;8&amp;D 
&amp;T&amp;L&amp;"Calibri"&amp;11&amp;K000000&amp;8&amp;Z
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C000"/>
  </sheetPr>
  <dimension ref="A1:H32"/>
  <sheetViews>
    <sheetView showGridLines="0" zoomScale="140" zoomScaleNormal="140" zoomScaleSheetLayoutView="87" workbookViewId="0">
      <selection activeCell="I19" sqref="I19"/>
    </sheetView>
  </sheetViews>
  <sheetFormatPr defaultColWidth="8" defaultRowHeight="15"/>
  <cols>
    <col min="1" max="1" width="22.7109375" style="56" customWidth="1"/>
    <col min="2" max="4" width="6.85546875" style="56" bestFit="1" customWidth="1"/>
    <col min="5" max="5" width="6.85546875" style="56" customWidth="1"/>
    <col min="6" max="7" width="6.85546875" style="56" bestFit="1" customWidth="1"/>
    <col min="8" max="16384" width="8" style="56"/>
  </cols>
  <sheetData>
    <row r="1" spans="1:8" ht="15.75">
      <c r="A1" s="54" t="s">
        <v>141</v>
      </c>
      <c r="B1" s="55"/>
      <c r="C1" s="55"/>
      <c r="D1" s="55"/>
      <c r="E1" s="55"/>
      <c r="F1" s="55"/>
      <c r="G1" s="55"/>
    </row>
    <row r="2" spans="1:8">
      <c r="A2" s="58"/>
      <c r="B2" s="55"/>
      <c r="C2" s="55"/>
      <c r="D2" s="55"/>
      <c r="E2" s="55"/>
      <c r="F2" s="55"/>
      <c r="G2" s="55"/>
    </row>
    <row r="3" spans="1:8" ht="13.5" customHeight="1">
      <c r="A3" s="59"/>
      <c r="B3" s="184" t="s">
        <v>5</v>
      </c>
      <c r="C3" s="195" t="s">
        <v>113</v>
      </c>
      <c r="D3" s="195"/>
      <c r="E3" s="185" t="s">
        <v>121</v>
      </c>
      <c r="F3" s="180" t="s">
        <v>130</v>
      </c>
      <c r="G3" s="180" t="s">
        <v>139</v>
      </c>
    </row>
    <row r="4" spans="1:8" s="62" customFormat="1" ht="13.5" customHeight="1">
      <c r="A4" s="60"/>
      <c r="B4" s="181" t="s">
        <v>6</v>
      </c>
      <c r="C4" s="61" t="s">
        <v>7</v>
      </c>
      <c r="D4" s="61" t="s">
        <v>12</v>
      </c>
      <c r="E4" s="186" t="s">
        <v>8</v>
      </c>
      <c r="F4" s="181" t="s">
        <v>10</v>
      </c>
      <c r="G4" s="181" t="s">
        <v>10</v>
      </c>
    </row>
    <row r="5" spans="1:8" ht="4.5" customHeight="1">
      <c r="A5" s="59"/>
      <c r="B5" s="64"/>
      <c r="C5" s="65"/>
      <c r="D5" s="66"/>
      <c r="E5" s="67"/>
      <c r="F5" s="164"/>
      <c r="G5" s="64"/>
    </row>
    <row r="6" spans="1:8" ht="15" customHeight="1">
      <c r="A6" s="68" t="s">
        <v>49</v>
      </c>
      <c r="B6" s="59"/>
      <c r="C6" s="59"/>
      <c r="D6" s="59"/>
      <c r="E6" s="67"/>
      <c r="F6" s="76"/>
      <c r="G6" s="59"/>
    </row>
    <row r="7" spans="1:8" ht="12.75" customHeight="1">
      <c r="A7" s="69" t="s">
        <v>50</v>
      </c>
      <c r="B7" s="75">
        <v>14517.6</v>
      </c>
      <c r="C7" s="75">
        <v>12538</v>
      </c>
      <c r="D7" s="75">
        <v>16859.333999999999</v>
      </c>
      <c r="E7" s="71">
        <v>12830.42</v>
      </c>
      <c r="F7" s="75">
        <v>13137.823</v>
      </c>
      <c r="G7" s="75">
        <v>13498.546</v>
      </c>
    </row>
    <row r="8" spans="1:8" ht="12.75" customHeight="1">
      <c r="A8" s="72" t="s">
        <v>51</v>
      </c>
      <c r="B8" s="75">
        <v>2971.5</v>
      </c>
      <c r="C8" s="75">
        <v>2779</v>
      </c>
      <c r="D8" s="75">
        <v>2945.68</v>
      </c>
      <c r="E8" s="71">
        <v>2509.5230000000001</v>
      </c>
      <c r="F8" s="75">
        <v>2530.35</v>
      </c>
      <c r="G8" s="75">
        <v>2695.0450000000001</v>
      </c>
    </row>
    <row r="9" spans="1:8" ht="12.75" customHeight="1">
      <c r="A9" s="72" t="s">
        <v>52</v>
      </c>
      <c r="B9" s="75">
        <v>1057.5</v>
      </c>
      <c r="C9" s="75">
        <v>1468</v>
      </c>
      <c r="D9" s="75">
        <v>1161.232</v>
      </c>
      <c r="E9" s="71">
        <v>1228.2</v>
      </c>
      <c r="F9" s="75">
        <v>1434.3119999999999</v>
      </c>
      <c r="G9" s="75">
        <v>1093.1110000000001</v>
      </c>
    </row>
    <row r="10" spans="1:8" ht="15" customHeight="1">
      <c r="A10" s="68" t="s">
        <v>53</v>
      </c>
      <c r="B10" s="75"/>
      <c r="C10" s="70"/>
      <c r="D10" s="70"/>
      <c r="E10" s="71"/>
      <c r="F10" s="75"/>
      <c r="G10" s="70"/>
    </row>
    <row r="11" spans="1:8" ht="21" customHeight="1">
      <c r="A11" s="69" t="s">
        <v>120</v>
      </c>
      <c r="B11" s="168">
        <v>77.83</v>
      </c>
      <c r="C11" s="169">
        <v>74</v>
      </c>
      <c r="D11" s="169">
        <v>74</v>
      </c>
      <c r="E11" s="183">
        <v>68</v>
      </c>
      <c r="F11" s="169">
        <v>71</v>
      </c>
      <c r="G11" s="169">
        <v>71.5</v>
      </c>
    </row>
    <row r="12" spans="1:8" ht="12.75" customHeight="1">
      <c r="A12" s="69" t="s">
        <v>55</v>
      </c>
      <c r="B12" s="168">
        <v>17.29</v>
      </c>
      <c r="C12" s="168">
        <v>16</v>
      </c>
      <c r="D12" s="168">
        <v>13.2</v>
      </c>
      <c r="E12" s="183">
        <v>17.100000000000001</v>
      </c>
      <c r="F12" s="168">
        <v>16.5</v>
      </c>
      <c r="G12" s="168">
        <v>15.6</v>
      </c>
    </row>
    <row r="13" spans="1:8" ht="12.75" customHeight="1">
      <c r="A13" s="69" t="s">
        <v>54</v>
      </c>
      <c r="B13" s="168">
        <v>81.67</v>
      </c>
      <c r="C13" s="168">
        <v>76.8</v>
      </c>
      <c r="D13" s="168">
        <v>84.7</v>
      </c>
      <c r="E13" s="183">
        <v>73.099999999999994</v>
      </c>
      <c r="F13" s="168">
        <v>75.8</v>
      </c>
      <c r="G13" s="168">
        <v>75.8</v>
      </c>
      <c r="H13" s="69"/>
    </row>
    <row r="14" spans="1:8" ht="12" customHeight="1">
      <c r="A14" s="69" t="s">
        <v>138</v>
      </c>
      <c r="B14" s="169">
        <v>2.0699999999999998</v>
      </c>
      <c r="C14" s="169">
        <v>2.9</v>
      </c>
      <c r="D14" s="169">
        <v>1.2</v>
      </c>
      <c r="E14" s="183">
        <v>2.5</v>
      </c>
      <c r="F14" s="169">
        <v>3.1</v>
      </c>
      <c r="G14" s="169">
        <v>2.9</v>
      </c>
    </row>
    <row r="15" spans="1:8" s="88" customFormat="1" ht="24" customHeight="1">
      <c r="A15" s="161" t="s">
        <v>135</v>
      </c>
      <c r="B15" s="165"/>
      <c r="C15" s="165"/>
      <c r="D15" s="165"/>
      <c r="E15" s="71"/>
      <c r="F15" s="165"/>
      <c r="G15" s="165"/>
    </row>
    <row r="16" spans="1:8" ht="12.75" customHeight="1">
      <c r="A16" s="74" t="s">
        <v>56</v>
      </c>
      <c r="B16" s="75">
        <v>511</v>
      </c>
      <c r="C16" s="75">
        <v>507</v>
      </c>
      <c r="D16" s="75">
        <v>528</v>
      </c>
      <c r="E16" s="71">
        <v>519</v>
      </c>
      <c r="F16" s="75">
        <v>512</v>
      </c>
      <c r="G16" s="75">
        <v>504</v>
      </c>
    </row>
    <row r="17" spans="1:8" ht="12.75" customHeight="1">
      <c r="A17" s="74" t="s">
        <v>57</v>
      </c>
      <c r="B17" s="75">
        <v>3332</v>
      </c>
      <c r="C17" s="75">
        <v>3429</v>
      </c>
      <c r="D17" s="75">
        <v>3455</v>
      </c>
      <c r="E17" s="71">
        <v>3558</v>
      </c>
      <c r="F17" s="75">
        <v>36889</v>
      </c>
      <c r="G17" s="75">
        <v>3752</v>
      </c>
    </row>
    <row r="18" spans="1:8" ht="12.75" customHeight="1">
      <c r="A18" s="74" t="s">
        <v>58</v>
      </c>
      <c r="B18" s="75">
        <v>4267</v>
      </c>
      <c r="C18" s="75">
        <v>4291</v>
      </c>
      <c r="D18" s="75">
        <v>4304</v>
      </c>
      <c r="E18" s="71">
        <v>4354</v>
      </c>
      <c r="F18" s="75">
        <v>4354</v>
      </c>
      <c r="G18" s="75">
        <v>4354</v>
      </c>
    </row>
    <row r="19" spans="1:8" ht="15" customHeight="1">
      <c r="A19" s="73" t="s">
        <v>59</v>
      </c>
      <c r="B19" s="76"/>
      <c r="C19" s="76"/>
      <c r="D19" s="76"/>
      <c r="E19" s="71"/>
      <c r="F19" s="76"/>
      <c r="G19" s="76"/>
    </row>
    <row r="20" spans="1:8" ht="12.75" customHeight="1">
      <c r="A20" s="77" t="s">
        <v>60</v>
      </c>
      <c r="B20" s="170">
        <v>74.2</v>
      </c>
      <c r="C20" s="171">
        <v>75.900000000000006</v>
      </c>
      <c r="D20" s="171">
        <v>71.7</v>
      </c>
      <c r="E20" s="182">
        <v>69.63</v>
      </c>
      <c r="F20" s="171">
        <v>71.900000000000006</v>
      </c>
      <c r="G20" s="171">
        <v>73.8</v>
      </c>
    </row>
    <row r="21" spans="1:8" ht="3.75" customHeight="1" thickBot="1">
      <c r="A21" s="78"/>
      <c r="B21" s="78"/>
      <c r="C21" s="79"/>
      <c r="D21" s="79"/>
      <c r="E21" s="80">
        <v>5</v>
      </c>
      <c r="F21" s="78"/>
      <c r="G21" s="78"/>
    </row>
    <row r="22" spans="1:8">
      <c r="A22" s="81"/>
    </row>
    <row r="23" spans="1:8">
      <c r="A23" s="2"/>
      <c r="B23" s="2"/>
      <c r="C23" s="2"/>
      <c r="D23" s="2"/>
      <c r="E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59"/>
      <c r="F27" s="2"/>
      <c r="G27" s="2"/>
      <c r="H27" s="2"/>
    </row>
    <row r="28" spans="1:8">
      <c r="F28" s="2"/>
      <c r="G28" s="2"/>
      <c r="H28" s="2"/>
    </row>
    <row r="29" spans="1:8"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</sheetData>
  <mergeCells count="1">
    <mergeCell ref="C3:D3"/>
  </mergeCells>
  <pageMargins left="1" right="2.85" top="0.74803040244969377" bottom="0.74803040244969377" header="0.31496062992125984" footer="0.31496062992125984"/>
  <pageSetup scale="88" orientation="portrait" r:id="rId1"/>
  <headerFooter alignWithMargins="0">
    <oddFooter>&amp;L_x000D_&amp;1#&amp;"Calibri"&amp;11&amp;K000000 Classification: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FFC000"/>
  </sheetPr>
  <dimension ref="A1:H12"/>
  <sheetViews>
    <sheetView showGridLines="0" showWhiteSpace="0" zoomScale="130" zoomScaleNormal="130" zoomScaleSheetLayoutView="96" workbookViewId="0">
      <selection activeCell="M21" sqref="M21"/>
    </sheetView>
  </sheetViews>
  <sheetFormatPr defaultColWidth="8" defaultRowHeight="15"/>
  <cols>
    <col min="1" max="1" width="22.7109375" style="56" customWidth="1"/>
    <col min="2" max="6" width="6.85546875" style="76" bestFit="1" customWidth="1"/>
    <col min="7" max="7" width="6.85546875" style="56" bestFit="1" customWidth="1"/>
    <col min="8" max="16384" width="8" style="56"/>
  </cols>
  <sheetData>
    <row r="1" spans="1:8" ht="15.75">
      <c r="A1" s="54" t="s">
        <v>142</v>
      </c>
      <c r="B1" s="59"/>
      <c r="C1" s="59"/>
      <c r="D1" s="59"/>
      <c r="E1" s="59"/>
      <c r="F1" s="59"/>
      <c r="G1" s="55"/>
    </row>
    <row r="2" spans="1:8">
      <c r="A2" s="58" t="s">
        <v>0</v>
      </c>
      <c r="B2" s="59"/>
      <c r="C2" s="59"/>
      <c r="D2" s="59"/>
      <c r="E2" s="59"/>
      <c r="F2" s="59"/>
      <c r="G2" s="55"/>
    </row>
    <row r="3" spans="1:8" ht="13.5" customHeight="1">
      <c r="A3" s="59"/>
      <c r="B3" s="180" t="s">
        <v>5</v>
      </c>
      <c r="C3" s="195" t="s">
        <v>113</v>
      </c>
      <c r="D3" s="195"/>
      <c r="E3" s="185" t="s">
        <v>121</v>
      </c>
      <c r="F3" s="180" t="s">
        <v>130</v>
      </c>
      <c r="G3" s="180" t="s">
        <v>139</v>
      </c>
    </row>
    <row r="4" spans="1:8" s="62" customFormat="1" ht="13.5" customHeight="1">
      <c r="A4" s="60"/>
      <c r="B4" s="188" t="s">
        <v>6</v>
      </c>
      <c r="C4" s="61" t="s">
        <v>7</v>
      </c>
      <c r="D4" s="61" t="s">
        <v>12</v>
      </c>
      <c r="E4" s="186" t="s">
        <v>8</v>
      </c>
      <c r="F4" s="181" t="s">
        <v>10</v>
      </c>
      <c r="G4" s="181" t="s">
        <v>10</v>
      </c>
    </row>
    <row r="5" spans="1:8" ht="4.5" customHeight="1">
      <c r="A5" s="59"/>
      <c r="B5" s="82"/>
      <c r="C5" s="82"/>
      <c r="D5" s="82"/>
      <c r="E5" s="83"/>
      <c r="F5" s="166"/>
      <c r="G5" s="82"/>
    </row>
    <row r="6" spans="1:8" s="88" customFormat="1" ht="12.75" customHeight="1">
      <c r="A6" s="84" t="s">
        <v>50</v>
      </c>
      <c r="B6" s="85">
        <v>14517.6</v>
      </c>
      <c r="C6" s="86">
        <v>12538</v>
      </c>
      <c r="D6" s="86">
        <v>16859.333999999999</v>
      </c>
      <c r="E6" s="87">
        <v>12830.42</v>
      </c>
      <c r="F6" s="165">
        <v>13137.823</v>
      </c>
      <c r="G6" s="85">
        <v>13498.546</v>
      </c>
    </row>
    <row r="7" spans="1:8" s="88" customFormat="1" ht="12.75" customHeight="1">
      <c r="A7" s="89" t="s">
        <v>51</v>
      </c>
      <c r="B7" s="90">
        <v>2971.5</v>
      </c>
      <c r="C7" s="86">
        <v>2779</v>
      </c>
      <c r="D7" s="86">
        <v>2945.68</v>
      </c>
      <c r="E7" s="91">
        <v>2509.5230000000001</v>
      </c>
      <c r="F7" s="90">
        <v>2530.35</v>
      </c>
      <c r="G7" s="90">
        <v>2695.0450000000001</v>
      </c>
      <c r="H7" s="92"/>
    </row>
    <row r="8" spans="1:8" s="88" customFormat="1" ht="21.75" customHeight="1">
      <c r="A8" s="84" t="s">
        <v>61</v>
      </c>
      <c r="B8" s="85">
        <v>1057.5</v>
      </c>
      <c r="C8" s="85">
        <v>1468</v>
      </c>
      <c r="D8" s="85">
        <v>1161.232</v>
      </c>
      <c r="E8" s="87">
        <v>1228.2</v>
      </c>
      <c r="F8" s="165">
        <v>1434.3119999999999</v>
      </c>
      <c r="G8" s="85">
        <v>1093.1110000000001</v>
      </c>
      <c r="H8" s="92"/>
    </row>
    <row r="9" spans="1:8" s="88" customFormat="1" ht="20.25" customHeight="1">
      <c r="A9" s="84" t="s">
        <v>62</v>
      </c>
      <c r="B9" s="93">
        <v>498.5</v>
      </c>
      <c r="C9" s="94">
        <v>321</v>
      </c>
      <c r="D9" s="94">
        <v>382.13900000000001</v>
      </c>
      <c r="E9" s="95">
        <v>361.12700000000001</v>
      </c>
      <c r="F9" s="93">
        <v>380.25900000000001</v>
      </c>
      <c r="G9" s="93">
        <v>392.39699999999999</v>
      </c>
      <c r="H9" s="92"/>
    </row>
    <row r="10" spans="1:8" s="88" customFormat="1" ht="12.75" customHeight="1">
      <c r="A10" s="89" t="s">
        <v>63</v>
      </c>
      <c r="B10" s="96">
        <v>241.6</v>
      </c>
      <c r="C10" s="97">
        <v>209</v>
      </c>
      <c r="D10" s="97">
        <v>160.71700000000001</v>
      </c>
      <c r="E10" s="98">
        <v>138.036</v>
      </c>
      <c r="F10" s="96">
        <v>137.18600000000001</v>
      </c>
      <c r="G10" s="96">
        <v>135.94999999999999</v>
      </c>
      <c r="H10" s="92"/>
    </row>
    <row r="11" spans="1:8" ht="15" customHeight="1" thickBot="1">
      <c r="A11" s="99" t="s">
        <v>64</v>
      </c>
      <c r="B11" s="100">
        <v>19286.699999999997</v>
      </c>
      <c r="C11" s="101">
        <v>17315</v>
      </c>
      <c r="D11" s="101">
        <v>21509.101999999999</v>
      </c>
      <c r="E11" s="102">
        <v>17067.306</v>
      </c>
      <c r="F11" s="100">
        <v>17619.93</v>
      </c>
      <c r="G11" s="100">
        <v>17815.049000000003</v>
      </c>
    </row>
    <row r="12" spans="1:8">
      <c r="A12" s="55"/>
      <c r="B12" s="59"/>
      <c r="C12" s="59"/>
      <c r="D12" s="59"/>
      <c r="E12" s="59"/>
      <c r="F12" s="59"/>
      <c r="G12" s="55"/>
    </row>
  </sheetData>
  <mergeCells count="1">
    <mergeCell ref="C3:D3"/>
  </mergeCells>
  <pageMargins left="1" right="2.85" top="0.74803040244969377" bottom="0.74803040244969377" header="0.31496062992125984" footer="0.31496062992125984"/>
  <pageSetup scale="88" orientation="portrait" r:id="rId1"/>
  <headerFooter alignWithMargins="0">
    <oddHeader>&amp;L&amp;"Calibri,Regular"&amp;K000000pdf named: B25-FP_REV_tb07_nrrr.pdf&amp;R&amp;"Calibri,Regular"&amp;K000000Budget 2025 - Fiscal Plan
Revenue section</oddHeader>
    <oddFooter>&amp;L&amp;"Calibri"&amp;11&amp;K000000&amp;8&amp;Z
&amp;F_x000D_&amp;1#&amp;"Calibri"&amp;11&amp;K000000 Classification: Public&amp;R&amp;8&amp;D 
&amp;T&amp;L&amp;"Calibri"&amp;11&amp;K000000&amp;8&amp;Z
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C000"/>
  </sheetPr>
  <dimension ref="A1:K17"/>
  <sheetViews>
    <sheetView showGridLines="0" zoomScale="130" zoomScaleNormal="130" zoomScaleSheetLayoutView="124" workbookViewId="0">
      <selection activeCell="K17" sqref="K17"/>
    </sheetView>
  </sheetViews>
  <sheetFormatPr defaultColWidth="8" defaultRowHeight="15"/>
  <cols>
    <col min="1" max="1" width="16.7109375" style="56" customWidth="1"/>
    <col min="2" max="7" width="6.42578125" style="56" customWidth="1"/>
    <col min="8" max="11" width="8" style="57"/>
    <col min="12" max="16384" width="8" style="56"/>
  </cols>
  <sheetData>
    <row r="1" spans="1:11" ht="15.75">
      <c r="A1" s="54" t="s">
        <v>65</v>
      </c>
      <c r="B1" s="103"/>
      <c r="C1" s="103"/>
      <c r="D1" s="103"/>
      <c r="E1" s="103"/>
      <c r="F1" s="103"/>
      <c r="G1" s="55"/>
    </row>
    <row r="2" spans="1:11">
      <c r="A2" s="58" t="s">
        <v>0</v>
      </c>
      <c r="B2" s="103"/>
      <c r="C2" s="103"/>
      <c r="D2" s="103"/>
      <c r="E2" s="103"/>
      <c r="F2" s="103"/>
      <c r="G2" s="55"/>
    </row>
    <row r="3" spans="1:11" ht="13.5" customHeight="1">
      <c r="A3" s="59"/>
      <c r="B3" s="180" t="s">
        <v>5</v>
      </c>
      <c r="C3" s="195" t="s">
        <v>113</v>
      </c>
      <c r="D3" s="195"/>
      <c r="E3" s="185" t="s">
        <v>121</v>
      </c>
      <c r="F3" s="180" t="s">
        <v>130</v>
      </c>
      <c r="G3" s="180" t="s">
        <v>139</v>
      </c>
    </row>
    <row r="4" spans="1:11" s="62" customFormat="1" ht="13.5" customHeight="1">
      <c r="A4" s="60"/>
      <c r="B4" s="181" t="s">
        <v>6</v>
      </c>
      <c r="C4" s="61" t="s">
        <v>7</v>
      </c>
      <c r="D4" s="61" t="s">
        <v>12</v>
      </c>
      <c r="E4" s="186" t="s">
        <v>8</v>
      </c>
      <c r="F4" s="181" t="s">
        <v>10</v>
      </c>
      <c r="G4" s="181" t="s">
        <v>10</v>
      </c>
      <c r="H4" s="63"/>
      <c r="I4" s="63"/>
      <c r="J4" s="63"/>
      <c r="K4" s="63"/>
    </row>
    <row r="5" spans="1:11" ht="12.75" customHeight="1">
      <c r="A5" s="104" t="s">
        <v>13</v>
      </c>
      <c r="B5" s="70">
        <v>15160</v>
      </c>
      <c r="C5" s="70">
        <v>15604</v>
      </c>
      <c r="D5" s="70">
        <v>16119.993</v>
      </c>
      <c r="E5" s="71">
        <v>15509.644</v>
      </c>
      <c r="F5" s="70">
        <v>16270.87</v>
      </c>
      <c r="G5" s="70">
        <v>16980.97</v>
      </c>
    </row>
    <row r="6" spans="1:11" ht="12.75" customHeight="1">
      <c r="A6" s="104" t="s">
        <v>14</v>
      </c>
      <c r="B6" s="70">
        <v>7044.1</v>
      </c>
      <c r="C6" s="70">
        <v>7028</v>
      </c>
      <c r="D6" s="70">
        <v>7350.6490000000003</v>
      </c>
      <c r="E6" s="71">
        <v>6764.2659999999996</v>
      </c>
      <c r="F6" s="70">
        <v>6938.2309999999998</v>
      </c>
      <c r="G6" s="70">
        <v>7253.56</v>
      </c>
    </row>
    <row r="7" spans="1:11" ht="12.75" customHeight="1">
      <c r="A7" s="104" t="s">
        <v>66</v>
      </c>
      <c r="B7" s="70">
        <v>2526.3000000000002</v>
      </c>
      <c r="C7" s="70">
        <v>2733</v>
      </c>
      <c r="D7" s="70">
        <v>2731.9029999999998</v>
      </c>
      <c r="E7" s="71">
        <v>3124</v>
      </c>
      <c r="F7" s="70">
        <v>3435</v>
      </c>
      <c r="G7" s="70">
        <v>3576</v>
      </c>
    </row>
    <row r="8" spans="1:11" ht="12.75" customHeight="1">
      <c r="A8" s="105" t="s">
        <v>26</v>
      </c>
      <c r="B8" s="106">
        <v>2016.3999999999996</v>
      </c>
      <c r="C8" s="106">
        <v>3280.4179999999997</v>
      </c>
      <c r="D8" s="106">
        <v>3263.038</v>
      </c>
      <c r="E8" s="107">
        <v>3439.3609999999999</v>
      </c>
      <c r="F8" s="106">
        <v>3506.4780000000001</v>
      </c>
      <c r="G8" s="106">
        <v>3579.7840000000001</v>
      </c>
    </row>
    <row r="9" spans="1:11" ht="12.75" customHeight="1" thickBot="1">
      <c r="A9" s="108" t="s">
        <v>68</v>
      </c>
      <c r="B9" s="109">
        <v>26746.799999999996</v>
      </c>
      <c r="C9" s="109">
        <v>28645.417999999998</v>
      </c>
      <c r="D9" s="109">
        <v>29465.581999999999</v>
      </c>
      <c r="E9" s="110">
        <v>28837.271000000001</v>
      </c>
      <c r="F9" s="109">
        <v>30150.579000000002</v>
      </c>
      <c r="G9" s="109">
        <v>31390.313999999998</v>
      </c>
    </row>
    <row r="10" spans="1:11" s="88" customFormat="1" ht="15" customHeight="1">
      <c r="A10" s="59"/>
      <c r="B10" s="59"/>
      <c r="C10" s="59"/>
      <c r="D10" s="59"/>
      <c r="E10" s="59"/>
      <c r="F10" s="59"/>
      <c r="G10" s="55"/>
      <c r="H10" s="111"/>
      <c r="I10" s="111"/>
      <c r="J10" s="111"/>
      <c r="K10" s="111"/>
    </row>
    <row r="13" spans="1:11">
      <c r="G13" s="112"/>
    </row>
    <row r="14" spans="1:11">
      <c r="G14" s="112"/>
    </row>
    <row r="15" spans="1:11">
      <c r="G15" s="113"/>
    </row>
    <row r="17" spans="7:7">
      <c r="G17" s="112"/>
    </row>
  </sheetData>
  <mergeCells count="1">
    <mergeCell ref="C3:D3"/>
  </mergeCells>
  <pageMargins left="1" right="2.85" top="0.74803040244969377" bottom="0.74803040244969377" header="0.31496062992125984" footer="0.31496062992125984"/>
  <pageSetup orientation="portrait" r:id="rId1"/>
  <headerFooter alignWithMargins="0">
    <oddFooter>&amp;L_x000D_&amp;1#&amp;"Calibri"&amp;11&amp;K000000 Classification: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FFC000"/>
  </sheetPr>
  <dimension ref="A1:G16"/>
  <sheetViews>
    <sheetView showGridLines="0" zoomScale="130" zoomScaleNormal="130" zoomScaleSheetLayoutView="118" workbookViewId="0">
      <selection activeCell="H21" sqref="H21"/>
    </sheetView>
  </sheetViews>
  <sheetFormatPr defaultColWidth="8" defaultRowHeight="15"/>
  <cols>
    <col min="1" max="1" width="22.42578125" style="56" customWidth="1"/>
    <col min="2" max="2" width="10.7109375" style="56" customWidth="1"/>
    <col min="3" max="4" width="6.85546875" style="56" customWidth="1"/>
    <col min="5" max="5" width="7.42578125" style="56" customWidth="1"/>
    <col min="6" max="6" width="6.42578125" style="56" customWidth="1"/>
    <col min="7" max="7" width="7.140625" style="56" customWidth="1"/>
    <col min="8" max="16384" width="8" style="56"/>
  </cols>
  <sheetData>
    <row r="1" spans="1:7" ht="15.75">
      <c r="A1" s="54" t="s">
        <v>70</v>
      </c>
      <c r="B1" s="103"/>
      <c r="C1" s="103"/>
      <c r="D1" s="103"/>
      <c r="E1" s="103"/>
      <c r="F1" s="103"/>
      <c r="G1" s="55"/>
    </row>
    <row r="2" spans="1:7">
      <c r="A2" s="58" t="s">
        <v>0</v>
      </c>
      <c r="B2" s="59"/>
      <c r="C2" s="59"/>
      <c r="D2" s="59"/>
      <c r="E2" s="59"/>
      <c r="F2" s="59"/>
      <c r="G2" s="55"/>
    </row>
    <row r="3" spans="1:7" ht="7.5" customHeight="1">
      <c r="A3" s="58"/>
      <c r="B3" s="59"/>
      <c r="C3" s="59"/>
      <c r="D3" s="59"/>
      <c r="E3" s="59"/>
      <c r="F3" s="59"/>
      <c r="G3" s="55"/>
    </row>
    <row r="4" spans="1:7" ht="13.5" customHeight="1">
      <c r="A4" s="59"/>
      <c r="B4" s="180" t="s">
        <v>5</v>
      </c>
      <c r="C4" s="195" t="s">
        <v>113</v>
      </c>
      <c r="D4" s="195"/>
      <c r="E4" s="185" t="s">
        <v>121</v>
      </c>
      <c r="F4" s="180" t="s">
        <v>130</v>
      </c>
      <c r="G4" s="180" t="s">
        <v>139</v>
      </c>
    </row>
    <row r="5" spans="1:7" s="62" customFormat="1" ht="13.5" customHeight="1">
      <c r="A5" s="60"/>
      <c r="B5" s="181" t="s">
        <v>6</v>
      </c>
      <c r="C5" s="61" t="s">
        <v>7</v>
      </c>
      <c r="D5" s="61" t="s">
        <v>12</v>
      </c>
      <c r="E5" s="186" t="s">
        <v>8</v>
      </c>
      <c r="F5" s="181" t="s">
        <v>10</v>
      </c>
      <c r="G5" s="181" t="s">
        <v>10</v>
      </c>
    </row>
    <row r="6" spans="1:7" ht="12.75" customHeight="1">
      <c r="A6" s="104" t="s">
        <v>71</v>
      </c>
      <c r="B6" s="70">
        <v>5963.7</v>
      </c>
      <c r="C6" s="70">
        <v>6164</v>
      </c>
      <c r="D6" s="70">
        <v>6155.7079999999996</v>
      </c>
      <c r="E6" s="71">
        <v>6559.6390000000001</v>
      </c>
      <c r="F6" s="75">
        <v>7033.12</v>
      </c>
      <c r="G6" s="75">
        <v>7456.2129999999997</v>
      </c>
    </row>
    <row r="7" spans="1:7" ht="12.75" customHeight="1">
      <c r="A7" s="104" t="s">
        <v>72</v>
      </c>
      <c r="B7" s="70">
        <v>1907.9</v>
      </c>
      <c r="C7" s="70">
        <v>2001.2360000000001</v>
      </c>
      <c r="D7" s="70">
        <v>1993.078</v>
      </c>
      <c r="E7" s="71">
        <v>2089.1219999999998</v>
      </c>
      <c r="F7" s="75">
        <v>2197.252</v>
      </c>
      <c r="G7" s="75">
        <v>2285.0619999999999</v>
      </c>
    </row>
    <row r="8" spans="1:7" ht="12.75" customHeight="1">
      <c r="A8" s="104" t="s">
        <v>73</v>
      </c>
      <c r="B8" s="70">
        <v>608.4</v>
      </c>
      <c r="C8" s="70">
        <v>633.33399999999995</v>
      </c>
      <c r="D8" s="70">
        <v>668.19</v>
      </c>
      <c r="E8" s="71">
        <v>692.92100000000005</v>
      </c>
      <c r="F8" s="75">
        <v>704.08299999999986</v>
      </c>
      <c r="G8" s="75">
        <v>714.58399999999983</v>
      </c>
    </row>
    <row r="9" spans="1:7" ht="12.75" customHeight="1">
      <c r="A9" s="104" t="s">
        <v>75</v>
      </c>
      <c r="B9" s="70">
        <v>714.8</v>
      </c>
      <c r="C9" s="70">
        <v>839.98099999999999</v>
      </c>
      <c r="D9" s="70">
        <v>874.54900000000032</v>
      </c>
      <c r="E9" s="71">
        <v>807.48300000000017</v>
      </c>
      <c r="F9" s="75">
        <v>980.83899999999994</v>
      </c>
      <c r="G9" s="75">
        <v>981.38400000000001</v>
      </c>
    </row>
    <row r="10" spans="1:7" ht="12.75" customHeight="1">
      <c r="A10" s="104" t="s">
        <v>74</v>
      </c>
      <c r="B10" s="70">
        <v>615</v>
      </c>
      <c r="C10" s="70">
        <v>536.65899999999999</v>
      </c>
      <c r="D10" s="70">
        <v>577.65599999999995</v>
      </c>
      <c r="E10" s="71">
        <v>551.928</v>
      </c>
      <c r="F10" s="75">
        <v>594.67499999999995</v>
      </c>
      <c r="G10" s="75">
        <v>627.89400000000001</v>
      </c>
    </row>
    <row r="11" spans="1:7" ht="12.75" customHeight="1">
      <c r="A11" s="104" t="s">
        <v>76</v>
      </c>
      <c r="B11" s="70">
        <v>322</v>
      </c>
      <c r="C11" s="70">
        <v>321.70599999999996</v>
      </c>
      <c r="D11" s="70">
        <v>257.09899999999999</v>
      </c>
      <c r="E11" s="71">
        <v>257.48399999999998</v>
      </c>
      <c r="F11" s="75">
        <v>257.48400000000004</v>
      </c>
      <c r="G11" s="75">
        <v>257.48400000000004</v>
      </c>
    </row>
    <row r="12" spans="1:7" ht="12.75" customHeight="1">
      <c r="A12" s="104" t="s">
        <v>127</v>
      </c>
      <c r="B12" s="70">
        <v>880.8</v>
      </c>
      <c r="C12" s="70">
        <v>1139.2</v>
      </c>
      <c r="D12" s="70">
        <v>1251.4940000000001</v>
      </c>
      <c r="E12" s="71">
        <v>1146.598</v>
      </c>
      <c r="F12" s="75">
        <v>1121.0239999999999</v>
      </c>
      <c r="G12" s="75">
        <v>1121.0239999999999</v>
      </c>
    </row>
    <row r="13" spans="1:7" s="88" customFormat="1" ht="12.75" customHeight="1">
      <c r="A13" s="105" t="s">
        <v>77</v>
      </c>
      <c r="B13" s="106">
        <v>1323.3000000000002</v>
      </c>
      <c r="C13" s="70">
        <v>1003.605</v>
      </c>
      <c r="D13" s="70">
        <v>1180.4650000000001</v>
      </c>
      <c r="E13" s="107">
        <v>1182.3240000000001</v>
      </c>
      <c r="F13" s="163">
        <v>864.11900000000003</v>
      </c>
      <c r="G13" s="106">
        <v>784.428</v>
      </c>
    </row>
    <row r="14" spans="1:7" ht="15.75" thickBot="1">
      <c r="A14" s="108" t="s">
        <v>78</v>
      </c>
      <c r="B14" s="109">
        <v>12335.899999999998</v>
      </c>
      <c r="C14" s="109">
        <v>12639.721</v>
      </c>
      <c r="D14" s="109">
        <v>12958.239000000001</v>
      </c>
      <c r="E14" s="110">
        <v>13287.499000000002</v>
      </c>
      <c r="F14" s="114">
        <v>13752.596</v>
      </c>
      <c r="G14" s="114">
        <v>14228.073</v>
      </c>
    </row>
    <row r="15" spans="1:7">
      <c r="A15" s="103"/>
      <c r="B15" s="103"/>
      <c r="C15" s="103"/>
      <c r="D15" s="103"/>
      <c r="E15" s="167"/>
      <c r="F15" s="103"/>
      <c r="G15" s="55"/>
    </row>
    <row r="16" spans="1:7">
      <c r="B16" s="113"/>
      <c r="C16" s="113"/>
      <c r="D16" s="113"/>
    </row>
  </sheetData>
  <mergeCells count="1">
    <mergeCell ref="C4:D4"/>
  </mergeCells>
  <pageMargins left="1" right="2.85" top="0.74803040244969377" bottom="0.74803040244969377" header="0.31496062992125984" footer="0.31496062992125984"/>
  <pageSetup scale="87" orientation="portrait" r:id="rId1"/>
  <headerFooter alignWithMargins="0">
    <oddFooter>&amp;L_x000D_&amp;1#&amp;"Calibri"&amp;11&amp;K000000 Classification: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rgb="FFFFC000"/>
  </sheetPr>
  <dimension ref="A1:K13"/>
  <sheetViews>
    <sheetView showGridLines="0" zoomScale="130" zoomScaleNormal="130" zoomScaleSheetLayoutView="124" workbookViewId="0">
      <selection activeCell="L23" sqref="L23"/>
    </sheetView>
  </sheetViews>
  <sheetFormatPr defaultColWidth="8" defaultRowHeight="15"/>
  <cols>
    <col min="1" max="1" width="17.42578125" style="56" customWidth="1"/>
    <col min="2" max="2" width="7.42578125" style="56" customWidth="1"/>
    <col min="3" max="3" width="6" style="56" customWidth="1"/>
    <col min="4" max="4" width="6" style="56" bestFit="1" customWidth="1"/>
    <col min="5" max="5" width="6.42578125" style="56" bestFit="1" customWidth="1"/>
    <col min="6" max="6" width="6.28515625" style="56" customWidth="1"/>
    <col min="7" max="8" width="6" style="56" bestFit="1" customWidth="1"/>
    <col min="9" max="16384" width="8" style="56"/>
  </cols>
  <sheetData>
    <row r="1" spans="1:11" ht="15.75">
      <c r="A1" s="54" t="s">
        <v>79</v>
      </c>
      <c r="B1" s="54"/>
      <c r="C1" s="103"/>
      <c r="D1" s="103"/>
      <c r="E1" s="103"/>
      <c r="F1" s="103"/>
      <c r="G1" s="103"/>
      <c r="H1" s="55"/>
    </row>
    <row r="2" spans="1:11">
      <c r="A2" s="58" t="s">
        <v>0</v>
      </c>
      <c r="B2" s="58"/>
      <c r="C2" s="103"/>
      <c r="D2" s="103"/>
      <c r="E2" s="103"/>
      <c r="F2" s="103"/>
      <c r="G2" s="103"/>
      <c r="H2" s="55"/>
    </row>
    <row r="3" spans="1:11">
      <c r="A3" s="58"/>
      <c r="B3" s="58"/>
      <c r="C3" s="196" t="s">
        <v>80</v>
      </c>
      <c r="D3" s="196"/>
      <c r="E3" s="196"/>
      <c r="F3" s="196"/>
      <c r="G3" s="196"/>
      <c r="H3" s="196"/>
    </row>
    <row r="4" spans="1:11" ht="13.5" customHeight="1">
      <c r="A4" s="115"/>
      <c r="B4" s="116" t="s">
        <v>81</v>
      </c>
      <c r="C4" s="180" t="s">
        <v>5</v>
      </c>
      <c r="D4" s="195" t="s">
        <v>113</v>
      </c>
      <c r="E4" s="195"/>
      <c r="F4" s="185" t="s">
        <v>121</v>
      </c>
      <c r="G4" s="180" t="s">
        <v>130</v>
      </c>
      <c r="H4" s="180" t="s">
        <v>139</v>
      </c>
    </row>
    <row r="5" spans="1:11" s="62" customFormat="1" ht="13.5" customHeight="1">
      <c r="A5" s="117"/>
      <c r="B5" s="118" t="s">
        <v>140</v>
      </c>
      <c r="C5" s="181" t="s">
        <v>6</v>
      </c>
      <c r="D5" s="61" t="s">
        <v>7</v>
      </c>
      <c r="E5" s="61" t="s">
        <v>12</v>
      </c>
      <c r="F5" s="186" t="s">
        <v>8</v>
      </c>
      <c r="G5" s="181" t="s">
        <v>10</v>
      </c>
      <c r="H5" s="181" t="s">
        <v>10</v>
      </c>
      <c r="I5" s="2"/>
      <c r="J5" s="2"/>
      <c r="K5" s="2"/>
    </row>
    <row r="6" spans="1:11" s="88" customFormat="1" ht="23.25" customHeight="1">
      <c r="A6" s="162" t="s">
        <v>136</v>
      </c>
      <c r="B6" s="148">
        <v>20872</v>
      </c>
      <c r="C6" s="120">
        <v>2064.8000000000002</v>
      </c>
      <c r="D6" s="120">
        <v>1042.0319999999999</v>
      </c>
      <c r="E6" s="120">
        <v>2298.4859999999999</v>
      </c>
      <c r="F6" s="121">
        <v>1128.664</v>
      </c>
      <c r="G6" s="120">
        <v>1372.9860000000001</v>
      </c>
      <c r="H6" s="120">
        <v>1611.739</v>
      </c>
      <c r="I6" s="2"/>
      <c r="J6" s="2"/>
      <c r="K6" s="2"/>
    </row>
    <row r="7" spans="1:11" s="88" customFormat="1" ht="12.75" customHeight="1">
      <c r="A7" s="119" t="s">
        <v>82</v>
      </c>
      <c r="B7" s="148">
        <v>4949</v>
      </c>
      <c r="C7" s="120">
        <v>526.79999999999995</v>
      </c>
      <c r="D7" s="120">
        <v>291.00200000000001</v>
      </c>
      <c r="E7" s="120">
        <v>672.58900000000006</v>
      </c>
      <c r="F7" s="121">
        <v>260.55399999999997</v>
      </c>
      <c r="G7" s="120">
        <v>289.887</v>
      </c>
      <c r="H7" s="120">
        <v>334.334</v>
      </c>
      <c r="I7" s="2"/>
      <c r="J7" s="2"/>
      <c r="K7" s="2"/>
    </row>
    <row r="8" spans="1:11" s="88" customFormat="1" ht="12.75" customHeight="1">
      <c r="A8" s="119" t="s">
        <v>83</v>
      </c>
      <c r="B8" s="148">
        <v>14590</v>
      </c>
      <c r="C8" s="120">
        <v>801.9</v>
      </c>
      <c r="D8" s="120">
        <v>757.69999999999993</v>
      </c>
      <c r="E8" s="120">
        <v>725.17700000000002</v>
      </c>
      <c r="F8" s="121">
        <v>576.81799999999998</v>
      </c>
      <c r="G8" s="120">
        <v>592.28300000000002</v>
      </c>
      <c r="H8" s="120">
        <v>626.423</v>
      </c>
      <c r="I8" s="2"/>
      <c r="J8" s="2"/>
      <c r="K8" s="2"/>
    </row>
    <row r="9" spans="1:11" s="88" customFormat="1" ht="12.75" customHeight="1">
      <c r="A9" s="119" t="s">
        <v>84</v>
      </c>
      <c r="B9" s="148">
        <v>2966</v>
      </c>
      <c r="C9" s="120">
        <v>92.8</v>
      </c>
      <c r="D9" s="120">
        <v>148.34299999999999</v>
      </c>
      <c r="E9" s="120">
        <v>153.77600000000001</v>
      </c>
      <c r="F9" s="121">
        <v>148.71700000000001</v>
      </c>
      <c r="G9" s="120">
        <v>155.11100000000002</v>
      </c>
      <c r="H9" s="120">
        <v>165.71400000000003</v>
      </c>
      <c r="I9" s="2"/>
      <c r="J9" s="2"/>
      <c r="K9" s="2"/>
    </row>
    <row r="10" spans="1:11" s="88" customFormat="1" ht="12.75" customHeight="1">
      <c r="A10" s="122" t="s">
        <v>85</v>
      </c>
      <c r="B10" s="149" t="s">
        <v>67</v>
      </c>
      <c r="C10" s="123">
        <v>365</v>
      </c>
      <c r="D10" s="123">
        <v>431</v>
      </c>
      <c r="E10" s="123">
        <v>534.01900000000001</v>
      </c>
      <c r="F10" s="121">
        <v>459</v>
      </c>
      <c r="G10" s="123">
        <v>441</v>
      </c>
      <c r="H10" s="123">
        <v>448</v>
      </c>
      <c r="I10" s="2"/>
      <c r="J10" s="2"/>
      <c r="K10" s="2"/>
    </row>
    <row r="11" spans="1:11" s="88" customFormat="1" ht="12.75" customHeight="1">
      <c r="A11" s="122" t="s">
        <v>86</v>
      </c>
      <c r="B11" s="157">
        <v>3338</v>
      </c>
      <c r="C11" s="123">
        <v>729.8</v>
      </c>
      <c r="D11" s="120">
        <v>596.67900000000009</v>
      </c>
      <c r="E11" s="120">
        <v>787.41399999999999</v>
      </c>
      <c r="F11" s="121">
        <v>308.33900000000006</v>
      </c>
      <c r="G11" s="120">
        <v>283.57899999999995</v>
      </c>
      <c r="H11" s="120">
        <v>281.03800000000001</v>
      </c>
      <c r="I11" s="2"/>
      <c r="J11" s="2"/>
      <c r="K11" s="2"/>
    </row>
    <row r="12" spans="1:11" ht="13.5" customHeight="1">
      <c r="A12" s="124" t="s">
        <v>87</v>
      </c>
      <c r="B12" s="158">
        <v>46715</v>
      </c>
      <c r="C12" s="125">
        <v>4581.1000000000004</v>
      </c>
      <c r="D12" s="125">
        <v>3266.7559999999999</v>
      </c>
      <c r="E12" s="125">
        <v>5171.4609999999993</v>
      </c>
      <c r="F12" s="126">
        <v>2882.0919999999996</v>
      </c>
      <c r="G12" s="125">
        <v>3134.8459999999995</v>
      </c>
      <c r="H12" s="125">
        <v>3467.248</v>
      </c>
      <c r="I12" s="2"/>
      <c r="J12" s="2"/>
      <c r="K12" s="2"/>
    </row>
    <row r="13" spans="1:11" ht="15" customHeight="1">
      <c r="A13" s="127"/>
      <c r="B13" s="127"/>
      <c r="C13" s="128"/>
      <c r="D13" s="128"/>
      <c r="E13" s="128"/>
      <c r="F13" s="128"/>
      <c r="G13" s="128"/>
      <c r="H13" s="55"/>
      <c r="I13" s="2"/>
      <c r="J13" s="2"/>
      <c r="K13" s="2"/>
    </row>
  </sheetData>
  <mergeCells count="2">
    <mergeCell ref="C3:H3"/>
    <mergeCell ref="D4:E4"/>
  </mergeCells>
  <pageMargins left="1" right="2.85" top="0.74803040244969377" bottom="0.74803040244969377" header="0.31496062992125984" footer="0.31496062992125984"/>
  <pageSetup scale="90" orientation="portrait" r:id="rId1"/>
  <headerFooter alignWithMargins="0">
    <oddFooter>&amp;L_x000D_&amp;1#&amp;"Calibri"&amp;11&amp;K000000 Classification: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rgb="FFFFC000"/>
  </sheetPr>
  <dimension ref="A1:V26"/>
  <sheetViews>
    <sheetView showGridLines="0" zoomScale="140" zoomScaleNormal="140" zoomScaleSheetLayoutView="106" workbookViewId="0">
      <selection activeCell="I21" sqref="I21"/>
    </sheetView>
  </sheetViews>
  <sheetFormatPr defaultColWidth="8" defaultRowHeight="15"/>
  <cols>
    <col min="1" max="1" width="22.28515625" style="56" customWidth="1"/>
    <col min="2" max="7" width="6" style="56" customWidth="1"/>
    <col min="8" max="8" width="8" style="56" customWidth="1"/>
    <col min="9" max="11" width="8" style="56"/>
    <col min="12" max="12" width="2.42578125" style="56" customWidth="1"/>
    <col min="13" max="13" width="8" style="56"/>
    <col min="14" max="14" width="5.42578125" style="56" customWidth="1"/>
    <col min="15" max="15" width="8.42578125" style="56" bestFit="1" customWidth="1"/>
    <col min="16" max="16" width="3.42578125" style="56" customWidth="1"/>
    <col min="17" max="18" width="8" style="56"/>
    <col min="19" max="19" width="3" style="56" customWidth="1"/>
    <col min="20" max="21" width="8" style="57"/>
    <col min="22" max="16384" width="8" style="56"/>
  </cols>
  <sheetData>
    <row r="1" spans="1:22" ht="15.75">
      <c r="A1" s="54" t="s">
        <v>88</v>
      </c>
      <c r="B1" s="103"/>
      <c r="C1" s="103"/>
      <c r="D1" s="103"/>
      <c r="E1" s="103"/>
      <c r="F1" s="103"/>
      <c r="G1" s="55"/>
      <c r="H1" s="159"/>
    </row>
    <row r="2" spans="1:22">
      <c r="A2" s="58" t="s">
        <v>0</v>
      </c>
      <c r="B2" s="59"/>
      <c r="C2" s="59"/>
      <c r="D2" s="59"/>
      <c r="E2" s="59"/>
      <c r="F2" s="59"/>
      <c r="G2" s="55"/>
    </row>
    <row r="3" spans="1:22">
      <c r="A3" s="58"/>
      <c r="B3" s="59"/>
      <c r="C3" s="59"/>
      <c r="D3" s="59"/>
      <c r="E3" s="59"/>
      <c r="F3" s="59"/>
      <c r="G3" s="55"/>
    </row>
    <row r="4" spans="1:22" ht="13.5" customHeight="1">
      <c r="A4" s="59"/>
      <c r="B4" s="180" t="s">
        <v>5</v>
      </c>
      <c r="C4" s="195" t="s">
        <v>113</v>
      </c>
      <c r="D4" s="195"/>
      <c r="E4" s="185" t="s">
        <v>121</v>
      </c>
      <c r="F4" s="180" t="s">
        <v>130</v>
      </c>
      <c r="G4" s="180" t="s">
        <v>139</v>
      </c>
    </row>
    <row r="5" spans="1:22" s="62" customFormat="1" ht="13.5" customHeight="1">
      <c r="A5" s="60"/>
      <c r="B5" s="181" t="s">
        <v>6</v>
      </c>
      <c r="C5" s="61" t="s">
        <v>7</v>
      </c>
      <c r="D5" s="61" t="s">
        <v>12</v>
      </c>
      <c r="E5" s="186" t="s">
        <v>8</v>
      </c>
      <c r="F5" s="181" t="s">
        <v>10</v>
      </c>
      <c r="G5" s="181" t="s">
        <v>10</v>
      </c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7"/>
      <c r="U5" s="57"/>
      <c r="V5" s="56"/>
    </row>
    <row r="6" spans="1:22" ht="12.75" customHeight="1">
      <c r="A6" s="59" t="s">
        <v>89</v>
      </c>
      <c r="B6" s="70">
        <v>1568.8</v>
      </c>
      <c r="C6" s="70">
        <v>1486.8800000000006</v>
      </c>
      <c r="D6" s="70">
        <v>1517.6709999999998</v>
      </c>
      <c r="E6" s="71">
        <v>1539.67</v>
      </c>
      <c r="F6" s="75">
        <v>1577.2620000000006</v>
      </c>
      <c r="G6" s="75">
        <v>1620.9680000000005</v>
      </c>
      <c r="H6" s="112"/>
    </row>
    <row r="7" spans="1:22" ht="12.75" customHeight="1">
      <c r="A7" s="59" t="s">
        <v>90</v>
      </c>
      <c r="B7" s="70">
        <v>790.6</v>
      </c>
      <c r="C7" s="70">
        <v>807.7</v>
      </c>
      <c r="D7" s="70">
        <v>777.92800000000011</v>
      </c>
      <c r="E7" s="71">
        <v>783.42000000000007</v>
      </c>
      <c r="F7" s="75">
        <v>769.75</v>
      </c>
      <c r="G7" s="75">
        <v>760.91799999999989</v>
      </c>
    </row>
    <row r="8" spans="1:22" ht="12.75" customHeight="1">
      <c r="A8" s="59" t="s">
        <v>91</v>
      </c>
      <c r="B8" s="70">
        <v>10.8</v>
      </c>
      <c r="C8" s="70">
        <v>7.2</v>
      </c>
      <c r="D8" s="70">
        <v>8.7110000000000003</v>
      </c>
      <c r="E8" s="71">
        <v>9.0380000000000003</v>
      </c>
      <c r="F8" s="75">
        <v>13.532000000000007</v>
      </c>
      <c r="G8" s="75">
        <v>25.404000000000003</v>
      </c>
      <c r="M8" s="178"/>
      <c r="N8" s="178"/>
    </row>
    <row r="9" spans="1:22" ht="12.75" customHeight="1">
      <c r="A9" s="59" t="s">
        <v>92</v>
      </c>
      <c r="B9" s="70">
        <v>336.8</v>
      </c>
      <c r="C9" s="70">
        <v>265.94600000000003</v>
      </c>
      <c r="D9" s="70">
        <v>284.83399999999995</v>
      </c>
      <c r="E9" s="71">
        <v>284.94899999999984</v>
      </c>
      <c r="F9" s="75">
        <v>352.59999999999985</v>
      </c>
      <c r="G9" s="75">
        <v>409.59600000000023</v>
      </c>
    </row>
    <row r="10" spans="1:22" ht="12.75" customHeight="1">
      <c r="A10" s="59" t="s">
        <v>93</v>
      </c>
      <c r="B10" s="70">
        <v>160</v>
      </c>
      <c r="C10" s="70">
        <v>64.510000000000005</v>
      </c>
      <c r="D10" s="70">
        <v>61.32399999999997</v>
      </c>
      <c r="E10" s="71">
        <v>57.39</v>
      </c>
      <c r="F10" s="75">
        <v>53.130999999999993</v>
      </c>
      <c r="G10" s="75">
        <v>56.126999999999981</v>
      </c>
    </row>
    <row r="11" spans="1:22" ht="24.95" customHeight="1">
      <c r="A11" s="190" t="s">
        <v>148</v>
      </c>
      <c r="B11" s="70">
        <v>-1630.3</v>
      </c>
      <c r="C11" s="70">
        <v>-509.31900000000002</v>
      </c>
      <c r="D11" s="70">
        <v>-586.08600000000001</v>
      </c>
      <c r="E11" s="71">
        <v>-658.73099999999999</v>
      </c>
      <c r="F11" s="75">
        <v>-260.45600000000002</v>
      </c>
      <c r="G11" s="75">
        <v>-305.50200000000001</v>
      </c>
      <c r="I11" s="159"/>
    </row>
    <row r="12" spans="1:22" ht="12" customHeight="1">
      <c r="A12" s="59" t="s">
        <v>94</v>
      </c>
      <c r="B12" s="70">
        <v>1835.5</v>
      </c>
      <c r="C12" s="70">
        <v>1998.9649999999999</v>
      </c>
      <c r="D12" s="70">
        <v>2153.6410000000001</v>
      </c>
      <c r="E12" s="71">
        <v>2133.3119999999999</v>
      </c>
      <c r="F12" s="75">
        <v>2214.1600000000003</v>
      </c>
      <c r="G12" s="75">
        <v>2260.0500000000002</v>
      </c>
      <c r="T12" s="56"/>
    </row>
    <row r="13" spans="1:22" ht="12.75" customHeight="1">
      <c r="A13" s="59" t="s">
        <v>95</v>
      </c>
      <c r="B13" s="70">
        <v>817.6</v>
      </c>
      <c r="C13" s="70">
        <v>845.39199999999994</v>
      </c>
      <c r="D13" s="70">
        <v>905.57100000000003</v>
      </c>
      <c r="E13" s="71">
        <v>911.58199999999988</v>
      </c>
      <c r="F13" s="75">
        <v>936.74300000000005</v>
      </c>
      <c r="G13" s="75">
        <v>961.41100000000006</v>
      </c>
      <c r="I13" s="88"/>
    </row>
    <row r="14" spans="1:22" ht="12.75" customHeight="1">
      <c r="A14" s="59" t="s">
        <v>137</v>
      </c>
      <c r="B14" s="70">
        <v>2911.8</v>
      </c>
      <c r="C14" s="70">
        <v>2539.096</v>
      </c>
      <c r="D14" s="70">
        <v>2505.5590000000002</v>
      </c>
      <c r="E14" s="71">
        <v>2590.846</v>
      </c>
      <c r="F14" s="75">
        <v>2722.6239999999998</v>
      </c>
      <c r="G14" s="75">
        <v>2810.4279999999999</v>
      </c>
    </row>
    <row r="15" spans="1:22" ht="12.75" customHeight="1">
      <c r="A15" s="59" t="s">
        <v>96</v>
      </c>
      <c r="B15" s="70">
        <v>1123</v>
      </c>
      <c r="C15" s="70">
        <v>946.7</v>
      </c>
      <c r="D15" s="70">
        <v>1024.3179999999998</v>
      </c>
      <c r="E15" s="71">
        <v>1277.0360000000001</v>
      </c>
      <c r="F15" s="75">
        <v>1309.7559999999999</v>
      </c>
      <c r="G15" s="75">
        <v>1374.462</v>
      </c>
    </row>
    <row r="16" spans="1:22" ht="12.75" customHeight="1">
      <c r="A16" s="59" t="s">
        <v>97</v>
      </c>
      <c r="B16" s="70">
        <v>788.30000000000007</v>
      </c>
      <c r="C16" s="70">
        <v>783.69399999999996</v>
      </c>
      <c r="D16" s="70">
        <v>848.35699999999997</v>
      </c>
      <c r="E16" s="71">
        <v>821.10899999999992</v>
      </c>
      <c r="F16" s="75">
        <v>865.97800000000007</v>
      </c>
      <c r="G16" s="75">
        <v>881.9</v>
      </c>
    </row>
    <row r="17" spans="1:22" ht="12.75" customHeight="1">
      <c r="A17" s="59" t="s">
        <v>98</v>
      </c>
      <c r="B17" s="70">
        <v>907</v>
      </c>
      <c r="C17" s="70">
        <v>539</v>
      </c>
      <c r="D17" s="70">
        <v>264.75000000000011</v>
      </c>
      <c r="E17" s="71">
        <v>409</v>
      </c>
      <c r="F17" s="75">
        <v>271</v>
      </c>
      <c r="G17" s="75">
        <v>313</v>
      </c>
    </row>
    <row r="18" spans="1:22" ht="12.75" customHeight="1">
      <c r="A18" s="59" t="s">
        <v>69</v>
      </c>
      <c r="B18" s="70">
        <v>2160.9</v>
      </c>
      <c r="C18" s="70">
        <v>1894.673</v>
      </c>
      <c r="D18" s="70">
        <v>1820.6059999999989</v>
      </c>
      <c r="E18" s="71">
        <v>1904.992</v>
      </c>
      <c r="F18" s="75">
        <v>1906.067</v>
      </c>
      <c r="G18" s="75">
        <v>1899.8789999999999</v>
      </c>
    </row>
    <row r="19" spans="1:22" s="88" customFormat="1" ht="24.95" customHeight="1" thickBot="1">
      <c r="A19" s="189" t="s">
        <v>147</v>
      </c>
      <c r="B19" s="109">
        <v>11780.8</v>
      </c>
      <c r="C19" s="109">
        <v>11670.437000000007</v>
      </c>
      <c r="D19" s="109">
        <v>11587.183999999997</v>
      </c>
      <c r="E19" s="110">
        <v>12063.612999999999</v>
      </c>
      <c r="F19" s="114">
        <v>12732.147000000001</v>
      </c>
      <c r="G19" s="114">
        <v>13068.641</v>
      </c>
      <c r="I19" s="56"/>
      <c r="J19" s="56"/>
      <c r="K19" s="56"/>
      <c r="L19" s="56"/>
      <c r="M19" s="56"/>
      <c r="N19" s="129"/>
      <c r="O19" s="129"/>
      <c r="P19" s="56"/>
      <c r="Q19" s="56"/>
      <c r="R19" s="56"/>
      <c r="S19" s="56"/>
      <c r="T19" s="57"/>
      <c r="U19" s="57"/>
      <c r="V19" s="56"/>
    </row>
    <row r="20" spans="1:22">
      <c r="A20" s="59"/>
      <c r="B20" s="59"/>
      <c r="C20" s="59"/>
      <c r="D20" s="59"/>
      <c r="E20" s="59"/>
      <c r="F20" s="59"/>
      <c r="G20" s="55"/>
      <c r="M20" s="179"/>
      <c r="N20" s="179"/>
      <c r="O20" s="179"/>
    </row>
    <row r="26" spans="1:22">
      <c r="B26" s="129"/>
      <c r="C26" s="129"/>
      <c r="D26" s="129"/>
      <c r="E26" s="129"/>
      <c r="F26" s="129"/>
      <c r="G26" s="129"/>
    </row>
  </sheetData>
  <mergeCells count="1">
    <mergeCell ref="C4:D4"/>
  </mergeCells>
  <pageMargins left="1" right="2.85" top="0.74803040244969377" bottom="0.74803040244969377" header="0.31496062992125984" footer="0.31496062992125984"/>
  <pageSetup scale="97" orientation="portrait" r:id="rId1"/>
  <headerFooter alignWithMargins="0">
    <oddFooter>&amp;L_x000D_&amp;1#&amp;"Calibri"&amp;11&amp;K000000 Classification: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tabColor rgb="FFFFC000"/>
  </sheetPr>
  <dimension ref="A1:N15"/>
  <sheetViews>
    <sheetView showGridLines="0" zoomScale="110" zoomScaleNormal="110" zoomScaleSheetLayoutView="112" workbookViewId="0">
      <selection activeCell="N27" sqref="N27"/>
    </sheetView>
  </sheetViews>
  <sheetFormatPr defaultColWidth="8" defaultRowHeight="12.75"/>
  <cols>
    <col min="1" max="1" width="26.42578125" style="131" customWidth="1"/>
    <col min="2" max="2" width="14.42578125" style="131" customWidth="1"/>
    <col min="3" max="3" width="16.7109375" style="131" customWidth="1"/>
    <col min="4" max="4" width="6.42578125" style="131" customWidth="1"/>
    <col min="5" max="16384" width="8" style="131"/>
  </cols>
  <sheetData>
    <row r="1" spans="1:14" ht="19.5">
      <c r="A1" s="197" t="s">
        <v>143</v>
      </c>
      <c r="B1" s="197"/>
      <c r="C1" s="197"/>
      <c r="D1" s="130"/>
    </row>
    <row r="2" spans="1:14">
      <c r="A2" s="132" t="s">
        <v>0</v>
      </c>
      <c r="B2" s="132"/>
      <c r="C2" s="132"/>
      <c r="D2" s="132"/>
      <c r="E2" s="133"/>
      <c r="F2" s="133"/>
      <c r="G2" s="133"/>
    </row>
    <row r="3" spans="1:14" ht="4.5" customHeight="1">
      <c r="A3" s="132"/>
      <c r="B3" s="134"/>
      <c r="C3" s="134"/>
      <c r="D3" s="134"/>
      <c r="E3" s="133"/>
      <c r="F3" s="133"/>
      <c r="G3" s="133"/>
    </row>
    <row r="4" spans="1:14" ht="16.5" customHeight="1">
      <c r="A4" s="135"/>
      <c r="B4" s="136" t="s">
        <v>99</v>
      </c>
      <c r="C4" s="137" t="s">
        <v>100</v>
      </c>
      <c r="D4" s="138"/>
      <c r="E4" s="133"/>
      <c r="F4" s="133"/>
      <c r="G4" s="133"/>
    </row>
    <row r="5" spans="1:14" ht="14.25" customHeight="1">
      <c r="A5" s="132" t="s">
        <v>101</v>
      </c>
      <c r="B5" s="139" t="s">
        <v>102</v>
      </c>
      <c r="C5" s="140">
        <v>-750</v>
      </c>
      <c r="D5" s="141"/>
      <c r="E5" s="132"/>
      <c r="F5" s="133"/>
      <c r="G5" s="133"/>
      <c r="H5" s="2"/>
      <c r="I5" s="2"/>
      <c r="J5" s="2"/>
      <c r="N5" s="142"/>
    </row>
    <row r="6" spans="1:14" ht="14.25" customHeight="1">
      <c r="A6" s="133" t="s">
        <v>103</v>
      </c>
      <c r="B6" s="139" t="s">
        <v>104</v>
      </c>
      <c r="C6" s="140">
        <v>-740</v>
      </c>
      <c r="D6" s="141"/>
      <c r="E6" s="132"/>
      <c r="F6" s="133"/>
      <c r="G6" s="133"/>
      <c r="H6" s="2"/>
      <c r="I6" s="2"/>
      <c r="J6" s="2"/>
      <c r="N6" s="142"/>
    </row>
    <row r="7" spans="1:14" ht="14.25" customHeight="1">
      <c r="A7" s="132" t="s">
        <v>105</v>
      </c>
      <c r="B7" s="139" t="s">
        <v>106</v>
      </c>
      <c r="C7" s="140">
        <v>-5</v>
      </c>
      <c r="D7" s="141"/>
      <c r="E7" s="132"/>
      <c r="F7" s="141"/>
      <c r="G7" s="133"/>
      <c r="H7" s="2"/>
      <c r="I7" s="2"/>
      <c r="J7" s="2"/>
      <c r="N7" s="142"/>
    </row>
    <row r="8" spans="1:14" ht="14.25" customHeight="1">
      <c r="A8" s="133" t="s">
        <v>107</v>
      </c>
      <c r="B8" s="139" t="s">
        <v>108</v>
      </c>
      <c r="C8" s="140">
        <v>-560</v>
      </c>
      <c r="D8" s="141"/>
      <c r="E8" s="132"/>
      <c r="F8" s="141"/>
      <c r="G8" s="133"/>
      <c r="H8" s="2"/>
      <c r="I8" s="2"/>
      <c r="J8" s="2"/>
      <c r="N8" s="142"/>
    </row>
    <row r="9" spans="1:14" ht="14.25" customHeight="1">
      <c r="A9" s="133" t="s">
        <v>109</v>
      </c>
      <c r="B9" s="139" t="s">
        <v>110</v>
      </c>
      <c r="C9" s="141">
        <v>-277</v>
      </c>
      <c r="D9" s="141"/>
      <c r="E9" s="132"/>
      <c r="F9" s="141"/>
      <c r="G9" s="133"/>
      <c r="H9" s="2"/>
      <c r="I9" s="2"/>
      <c r="J9" s="2"/>
      <c r="N9" s="142"/>
    </row>
    <row r="10" spans="1:14" ht="14.25" customHeight="1">
      <c r="A10" s="143" t="s">
        <v>111</v>
      </c>
      <c r="B10" s="144" t="s">
        <v>112</v>
      </c>
      <c r="C10" s="145">
        <v>-200</v>
      </c>
      <c r="D10" s="146"/>
      <c r="E10" s="133"/>
      <c r="F10" s="141"/>
      <c r="G10" s="133"/>
      <c r="H10" s="2"/>
      <c r="I10" s="2"/>
      <c r="J10" s="2"/>
      <c r="N10" s="142"/>
    </row>
    <row r="11" spans="1:14" ht="10.5" customHeight="1">
      <c r="A11" s="133"/>
      <c r="B11" s="133"/>
      <c r="C11" s="133"/>
      <c r="D11" s="132"/>
      <c r="E11" s="133"/>
      <c r="F11" s="133"/>
      <c r="G11" s="133"/>
      <c r="H11" s="2"/>
      <c r="I11" s="2"/>
      <c r="J11" s="2"/>
    </row>
    <row r="12" spans="1:14">
      <c r="A12" s="147"/>
      <c r="B12" s="133"/>
      <c r="C12" s="133"/>
      <c r="D12" s="133"/>
      <c r="E12" s="133"/>
      <c r="F12" s="133"/>
      <c r="G12" s="133"/>
    </row>
    <row r="13" spans="1:14" ht="9.75" customHeight="1">
      <c r="A13" s="133"/>
      <c r="B13" s="133"/>
      <c r="C13" s="141"/>
      <c r="D13" s="133"/>
      <c r="E13" s="133"/>
      <c r="F13" s="133"/>
      <c r="G13" s="133"/>
    </row>
    <row r="14" spans="1:14">
      <c r="A14" s="133"/>
      <c r="B14" s="133"/>
      <c r="C14" s="133"/>
      <c r="D14" s="133"/>
      <c r="E14" s="133"/>
      <c r="F14" s="133"/>
      <c r="G14" s="133"/>
    </row>
    <row r="15" spans="1:14">
      <c r="A15" s="133"/>
      <c r="B15" s="133"/>
      <c r="C15" s="133"/>
      <c r="D15" s="133"/>
      <c r="E15" s="133"/>
      <c r="F15" s="133"/>
      <c r="G15" s="133"/>
    </row>
  </sheetData>
  <mergeCells count="1">
    <mergeCell ref="A1:C1"/>
  </mergeCells>
  <pageMargins left="1" right="2.25" top="0.75" bottom="0.75" header="0.3" footer="0.3"/>
  <pageSetup orientation="portrait" r:id="rId1"/>
  <headerFooter alignWithMargins="0">
    <oddFooter>&amp;L_x000D_&amp;1#&amp;"Calibri"&amp;11&amp;K000000 Classification: Public</oddFooter>
  </headerFooter>
  <ignoredErrors>
    <ignoredError sqref="B5:B6 B9:B1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tabColor theme="2" tint="-9.9978637043366805E-2"/>
  </sheetPr>
  <dimension ref="A1"/>
  <sheetViews>
    <sheetView view="pageLayout" zoomScaleNormal="100" workbookViewId="0">
      <selection activeCell="D22" sqref="D22"/>
    </sheetView>
  </sheetViews>
  <sheetFormatPr defaultColWidth="9.42578125" defaultRowHeight="11.25"/>
  <cols>
    <col min="1" max="16384" width="9.42578125" style="2"/>
  </cols>
  <sheetData/>
  <pageMargins left="2" right="1.8" top="1.36" bottom="1" header="0.5" footer="0.5"/>
  <pageSetup orientation="portrait" r:id="rId1"/>
  <headerFooter alignWithMargins="0">
    <oddHeader>&amp;LPdf name: &amp;RBudget 2018
Revenue section</oddHeader>
    <oddFooter>&amp;L&amp;"Calibri"&amp;11&amp;K000000&amp;8&amp;Z
&amp;F_x000D_&amp;1#&amp;"Calibri"&amp;11&amp;K000000 Classification: Public&amp;R&amp;8&amp;D 
&amp;T&amp;L&amp;"Calibri"&amp;11&amp;K000000&amp;8&amp;Z
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tabColor rgb="FFFFFF00"/>
    <pageSetUpPr fitToPage="1"/>
  </sheetPr>
  <dimension ref="A1:S42"/>
  <sheetViews>
    <sheetView showGridLines="0" zoomScaleNormal="100" workbookViewId="0">
      <selection activeCell="H42" sqref="H42"/>
    </sheetView>
  </sheetViews>
  <sheetFormatPr defaultColWidth="9.42578125" defaultRowHeight="11.25"/>
  <cols>
    <col min="1" max="1" width="25.42578125" style="2" customWidth="1"/>
    <col min="2" max="6" width="7.42578125" style="2" customWidth="1"/>
    <col min="7" max="8" width="9.42578125" style="2" customWidth="1"/>
    <col min="9" max="13" width="9.42578125" style="2"/>
    <col min="14" max="14" width="18.42578125" style="2" bestFit="1" customWidth="1"/>
    <col min="15" max="16384" width="9.42578125" style="2"/>
  </cols>
  <sheetData>
    <row r="1" spans="1:19" ht="15.75" customHeight="1">
      <c r="A1" s="21" t="s">
        <v>131</v>
      </c>
    </row>
    <row r="2" spans="1:19" ht="14.25" customHeight="1">
      <c r="A2" s="22" t="s">
        <v>0</v>
      </c>
      <c r="I2" s="19"/>
    </row>
    <row r="3" spans="1:19" ht="13.5" customHeight="1">
      <c r="B3" s="23" t="s">
        <v>7</v>
      </c>
      <c r="C3" s="23" t="s">
        <v>5</v>
      </c>
      <c r="D3" s="24" t="s">
        <v>7</v>
      </c>
      <c r="E3" s="5" t="s">
        <v>24</v>
      </c>
      <c r="F3" s="5" t="s">
        <v>24</v>
      </c>
      <c r="O3" s="23" t="s">
        <v>7</v>
      </c>
      <c r="P3" s="23" t="s">
        <v>4</v>
      </c>
      <c r="Q3" s="24" t="s">
        <v>7</v>
      </c>
      <c r="R3" s="5" t="s">
        <v>24</v>
      </c>
      <c r="S3" s="5" t="s">
        <v>24</v>
      </c>
    </row>
    <row r="4" spans="1:19" s="9" customFormat="1" ht="13.5" customHeight="1">
      <c r="A4" s="25" t="s">
        <v>25</v>
      </c>
      <c r="B4" s="26">
        <v>2023</v>
      </c>
      <c r="C4" s="26" t="s">
        <v>9</v>
      </c>
      <c r="D4" s="27">
        <v>2024</v>
      </c>
      <c r="E4" s="26" t="s">
        <v>132</v>
      </c>
      <c r="F4" s="26" t="s">
        <v>9</v>
      </c>
      <c r="G4" s="28"/>
      <c r="H4" s="28"/>
      <c r="I4" s="2"/>
      <c r="J4" s="2"/>
      <c r="K4" s="2"/>
      <c r="L4" s="2"/>
      <c r="M4" s="2"/>
      <c r="N4" s="25" t="s">
        <v>25</v>
      </c>
      <c r="O4" s="26">
        <v>2022</v>
      </c>
      <c r="P4" s="26" t="s">
        <v>9</v>
      </c>
      <c r="Q4" s="27">
        <v>2023</v>
      </c>
      <c r="R4" s="26" t="s">
        <v>122</v>
      </c>
      <c r="S4" s="26" t="s">
        <v>9</v>
      </c>
    </row>
    <row r="5" spans="1:19" s="9" customFormat="1" ht="3.75" customHeight="1">
      <c r="A5" s="29"/>
      <c r="B5" s="30"/>
      <c r="C5" s="30"/>
      <c r="D5" s="31"/>
      <c r="E5" s="30"/>
      <c r="F5" s="30"/>
      <c r="G5" s="28"/>
      <c r="H5" s="28"/>
      <c r="I5" s="2"/>
      <c r="J5" s="2"/>
      <c r="K5" s="2"/>
      <c r="L5" s="2"/>
      <c r="M5" s="2"/>
      <c r="N5" s="29"/>
      <c r="O5" s="30"/>
      <c r="P5" s="30"/>
      <c r="Q5" s="31"/>
      <c r="R5" s="30"/>
      <c r="S5" s="30"/>
    </row>
    <row r="6" spans="1:19" ht="12.75" customHeight="1">
      <c r="A6" s="32" t="s">
        <v>114</v>
      </c>
      <c r="B6" s="33"/>
      <c r="C6" s="34"/>
      <c r="D6" s="35"/>
      <c r="E6" s="33"/>
      <c r="F6" s="33"/>
      <c r="G6" s="20"/>
      <c r="H6" s="20"/>
      <c r="N6" s="32" t="s">
        <v>31</v>
      </c>
      <c r="O6" s="33"/>
      <c r="P6" s="34"/>
      <c r="Q6" s="35"/>
      <c r="R6" s="33"/>
      <c r="S6" s="33"/>
    </row>
    <row r="7" spans="1:19" ht="12.75" customHeight="1">
      <c r="A7" s="36" t="s">
        <v>13</v>
      </c>
      <c r="B7" s="37">
        <v>14069</v>
      </c>
      <c r="C7" s="37">
        <v>15014</v>
      </c>
      <c r="D7" s="38">
        <f>'Tb 1 Total Revenue'!D5</f>
        <v>16119.993</v>
      </c>
      <c r="E7" s="3">
        <f>D7-B7</f>
        <v>2050.9930000000004</v>
      </c>
      <c r="F7" s="3">
        <f>D7-C7</f>
        <v>1105.9930000000004</v>
      </c>
      <c r="G7" s="20"/>
      <c r="H7" s="20"/>
      <c r="N7" s="36"/>
      <c r="O7" s="37"/>
      <c r="P7" s="37"/>
      <c r="Q7" s="11"/>
      <c r="R7" s="3"/>
      <c r="S7" s="3"/>
    </row>
    <row r="8" spans="1:19" ht="12.75" customHeight="1">
      <c r="A8" s="36" t="s">
        <v>14</v>
      </c>
      <c r="B8" s="37">
        <v>5911</v>
      </c>
      <c r="C8" s="37">
        <v>6800</v>
      </c>
      <c r="D8" s="38">
        <f>'Tb 1 Total Revenue'!D6</f>
        <v>7350.6490000000003</v>
      </c>
      <c r="E8" s="3">
        <f t="shared" ref="E8:E13" si="0">D8-B8</f>
        <v>1439.6490000000003</v>
      </c>
      <c r="F8" s="3">
        <f t="shared" ref="F8:F13" si="1">D8-C8</f>
        <v>550.64900000000034</v>
      </c>
      <c r="G8" s="20"/>
      <c r="H8" s="20"/>
      <c r="N8" s="152" t="s">
        <v>116</v>
      </c>
      <c r="O8" s="37">
        <v>2435</v>
      </c>
      <c r="P8" s="37">
        <v>2475</v>
      </c>
      <c r="Q8" s="11">
        <f>'Tb 1 Total Revenue'!D12</f>
        <v>2064.3819999999996</v>
      </c>
      <c r="R8" s="3">
        <f t="shared" ref="R8:R10" si="2">Q8-O8</f>
        <v>-370.61800000000039</v>
      </c>
      <c r="S8" s="3">
        <f t="shared" ref="S8:S10" si="3">Q8-P8</f>
        <v>-410.61800000000039</v>
      </c>
    </row>
    <row r="9" spans="1:19" ht="12.75" customHeight="1">
      <c r="A9" s="36" t="s">
        <v>26</v>
      </c>
      <c r="B9" s="37">
        <v>5012</v>
      </c>
      <c r="C9" s="37">
        <v>4484</v>
      </c>
      <c r="D9" s="11">
        <f>'Tb 1 Total Revenue'!D7</f>
        <v>5994.9409999999998</v>
      </c>
      <c r="E9" s="3">
        <f t="shared" si="0"/>
        <v>982.9409999999998</v>
      </c>
      <c r="F9" s="3">
        <f t="shared" si="1"/>
        <v>1510.9409999999998</v>
      </c>
      <c r="G9" s="20"/>
      <c r="H9" s="20"/>
      <c r="N9" s="152" t="s">
        <v>117</v>
      </c>
      <c r="O9" s="37">
        <v>4490</v>
      </c>
      <c r="P9" s="37">
        <v>4756</v>
      </c>
      <c r="Q9" s="11">
        <f>'Tb 1 Total Revenue'!D13</f>
        <v>5564.7710000000006</v>
      </c>
      <c r="R9" s="3">
        <f t="shared" si="2"/>
        <v>1074.7710000000006</v>
      </c>
      <c r="S9" s="3">
        <f t="shared" si="3"/>
        <v>808.77100000000064</v>
      </c>
    </row>
    <row r="10" spans="1:19" ht="12.75" customHeight="1">
      <c r="A10" s="36" t="s">
        <v>27</v>
      </c>
      <c r="B10" s="37">
        <v>18361</v>
      </c>
      <c r="C10" s="37">
        <v>19667</v>
      </c>
      <c r="D10" s="11">
        <f>'Tb 1 Total Revenue'!D8+'Tb 1 Total Revenue'!D9</f>
        <v>21509.101999999999</v>
      </c>
      <c r="E10" s="3">
        <f t="shared" si="0"/>
        <v>3148.101999999999</v>
      </c>
      <c r="F10" s="3">
        <f t="shared" si="1"/>
        <v>1842.101999999999</v>
      </c>
      <c r="G10" s="20"/>
      <c r="H10" s="20"/>
      <c r="N10" s="152" t="s">
        <v>118</v>
      </c>
      <c r="O10" s="39">
        <v>3581</v>
      </c>
      <c r="P10" s="39">
        <v>3693</v>
      </c>
      <c r="Q10" s="14">
        <f>'Tb 1 Total Revenue'!D14</f>
        <v>3958.0309999999986</v>
      </c>
      <c r="R10" s="3">
        <f t="shared" si="2"/>
        <v>377.03099999999858</v>
      </c>
      <c r="S10" s="3">
        <f t="shared" si="3"/>
        <v>265.03099999999858</v>
      </c>
    </row>
    <row r="11" spans="1:19" ht="12.75" customHeight="1">
      <c r="A11" s="36" t="s">
        <v>28</v>
      </c>
      <c r="B11" s="37">
        <v>12552</v>
      </c>
      <c r="C11" s="37">
        <v>12738</v>
      </c>
      <c r="D11" s="11">
        <f>'Tb 1 Total Revenue'!D10</f>
        <v>12958.239000000001</v>
      </c>
      <c r="E11" s="3">
        <f>D11-B11</f>
        <v>406.2390000000014</v>
      </c>
      <c r="F11" s="3">
        <f t="shared" si="1"/>
        <v>220.2390000000014</v>
      </c>
      <c r="G11" s="20"/>
      <c r="H11" s="20"/>
      <c r="N11" s="40" t="s">
        <v>119</v>
      </c>
      <c r="O11" s="41">
        <f>SUM(O8:O10)</f>
        <v>10506</v>
      </c>
      <c r="P11" s="41">
        <f t="shared" ref="P11:S11" si="4">SUM(P8:P10)</f>
        <v>10924</v>
      </c>
      <c r="Q11" s="42">
        <f t="shared" si="4"/>
        <v>11587.183999999999</v>
      </c>
      <c r="R11" s="41">
        <f t="shared" si="4"/>
        <v>1081.1839999999988</v>
      </c>
      <c r="S11" s="41">
        <f t="shared" si="4"/>
        <v>663.18399999999883</v>
      </c>
    </row>
    <row r="12" spans="1:19" ht="12.75" customHeight="1">
      <c r="A12" s="36" t="s">
        <v>19</v>
      </c>
      <c r="B12" s="37">
        <v>3154</v>
      </c>
      <c r="C12" s="37">
        <v>3855</v>
      </c>
      <c r="D12" s="11">
        <f>'Tb 1 Total Revenue'!D11</f>
        <v>5171.4609999999993</v>
      </c>
      <c r="E12" s="3">
        <f t="shared" si="0"/>
        <v>2017.4609999999993</v>
      </c>
      <c r="F12" s="3">
        <f t="shared" si="1"/>
        <v>1316.4609999999993</v>
      </c>
      <c r="G12" s="20"/>
      <c r="H12" s="20"/>
      <c r="N12" s="29"/>
      <c r="O12" s="43"/>
      <c r="P12" s="43"/>
      <c r="Q12" s="44"/>
      <c r="R12" s="43"/>
      <c r="S12" s="43"/>
    </row>
    <row r="13" spans="1:19" ht="12.75" customHeight="1">
      <c r="A13" s="36" t="s">
        <v>29</v>
      </c>
      <c r="B13" s="39">
        <v>11594</v>
      </c>
      <c r="C13" s="39">
        <f>2472+5049+4226</f>
        <v>11747</v>
      </c>
      <c r="D13" s="14">
        <f>'Tb 1 Total Revenue'!D14+'Tb 1 Total Revenue'!D12+'Tb 1 Total Revenue'!D13</f>
        <v>11587.183999999999</v>
      </c>
      <c r="E13" s="3">
        <f t="shared" si="0"/>
        <v>-6.816000000000713</v>
      </c>
      <c r="F13" s="3">
        <f t="shared" si="1"/>
        <v>-159.81600000000071</v>
      </c>
      <c r="G13" s="20"/>
      <c r="H13" s="20"/>
      <c r="N13" s="32" t="s">
        <v>114</v>
      </c>
      <c r="O13" s="33"/>
      <c r="P13" s="34"/>
      <c r="Q13" s="38"/>
      <c r="R13" s="33"/>
      <c r="S13" s="33"/>
    </row>
    <row r="14" spans="1:19" ht="12.75" customHeight="1">
      <c r="A14" s="40" t="s">
        <v>32</v>
      </c>
      <c r="B14" s="41">
        <f>SUM(B7:B13)</f>
        <v>70653</v>
      </c>
      <c r="C14" s="41">
        <f>SUM(C7:C13)</f>
        <v>74305</v>
      </c>
      <c r="D14" s="42">
        <f>SUM(D7:D13)</f>
        <v>80691.568999999989</v>
      </c>
      <c r="E14" s="41">
        <f>SUM(E7:E13)</f>
        <v>10038.569</v>
      </c>
      <c r="F14" s="41">
        <f>SUM(F7:F13)</f>
        <v>6386.5689999999995</v>
      </c>
      <c r="G14" s="20"/>
      <c r="H14" s="3">
        <f>D14-B14</f>
        <v>10038.568999999989</v>
      </c>
      <c r="I14" s="3">
        <f>D14-C14</f>
        <v>6386.5689999999886</v>
      </c>
      <c r="L14" s="12"/>
      <c r="N14" s="36" t="s">
        <v>29</v>
      </c>
      <c r="O14" s="37"/>
      <c r="P14" s="37"/>
      <c r="Q14" s="11"/>
      <c r="R14" s="3"/>
      <c r="S14" s="3"/>
    </row>
    <row r="15" spans="1:19" ht="3.75" customHeight="1">
      <c r="A15" s="29"/>
      <c r="B15" s="43"/>
      <c r="C15" s="43"/>
      <c r="D15" s="44"/>
      <c r="E15" s="43"/>
      <c r="F15" s="43"/>
      <c r="G15" s="20"/>
      <c r="H15" s="20"/>
      <c r="L15" s="20"/>
      <c r="N15" s="36"/>
      <c r="O15" s="37"/>
      <c r="P15" s="37"/>
      <c r="Q15" s="11"/>
      <c r="R15" s="3">
        <f t="shared" ref="R15:R18" si="5">Q15-O15</f>
        <v>0</v>
      </c>
      <c r="S15" s="3">
        <f t="shared" ref="S15:S18" si="6">Q15-P15</f>
        <v>0</v>
      </c>
    </row>
    <row r="16" spans="1:19" ht="12.75" customHeight="1">
      <c r="A16" s="32" t="s">
        <v>123</v>
      </c>
      <c r="B16" s="33"/>
      <c r="C16" s="34"/>
      <c r="D16" s="38"/>
      <c r="E16" s="33"/>
      <c r="F16" s="33"/>
      <c r="N16" s="152" t="s">
        <v>116</v>
      </c>
      <c r="O16" s="37">
        <v>2630</v>
      </c>
      <c r="P16" s="37">
        <v>2657</v>
      </c>
      <c r="Q16" s="11">
        <f>'Tb 1 Total Revenue'!E12</f>
        <v>2015.7360000000001</v>
      </c>
      <c r="R16" s="3">
        <f t="shared" si="5"/>
        <v>-614.2639999999999</v>
      </c>
      <c r="S16" s="3">
        <f t="shared" si="6"/>
        <v>-641.2639999999999</v>
      </c>
    </row>
    <row r="17" spans="1:19" ht="12.75" customHeight="1">
      <c r="A17" s="36" t="s">
        <v>13</v>
      </c>
      <c r="B17" s="37">
        <v>15034</v>
      </c>
      <c r="C17" s="37">
        <v>15405</v>
      </c>
      <c r="D17" s="38">
        <f>'Tb 1 Total Revenue'!E5</f>
        <v>15509.644</v>
      </c>
      <c r="E17" s="3">
        <f>D17-B17</f>
        <v>475.64400000000023</v>
      </c>
      <c r="F17" s="3">
        <f>D17-C17</f>
        <v>104.64400000000023</v>
      </c>
      <c r="N17" s="152" t="s">
        <v>117</v>
      </c>
      <c r="O17" s="37">
        <v>4606</v>
      </c>
      <c r="P17" s="37">
        <v>4734</v>
      </c>
      <c r="Q17" s="11">
        <f>'Tb 1 Total Revenue'!E13</f>
        <v>5635.74</v>
      </c>
      <c r="R17" s="3">
        <f t="shared" si="5"/>
        <v>1029.7399999999998</v>
      </c>
      <c r="S17" s="3">
        <f t="shared" si="6"/>
        <v>901.73999999999978</v>
      </c>
    </row>
    <row r="18" spans="1:19" ht="12.75" customHeight="1">
      <c r="A18" s="36" t="s">
        <v>14</v>
      </c>
      <c r="B18" s="37">
        <v>6254</v>
      </c>
      <c r="C18" s="37">
        <v>6894</v>
      </c>
      <c r="D18" s="38">
        <f>'Tb 1 Total Revenue'!E6</f>
        <v>6764.2659999999996</v>
      </c>
      <c r="E18" s="3">
        <f t="shared" ref="E18:E23" si="7">D18-B18</f>
        <v>510.26599999999962</v>
      </c>
      <c r="F18" s="3">
        <f t="shared" ref="F18:F23" si="8">D18-C18</f>
        <v>-129.73400000000038</v>
      </c>
      <c r="J18" s="2" t="s">
        <v>30</v>
      </c>
      <c r="K18" s="3">
        <f>E8+E18+E28</f>
        <v>2298.1459999999997</v>
      </c>
      <c r="N18" s="152" t="s">
        <v>118</v>
      </c>
      <c r="O18" s="39">
        <v>3700</v>
      </c>
      <c r="P18" s="39">
        <v>3675</v>
      </c>
      <c r="Q18" s="14">
        <f>'Tb 1 Total Revenue'!E14</f>
        <v>4412.1369999999997</v>
      </c>
      <c r="R18" s="3">
        <f t="shared" si="5"/>
        <v>712.13699999999972</v>
      </c>
      <c r="S18" s="3">
        <f t="shared" si="6"/>
        <v>737.13699999999972</v>
      </c>
    </row>
    <row r="19" spans="1:19" ht="12.75" customHeight="1">
      <c r="A19" s="36" t="s">
        <v>26</v>
      </c>
      <c r="B19" s="37">
        <v>5767</v>
      </c>
      <c r="C19" s="37">
        <v>5798</v>
      </c>
      <c r="D19" s="11">
        <f>'Tb 1 Total Revenue'!E7</f>
        <v>6563.3609999999999</v>
      </c>
      <c r="E19" s="3">
        <f t="shared" si="7"/>
        <v>796.36099999999988</v>
      </c>
      <c r="F19" s="3">
        <f t="shared" si="8"/>
        <v>765.36099999999988</v>
      </c>
      <c r="J19" s="2" t="s">
        <v>23</v>
      </c>
      <c r="K19" s="3">
        <f>E10+E20+E30</f>
        <v>4809.3379999999997</v>
      </c>
      <c r="N19" s="40" t="s">
        <v>124</v>
      </c>
      <c r="O19" s="41">
        <f>SUM(O16:O18)</f>
        <v>10936</v>
      </c>
      <c r="P19" s="41">
        <f t="shared" ref="P19:S19" si="9">SUM(P16:P18)</f>
        <v>11066</v>
      </c>
      <c r="Q19" s="42">
        <f t="shared" si="9"/>
        <v>12063.612999999999</v>
      </c>
      <c r="R19" s="41">
        <f t="shared" si="9"/>
        <v>1127.6129999999996</v>
      </c>
      <c r="S19" s="41">
        <f t="shared" si="9"/>
        <v>997.6129999999996</v>
      </c>
    </row>
    <row r="20" spans="1:19" ht="12.75" customHeight="1">
      <c r="A20" s="36" t="s">
        <v>27</v>
      </c>
      <c r="B20" s="37">
        <v>17284</v>
      </c>
      <c r="C20" s="37">
        <v>17553</v>
      </c>
      <c r="D20" s="11">
        <f>'Tb 1 Total Revenue'!E8+'Tb 1 Total Revenue'!E9</f>
        <v>17067.306</v>
      </c>
      <c r="E20" s="3">
        <f t="shared" si="7"/>
        <v>-216.69399999999951</v>
      </c>
      <c r="F20" s="3">
        <f t="shared" si="8"/>
        <v>-485.69399999999951</v>
      </c>
      <c r="K20" s="3">
        <f>SUM(K18:K19)</f>
        <v>7107.4839999999995</v>
      </c>
      <c r="L20" s="2">
        <f>K20/K21</f>
        <v>0.41242379354381081</v>
      </c>
      <c r="N20" s="29"/>
      <c r="O20" s="43"/>
      <c r="P20" s="43"/>
      <c r="Q20" s="44"/>
      <c r="R20" s="43"/>
      <c r="S20" s="43"/>
    </row>
    <row r="21" spans="1:19" ht="12.75" customHeight="1">
      <c r="A21" s="36" t="s">
        <v>28</v>
      </c>
      <c r="B21" s="37">
        <v>12475</v>
      </c>
      <c r="C21" s="37">
        <v>12731</v>
      </c>
      <c r="D21" s="11">
        <f>'Tb 1 Total Revenue'!E10</f>
        <v>13287.499000000002</v>
      </c>
      <c r="E21" s="3">
        <f t="shared" si="7"/>
        <v>812.49900000000162</v>
      </c>
      <c r="F21" s="3">
        <f t="shared" si="8"/>
        <v>556.49900000000162</v>
      </c>
      <c r="K21" s="3">
        <f>E14+E24+E34</f>
        <v>17233.448</v>
      </c>
      <c r="N21" s="32" t="s">
        <v>123</v>
      </c>
      <c r="O21" s="33"/>
      <c r="P21" s="34"/>
      <c r="Q21" s="38"/>
      <c r="R21" s="33"/>
      <c r="S21" s="33"/>
    </row>
    <row r="22" spans="1:19" ht="12.75" customHeight="1">
      <c r="A22" s="36" t="s">
        <v>19</v>
      </c>
      <c r="B22" s="37">
        <v>3273</v>
      </c>
      <c r="C22" s="37">
        <v>3405</v>
      </c>
      <c r="D22" s="11">
        <f>'Tb 1 Total Revenue'!E11</f>
        <v>2882.0919999999996</v>
      </c>
      <c r="E22" s="3">
        <f t="shared" si="7"/>
        <v>-390.90800000000036</v>
      </c>
      <c r="F22" s="3">
        <f t="shared" si="8"/>
        <v>-522.90800000000036</v>
      </c>
      <c r="N22" s="36" t="s">
        <v>29</v>
      </c>
      <c r="O22" s="37"/>
      <c r="P22" s="37"/>
      <c r="Q22" s="11"/>
      <c r="R22" s="3"/>
      <c r="S22" s="3"/>
    </row>
    <row r="23" spans="1:19" ht="12.75" customHeight="1">
      <c r="A23" s="36" t="s">
        <v>29</v>
      </c>
      <c r="B23" s="39">
        <v>11637</v>
      </c>
      <c r="C23" s="39">
        <f>2161+5277+3933</f>
        <v>11371</v>
      </c>
      <c r="D23" s="14">
        <f>'Tb 1 Total Revenue'!E12+'Tb 1 Total Revenue'!E13+'Tb 1 Total Revenue'!E14</f>
        <v>12063.612999999999</v>
      </c>
      <c r="E23" s="3">
        <f t="shared" si="7"/>
        <v>426.61299999999937</v>
      </c>
      <c r="F23" s="3">
        <f t="shared" si="8"/>
        <v>692.61299999999937</v>
      </c>
      <c r="G23" s="20"/>
      <c r="H23" s="20"/>
      <c r="I23" s="20"/>
      <c r="J23" s="20"/>
      <c r="N23" s="152" t="s">
        <v>116</v>
      </c>
      <c r="O23" s="37">
        <v>2656</v>
      </c>
      <c r="P23" s="37">
        <v>2422</v>
      </c>
      <c r="Q23" s="11">
        <f>'Tb 1 Total Revenue'!F12</f>
        <v>2505.8190000000004</v>
      </c>
      <c r="R23" s="3">
        <f t="shared" ref="R23:R26" si="10">Q23-O23</f>
        <v>-150.18099999999959</v>
      </c>
      <c r="S23" s="3">
        <f t="shared" ref="S23:S26" si="11">Q23-P23</f>
        <v>83.819000000000415</v>
      </c>
    </row>
    <row r="24" spans="1:19" ht="12.75" customHeight="1">
      <c r="A24" s="40" t="s">
        <v>115</v>
      </c>
      <c r="B24" s="41">
        <f>SUM(B17:B23)</f>
        <v>71724</v>
      </c>
      <c r="C24" s="41">
        <f>SUM(C17:C23)</f>
        <v>73157</v>
      </c>
      <c r="D24" s="42">
        <f>SUM(D17:D23)</f>
        <v>74137.781000000003</v>
      </c>
      <c r="E24" s="41">
        <f>SUM(E17:E23)</f>
        <v>2413.7810000000009</v>
      </c>
      <c r="F24" s="41">
        <f>SUM(F17:F23)</f>
        <v>980.78100000000086</v>
      </c>
      <c r="G24" s="20"/>
      <c r="H24" s="3">
        <f>D24-B24</f>
        <v>2413.7810000000027</v>
      </c>
      <c r="I24" s="3">
        <f>D24-C24</f>
        <v>980.78100000000268</v>
      </c>
      <c r="N24" s="152" t="s">
        <v>117</v>
      </c>
      <c r="O24" s="37">
        <v>4736</v>
      </c>
      <c r="P24" s="37">
        <v>4920</v>
      </c>
      <c r="Q24" s="11">
        <f>'Tb 1 Total Revenue'!F13</f>
        <v>5873.527</v>
      </c>
      <c r="R24" s="3">
        <f t="shared" si="10"/>
        <v>1137.527</v>
      </c>
      <c r="S24" s="3">
        <f t="shared" si="11"/>
        <v>953.52700000000004</v>
      </c>
    </row>
    <row r="25" spans="1:19" ht="3.75" customHeight="1">
      <c r="A25" s="29"/>
      <c r="B25" s="43"/>
      <c r="C25" s="43"/>
      <c r="D25" s="44"/>
      <c r="E25" s="43"/>
      <c r="F25" s="43"/>
      <c r="N25" s="152"/>
      <c r="O25" s="37"/>
      <c r="P25" s="37"/>
      <c r="Q25" s="11"/>
      <c r="R25" s="3">
        <f t="shared" si="10"/>
        <v>0</v>
      </c>
      <c r="S25" s="3">
        <f t="shared" si="11"/>
        <v>0</v>
      </c>
    </row>
    <row r="26" spans="1:19" ht="12.75" customHeight="1">
      <c r="A26" s="32" t="s">
        <v>133</v>
      </c>
      <c r="B26" s="33"/>
      <c r="C26" s="34"/>
      <c r="D26" s="38"/>
      <c r="E26" s="33"/>
      <c r="F26" s="33"/>
      <c r="N26" s="152" t="s">
        <v>118</v>
      </c>
      <c r="O26" s="37">
        <v>3685</v>
      </c>
      <c r="P26" s="37">
        <v>3782</v>
      </c>
      <c r="Q26" s="11">
        <f>'Tb 1 Total Revenue'!F14</f>
        <v>4352.8009999999995</v>
      </c>
      <c r="R26" s="3">
        <f t="shared" si="10"/>
        <v>667.80099999999948</v>
      </c>
      <c r="S26" s="3">
        <f t="shared" si="11"/>
        <v>570.80099999999948</v>
      </c>
    </row>
    <row r="27" spans="1:19" ht="12.75" customHeight="1" thickBot="1">
      <c r="A27" s="36" t="s">
        <v>13</v>
      </c>
      <c r="B27" s="37">
        <v>16071</v>
      </c>
      <c r="C27" s="37">
        <v>16483</v>
      </c>
      <c r="D27" s="38">
        <f>'Tb 1 Total Revenue'!F5</f>
        <v>16270.87</v>
      </c>
      <c r="E27" s="3">
        <f>D27-B27</f>
        <v>199.8700000000008</v>
      </c>
      <c r="F27" s="3">
        <f>D27-C27</f>
        <v>-212.1299999999992</v>
      </c>
      <c r="N27" s="15" t="s">
        <v>125</v>
      </c>
      <c r="O27" s="45">
        <f>SUM(O23:O26)</f>
        <v>11077</v>
      </c>
      <c r="P27" s="45">
        <f>SUM(P23:P26)</f>
        <v>11124</v>
      </c>
      <c r="Q27" s="17">
        <f>SUM(Q23:Q26)</f>
        <v>12732.147000000001</v>
      </c>
      <c r="R27" s="45">
        <f t="shared" ref="R27:S27" si="12">SUM(R23:R26)</f>
        <v>1655.1469999999999</v>
      </c>
      <c r="S27" s="45">
        <f t="shared" si="12"/>
        <v>1608.1469999999999</v>
      </c>
    </row>
    <row r="28" spans="1:19" ht="12.75" customHeight="1">
      <c r="A28" s="36" t="s">
        <v>14</v>
      </c>
      <c r="B28" s="37">
        <v>6590</v>
      </c>
      <c r="C28" s="37">
        <v>7103</v>
      </c>
      <c r="D28" s="38">
        <f>'Tb 1 Total Revenue'!F6</f>
        <v>6938.2309999999998</v>
      </c>
      <c r="E28" s="3">
        <f t="shared" ref="E28:E33" si="13">D28-B28</f>
        <v>348.23099999999977</v>
      </c>
      <c r="F28" s="3">
        <f t="shared" ref="F28:F33" si="14">D28-C28</f>
        <v>-164.76900000000023</v>
      </c>
    </row>
    <row r="29" spans="1:19" ht="12.75" customHeight="1">
      <c r="A29" s="36" t="s">
        <v>26</v>
      </c>
      <c r="B29" s="37">
        <v>5948</v>
      </c>
      <c r="C29" s="37">
        <v>6000</v>
      </c>
      <c r="D29" s="11">
        <f>'Tb 1 Total Revenue'!F7</f>
        <v>6941.4780000000001</v>
      </c>
      <c r="E29" s="3">
        <f t="shared" si="13"/>
        <v>993.47800000000007</v>
      </c>
      <c r="F29" s="3">
        <f t="shared" si="14"/>
        <v>941.47800000000007</v>
      </c>
    </row>
    <row r="30" spans="1:19" ht="12.75" customHeight="1">
      <c r="A30" s="36" t="s">
        <v>27</v>
      </c>
      <c r="B30" s="37">
        <v>15742</v>
      </c>
      <c r="C30" s="37">
        <v>17383</v>
      </c>
      <c r="D30" s="11">
        <f>'Tb 1 Total Revenue'!F8+'Tb 1 Total Revenue'!F9</f>
        <v>17619.93</v>
      </c>
      <c r="E30" s="3">
        <f t="shared" si="13"/>
        <v>1877.9300000000003</v>
      </c>
      <c r="F30" s="3">
        <f t="shared" si="14"/>
        <v>236.93000000000029</v>
      </c>
    </row>
    <row r="31" spans="1:19" ht="12.75" customHeight="1">
      <c r="A31" s="36" t="s">
        <v>28</v>
      </c>
      <c r="B31" s="37">
        <v>13113</v>
      </c>
      <c r="C31" s="37">
        <v>13220</v>
      </c>
      <c r="D31" s="11">
        <f>'Tb 1 Total Revenue'!F10</f>
        <v>13752.596</v>
      </c>
      <c r="E31" s="3">
        <f t="shared" si="13"/>
        <v>639.59599999999955</v>
      </c>
      <c r="F31" s="3">
        <f t="shared" si="14"/>
        <v>532.59599999999955</v>
      </c>
    </row>
    <row r="32" spans="1:19" ht="12.75" customHeight="1">
      <c r="A32" s="36" t="s">
        <v>19</v>
      </c>
      <c r="B32" s="37">
        <v>3407</v>
      </c>
      <c r="C32" s="37">
        <v>3505</v>
      </c>
      <c r="D32" s="11">
        <f>'Tb 1 Total Revenue'!F11</f>
        <v>3134.8459999999995</v>
      </c>
      <c r="E32" s="3">
        <f t="shared" si="13"/>
        <v>-272.15400000000045</v>
      </c>
      <c r="F32" s="3">
        <f t="shared" si="14"/>
        <v>-370.15400000000045</v>
      </c>
    </row>
    <row r="33" spans="1:9" ht="12.75" customHeight="1">
      <c r="A33" s="36" t="s">
        <v>29</v>
      </c>
      <c r="B33" s="39">
        <f>2647+5360+3730</f>
        <v>11737</v>
      </c>
      <c r="C33" s="39">
        <f>2274+5352+3636</f>
        <v>11262</v>
      </c>
      <c r="D33" s="14">
        <f>'Tb 1 Total Revenue'!F12+'Tb 1 Total Revenue'!F13+'Tb 1 Total Revenue'!F14</f>
        <v>12732.147000000001</v>
      </c>
      <c r="E33" s="3">
        <f t="shared" si="13"/>
        <v>995.14700000000084</v>
      </c>
      <c r="F33" s="3">
        <f t="shared" si="14"/>
        <v>1470.1470000000008</v>
      </c>
    </row>
    <row r="34" spans="1:9" ht="12.75" customHeight="1" thickBot="1">
      <c r="A34" s="15" t="s">
        <v>128</v>
      </c>
      <c r="B34" s="45">
        <f>SUM(B27:B33)</f>
        <v>72608</v>
      </c>
      <c r="C34" s="45">
        <f>SUM(C27:C33)</f>
        <v>74956</v>
      </c>
      <c r="D34" s="17">
        <f>SUM(D27:D33)</f>
        <v>77390.097999999998</v>
      </c>
      <c r="E34" s="45">
        <f>SUM(E27:E33)-1</f>
        <v>4781.0980000000009</v>
      </c>
      <c r="F34" s="45">
        <f>SUM(F27:F33)</f>
        <v>2434.0980000000009</v>
      </c>
      <c r="H34" s="3">
        <f>D34-B34</f>
        <v>4782.0979999999981</v>
      </c>
      <c r="I34" s="3">
        <f>D34-C34</f>
        <v>2434.0979999999981</v>
      </c>
    </row>
    <row r="38" spans="1:9">
      <c r="E38" s="3">
        <f>E34+E24+E14</f>
        <v>17233.448</v>
      </c>
    </row>
    <row r="42" spans="1:9" ht="12">
      <c r="A42" s="160" t="s">
        <v>129</v>
      </c>
    </row>
  </sheetData>
  <pageMargins left="2" right="1.78" top="1.36" bottom="1" header="0.5" footer="0.5"/>
  <pageSetup scale="96" orientation="portrait" r:id="rId1"/>
  <headerFooter alignWithMargins="0">
    <oddHeader>&amp;L&amp;"Calibri,Regular"&amp;K000000pdf named: B24-FP_Rev_tb02_rctq.pdf&amp;R&amp;"Calibri,Regular"&amp;K000000Budget 2024 - Fiscal Plan
Revenue section</oddHeader>
    <oddFooter>&amp;L&amp;"Calibri"&amp;11&amp;K000000&amp;8&amp;Z
&amp;F_x000D_&amp;1#&amp;"Calibri"&amp;11&amp;K000000 Classification: Public&amp;R&amp;8&amp;D 
&amp;T&amp;L&amp;"Calibri"&amp;11&amp;K000000&amp;8&amp;Z
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C535A864CEC749945F8572806A0EF3" ma:contentTypeVersion="2" ma:contentTypeDescription="Create a new document." ma:contentTypeScope="" ma:versionID="69e52c865c9c6b5bc714b18e85c79e3a">
  <xsd:schema xmlns:xsd="http://www.w3.org/2001/XMLSchema" xmlns:xs="http://www.w3.org/2001/XMLSchema" xmlns:p="http://schemas.microsoft.com/office/2006/metadata/properties" xmlns:ns2="2f6daf8d-5922-44b6-a24d-ae26ebd46f47" targetNamespace="http://schemas.microsoft.com/office/2006/metadata/properties" ma:root="true" ma:fieldsID="4c1aea0efe857cd38a5174f264701069" ns2:_="">
    <xsd:import namespace="2f6daf8d-5922-44b6-a24d-ae26ebd46f47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daf8d-5922-44b6-a24d-ae26ebd46f4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2E5749-2516-42F5-A5C9-71DCB260CB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6daf8d-5922-44b6-a24d-ae26ebd46f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6E3E75-E15D-439F-AE42-7513E8691A3E}">
  <ds:schemaRefs>
    <ds:schemaRef ds:uri="http://purl.org/dc/elements/1.1/"/>
    <ds:schemaRef ds:uri="http://schemas.microsoft.com/office/2006/metadata/properties"/>
    <ds:schemaRef ds:uri="2f6daf8d-5922-44b6-a24d-ae26ebd46f47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A1038C5-F828-4FDB-8CAA-62C93159A5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Cover</vt:lpstr>
      <vt:lpstr>Tb 1 Total Revenue</vt:lpstr>
      <vt:lpstr>Tb 2 O&amp;G prices</vt:lpstr>
      <vt:lpstr>Tb 3 Oil &amp; Gas assumptions</vt:lpstr>
      <vt:lpstr>Tb 4 NRR</vt:lpstr>
      <vt:lpstr>Tb 5 Tax revenue</vt:lpstr>
      <vt:lpstr>Tb 6 Fed Transfers</vt:lpstr>
      <vt:lpstr>Tb 7 Inv. income</vt:lpstr>
      <vt:lpstr>Tb 8 Other sources</vt:lpstr>
      <vt:lpstr>Tb 9 Sensitivities</vt:lpstr>
      <vt:lpstr>END</vt:lpstr>
      <vt:lpstr>DELETE - Tb 2 rev changes</vt:lpstr>
      <vt:lpstr>'DELETE - Tb 2 rev changes'!Print_Area</vt:lpstr>
      <vt:lpstr>'Tb 1 Total Revenue'!Print_Area</vt:lpstr>
      <vt:lpstr>'Tb 2 O&amp;G prices'!Print_Area</vt:lpstr>
      <vt:lpstr>'Tb 3 Oil &amp; Gas assumptions'!Print_Area</vt:lpstr>
      <vt:lpstr>'Tb 4 NRR'!Print_Area</vt:lpstr>
      <vt:lpstr>'Tb 5 Tax revenue'!Print_Area</vt:lpstr>
      <vt:lpstr>'Tb 6 Fed Transfers'!Print_Area</vt:lpstr>
      <vt:lpstr>'Tb 7 Inv. income'!Print_Area</vt:lpstr>
      <vt:lpstr>'Tb 8 Other sources'!Print_Area</vt:lpstr>
      <vt:lpstr>'Tb 9 Sensitivities'!Print_Area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2025-28 Fiscal Plan – Revenue – Data File (Alberta Budget 2025)</dc:title>
  <dc:creator>Government of Alberta</dc:creator>
  <cp:keywords>Security Classification: Public</cp:keywords>
  <cp:lastPrinted>2025-02-27T01:21:07Z</cp:lastPrinted>
  <dcterms:created xsi:type="dcterms:W3CDTF">2022-01-10T23:31:00Z</dcterms:created>
  <dcterms:modified xsi:type="dcterms:W3CDTF">2025-02-27T01:21:55Z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0x01010071C535A864CEC749945F8572806A0EF3</vt:lpwstr>
  </property>
  <property fmtid="{D5CDD505-2E9C-101B-9397-08002B2CF9AE}" pid="3" name="MSIP_Label_60c3ebf9-3c2f-4745-a75f-55836bdb736f_Enabled">
    <vt:lpwstr>true</vt:lpwstr>
  </property>
  <property fmtid="{D5CDD505-2E9C-101B-9397-08002B2CF9AE}" pid="4" name="MSIP_Label_60c3ebf9-3c2f-4745-a75f-55836bdb736f_SetDate">
    <vt:lpwstr>2025-02-27T01:19:32Z</vt:lpwstr>
  </property>
  <property fmtid="{D5CDD505-2E9C-101B-9397-08002B2CF9AE}" pid="5" name="MSIP_Label_60c3ebf9-3c2f-4745-a75f-55836bdb736f_Method">
    <vt:lpwstr>Privileged</vt:lpwstr>
  </property>
  <property fmtid="{D5CDD505-2E9C-101B-9397-08002B2CF9AE}" pid="6" name="MSIP_Label_60c3ebf9-3c2f-4745-a75f-55836bdb736f_Name">
    <vt:lpwstr>Public</vt:lpwstr>
  </property>
  <property fmtid="{D5CDD505-2E9C-101B-9397-08002B2CF9AE}" pid="7" name="MSIP_Label_60c3ebf9-3c2f-4745-a75f-55836bdb736f_SiteId">
    <vt:lpwstr>2bb51c06-af9b-42c5-8bf5-3c3b7b10850b</vt:lpwstr>
  </property>
  <property fmtid="{D5CDD505-2E9C-101B-9397-08002B2CF9AE}" pid="8" name="MSIP_Label_60c3ebf9-3c2f-4745-a75f-55836bdb736f_ActionId">
    <vt:lpwstr>028cfc5b-4667-4856-8bf8-7c0d4b82221b</vt:lpwstr>
  </property>
  <property fmtid="{D5CDD505-2E9C-101B-9397-08002B2CF9AE}" pid="9" name="MSIP_Label_60c3ebf9-3c2f-4745-a75f-55836bdb736f_ContentBits">
    <vt:lpwstr>2</vt:lpwstr>
  </property>
</Properties>
</file>