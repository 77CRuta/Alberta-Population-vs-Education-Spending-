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S:\CPE\CPE\Outreach (612316)\01 Projects\Budget\Embargo\Budget-2023\Public\final web versions\Budget excel files\"/>
    </mc:Choice>
  </mc:AlternateContent>
  <bookViews>
    <workbookView xWindow="53880" yWindow="-120" windowWidth="25440" windowHeight="15390"/>
  </bookViews>
  <sheets>
    <sheet name="Cover" sheetId="18" r:id="rId1"/>
    <sheet name="Key Assumptions" sheetId="19" r:id="rId2"/>
    <sheet name="Fiscal Sensitivities" sheetId="21" r:id="rId3"/>
    <sheet name="Scenarios" sheetId="20" r:id="rId4"/>
    <sheet name="C1. Nom GDP " sheetId="1" r:id="rId5"/>
    <sheet name="C2. Real GDP" sheetId="2" r:id="rId6"/>
    <sheet name="C3. Core Inflation" sheetId="3" r:id="rId7"/>
    <sheet name="C4. BoC Rate" sheetId="4" r:id="rId8"/>
    <sheet name="C5. IMF" sheetId="5" r:id="rId9"/>
    <sheet name="C6. SD bal" sheetId="6" r:id="rId10"/>
    <sheet name="C7. WTI-WCS" sheetId="7" r:id="rId11"/>
    <sheet name="C8. Oil Inv" sheetId="8" r:id="rId12"/>
    <sheet name="C9. Other Inv" sheetId="9" r:id="rId13"/>
    <sheet name="C10. Exports" sheetId="10" r:id="rId14"/>
    <sheet name="C11. Income" sheetId="12" r:id="rId15"/>
    <sheet name="C12. Population" sheetId="11" r:id="rId16"/>
    <sheet name="C13. Job Vacancies" sheetId="13" r:id="rId17"/>
    <sheet name="C14. Labour Market" sheetId="14" r:id="rId18"/>
    <sheet name="C15. Housing" sheetId="15" r:id="rId19"/>
    <sheet name="C16. Inflation" sheetId="16" r:id="rId20"/>
    <sheet name="C17. Cons Spending" sheetId="17" r:id="rId21"/>
  </sheets>
  <externalReferences>
    <externalReference r:id="rId2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21" l="1"/>
  <c r="C7" i="21"/>
  <c r="C6" i="21"/>
  <c r="C5" i="21"/>
</calcChain>
</file>

<file path=xl/comments1.xml><?xml version="1.0" encoding="utf-8"?>
<comments xmlns="http://schemas.openxmlformats.org/spreadsheetml/2006/main">
  <authors>
    <author>kathleen.macaspac</author>
  </authors>
  <commentList>
    <comment ref="D19" authorId="0" shapeId="0">
      <text>
        <r>
          <rPr>
            <b/>
            <sz val="9"/>
            <color indexed="81"/>
            <rFont val="Tahoma"/>
            <family val="2"/>
          </rPr>
          <t>kathleen.macaspac:</t>
        </r>
        <r>
          <rPr>
            <sz val="9"/>
            <color indexed="81"/>
            <rFont val="Tahoma"/>
            <family val="2"/>
          </rPr>
          <t xml:space="preserve">
Robert noted that this shld be 75.6, but we have 75.7 in the price and production file and this is what we published in Budget 2022 </t>
        </r>
      </text>
    </comment>
  </commentList>
</comments>
</file>

<file path=xl/sharedStrings.xml><?xml version="1.0" encoding="utf-8"?>
<sst xmlns="http://schemas.openxmlformats.org/spreadsheetml/2006/main" count="638" uniqueCount="363">
  <si>
    <t>Year</t>
  </si>
  <si>
    <t>2022e</t>
  </si>
  <si>
    <t>2023f</t>
  </si>
  <si>
    <t>2024f</t>
  </si>
  <si>
    <t>2025f</t>
  </si>
  <si>
    <t>2026f</t>
  </si>
  <si>
    <t>Sources: Statistics Canada, Haver Analytics and Alberta Treasury Board and Finance; e-estimate f-forecast</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</si>
  <si>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</si>
  <si>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</si>
  <si>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</si>
  <si>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</si>
  <si>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</si>
  <si>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</si>
  <si>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</si>
  <si>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</si>
  <si>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</si>
  <si>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</si>
  <si>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</si>
  <si>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</si>
  <si>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</si>
  <si>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</si>
  <si>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</si>
  <si>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</si>
  <si>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</si>
  <si>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</si>
  <si>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</si>
  <si>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</si>
  <si>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</si>
  <si>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Core CPI: Canada</t>
  </si>
  <si>
    <t>Core CPI: US</t>
  </si>
  <si>
    <t>Core CPI: Euro Area</t>
  </si>
  <si>
    <t>Quarter</t>
  </si>
  <si>
    <t>Sources: Statistics Canada, Bureau of Labor Statistics, Statistical Office of the European Communities and Haver Analytics</t>
  </si>
  <si>
    <t>Policy rate</t>
  </si>
  <si>
    <t>Change in Policy Rate</t>
  </si>
  <si>
    <t>Date</t>
  </si>
  <si>
    <t>Sources: Bank of Canada and Haver Analytics</t>
  </si>
  <si>
    <t xml:space="preserve">World Output </t>
  </si>
  <si>
    <t xml:space="preserve"> </t>
  </si>
  <si>
    <t>Advanced Economies</t>
  </si>
  <si>
    <t>Emerging Market and Developing Economies</t>
  </si>
  <si>
    <t>2011</t>
  </si>
  <si>
    <t>2012</t>
  </si>
  <si>
    <t>2013</t>
  </si>
  <si>
    <t>2014</t>
  </si>
  <si>
    <t>2015</t>
  </si>
  <si>
    <t>2016</t>
  </si>
  <si>
    <t>2017</t>
  </si>
  <si>
    <t>2018</t>
  </si>
  <si>
    <t>2019</t>
  </si>
  <si>
    <t>2020</t>
  </si>
  <si>
    <t>2021</t>
  </si>
  <si>
    <t>Global Petroleum Supply</t>
  </si>
  <si>
    <t>Global Petroleum Demand</t>
  </si>
  <si>
    <t>Sources: U.S. EIA, Haver Analytics and Alberta Treasury Board and Finance calculations; e-estimate and f-forecast</t>
  </si>
  <si>
    <t>WTI</t>
  </si>
  <si>
    <t>WCS</t>
  </si>
  <si>
    <t>Apr-14</t>
  </si>
  <si>
    <t>May-14</t>
  </si>
  <si>
    <t>Jun-14</t>
  </si>
  <si>
    <t>Jul-14</t>
  </si>
  <si>
    <t>Aug-14</t>
  </si>
  <si>
    <t>Sep-14</t>
  </si>
  <si>
    <t>Oct-14</t>
  </si>
  <si>
    <t>Nov-14</t>
  </si>
  <si>
    <t>Dec-14</t>
  </si>
  <si>
    <t>Jan-15</t>
  </si>
  <si>
    <t>Feb-15</t>
  </si>
  <si>
    <t>Mar-15</t>
  </si>
  <si>
    <t>Apr-15</t>
  </si>
  <si>
    <t>May-15</t>
  </si>
  <si>
    <t>Jun-15</t>
  </si>
  <si>
    <t>Jul-15</t>
  </si>
  <si>
    <t>Aug-15</t>
  </si>
  <si>
    <t>Sep-15</t>
  </si>
  <si>
    <t>Oct-15</t>
  </si>
  <si>
    <t>Nov-15</t>
  </si>
  <si>
    <t>Dec-15</t>
  </si>
  <si>
    <t>Jan-16</t>
  </si>
  <si>
    <t>Feb-16</t>
  </si>
  <si>
    <t>Mar-16</t>
  </si>
  <si>
    <t>Apr-16</t>
  </si>
  <si>
    <t>May-16</t>
  </si>
  <si>
    <t>Jun-16</t>
  </si>
  <si>
    <t>Jul-16</t>
  </si>
  <si>
    <t>Aug-16</t>
  </si>
  <si>
    <t>Sep-16</t>
  </si>
  <si>
    <t>Oct-16</t>
  </si>
  <si>
    <t>Nov-16</t>
  </si>
  <si>
    <t>Dec-16</t>
  </si>
  <si>
    <t>Jan-17</t>
  </si>
  <si>
    <t>Feb-17</t>
  </si>
  <si>
    <t>Mar-17</t>
  </si>
  <si>
    <t>Apr-17</t>
  </si>
  <si>
    <t>May-17</t>
  </si>
  <si>
    <t>Jun-17</t>
  </si>
  <si>
    <t>Jul-17</t>
  </si>
  <si>
    <t>Aug-17</t>
  </si>
  <si>
    <t>Sep-17</t>
  </si>
  <si>
    <t>Oct-17</t>
  </si>
  <si>
    <t>Nov-17</t>
  </si>
  <si>
    <t>Dec-17</t>
  </si>
  <si>
    <t>Jan-18</t>
  </si>
  <si>
    <t>Feb-18</t>
  </si>
  <si>
    <t>Mar-18</t>
  </si>
  <si>
    <t>Apr-18</t>
  </si>
  <si>
    <t>May-18</t>
  </si>
  <si>
    <t>Jun-18</t>
  </si>
  <si>
    <t>Jul-18</t>
  </si>
  <si>
    <t>Aug-18</t>
  </si>
  <si>
    <t>Sep-18</t>
  </si>
  <si>
    <t>Oct-18</t>
  </si>
  <si>
    <t>Nov-18</t>
  </si>
  <si>
    <t>Dec-18</t>
  </si>
  <si>
    <t>Jan-19</t>
  </si>
  <si>
    <t>Feb-19</t>
  </si>
  <si>
    <t>Mar-19</t>
  </si>
  <si>
    <t>Apr-19</t>
  </si>
  <si>
    <t>May-19</t>
  </si>
  <si>
    <t>Jun-19</t>
  </si>
  <si>
    <t>Jul-19</t>
  </si>
  <si>
    <t>Aug-19</t>
  </si>
  <si>
    <t>Sep-19</t>
  </si>
  <si>
    <t>Oct-19</t>
  </si>
  <si>
    <t>Nov-19</t>
  </si>
  <si>
    <t>Dec-19</t>
  </si>
  <si>
    <t>Jan-20</t>
  </si>
  <si>
    <t>Feb-20</t>
  </si>
  <si>
    <t>Mar-20</t>
  </si>
  <si>
    <t>Apr-20</t>
  </si>
  <si>
    <t>May-20</t>
  </si>
  <si>
    <t>Jun-20</t>
  </si>
  <si>
    <t>Jul-20</t>
  </si>
  <si>
    <t>Aug-20</t>
  </si>
  <si>
    <t>Sep-20</t>
  </si>
  <si>
    <t>Oct-20</t>
  </si>
  <si>
    <t>Nov-20</t>
  </si>
  <si>
    <t>Dec-20</t>
  </si>
  <si>
    <t>Jan-21</t>
  </si>
  <si>
    <t>Feb-21</t>
  </si>
  <si>
    <t>Mar-21</t>
  </si>
  <si>
    <t>Apr-21</t>
  </si>
  <si>
    <t>May-21</t>
  </si>
  <si>
    <t>Jun-21</t>
  </si>
  <si>
    <t>Jul-21</t>
  </si>
  <si>
    <t>Aug-21</t>
  </si>
  <si>
    <t>Sep-21</t>
  </si>
  <si>
    <t>Oct-21</t>
  </si>
  <si>
    <t>Nov-21</t>
  </si>
  <si>
    <t>Dec-21</t>
  </si>
  <si>
    <t>Jan-22</t>
  </si>
  <si>
    <t>Feb-22</t>
  </si>
  <si>
    <t>Mar-22</t>
  </si>
  <si>
    <t>Apr-22</t>
  </si>
  <si>
    <t>May-22</t>
  </si>
  <si>
    <t>Jun-22</t>
  </si>
  <si>
    <t>Jul-22</t>
  </si>
  <si>
    <t>Aug-22</t>
  </si>
  <si>
    <t>Sep-22</t>
  </si>
  <si>
    <t>Oct-22</t>
  </si>
  <si>
    <t>Nov-22</t>
  </si>
  <si>
    <t>Dec-22</t>
  </si>
  <si>
    <t>Jan-23</t>
  </si>
  <si>
    <t>Feb-23</t>
  </si>
  <si>
    <t>Mar-23</t>
  </si>
  <si>
    <t>Apr-23</t>
  </si>
  <si>
    <t>May-23</t>
  </si>
  <si>
    <t>Jun-23</t>
  </si>
  <si>
    <t>Jul-23</t>
  </si>
  <si>
    <t>Aug-23</t>
  </si>
  <si>
    <t>Sep-23</t>
  </si>
  <si>
    <t>Oct-23</t>
  </si>
  <si>
    <t>Nov-23</t>
  </si>
  <si>
    <t>Dec-23</t>
  </si>
  <si>
    <t>Jan-24</t>
  </si>
  <si>
    <t>Feb-24</t>
  </si>
  <si>
    <t>Mar-24</t>
  </si>
  <si>
    <t>Apr-24</t>
  </si>
  <si>
    <t>May-24</t>
  </si>
  <si>
    <t>Jun-24</t>
  </si>
  <si>
    <t>Jul-24</t>
  </si>
  <si>
    <t>Aug-24</t>
  </si>
  <si>
    <t>Sep-24</t>
  </si>
  <si>
    <t>Oct-24</t>
  </si>
  <si>
    <t>Nov-24</t>
  </si>
  <si>
    <t>Dec-24</t>
  </si>
  <si>
    <t>Jan-25</t>
  </si>
  <si>
    <t>Feb-25</t>
  </si>
  <si>
    <t>Mar-25</t>
  </si>
  <si>
    <t>Apr-25</t>
  </si>
  <si>
    <t>May-25</t>
  </si>
  <si>
    <t>Jun-25</t>
  </si>
  <si>
    <t>Jul-25</t>
  </si>
  <si>
    <t>Aug-25</t>
  </si>
  <si>
    <t>Sep-25</t>
  </si>
  <si>
    <t>Oct-25</t>
  </si>
  <si>
    <t>Nov-25</t>
  </si>
  <si>
    <t>Dec-25</t>
  </si>
  <si>
    <t>Jan-26</t>
  </si>
  <si>
    <t>Feb-26</t>
  </si>
  <si>
    <t>Mar-26</t>
  </si>
  <si>
    <t>WTI-WCS</t>
  </si>
  <si>
    <t>2014-15</t>
  </si>
  <si>
    <t>2015-16</t>
  </si>
  <si>
    <t>2016-17</t>
  </si>
  <si>
    <t>2017-18</t>
  </si>
  <si>
    <t>2018-19</t>
  </si>
  <si>
    <t>2019-20</t>
  </si>
  <si>
    <t>2020-21</t>
  </si>
  <si>
    <t>2021-22</t>
  </si>
  <si>
    <t>2022-23f</t>
  </si>
  <si>
    <t>2023-24f</t>
  </si>
  <si>
    <t>2024-25f</t>
  </si>
  <si>
    <t>2025-26f</t>
  </si>
  <si>
    <t>Month</t>
  </si>
  <si>
    <t>Fiscal Year</t>
  </si>
  <si>
    <t>Sources: Alberta Energy and Alberta Treasury Board and Finance, f-forecast</t>
  </si>
  <si>
    <t>Services &amp; others</t>
  </si>
  <si>
    <t xml:space="preserve"> Manufacturing</t>
  </si>
  <si>
    <t>Primary agriculture</t>
  </si>
  <si>
    <t>Q1-17</t>
  </si>
  <si>
    <t>Q2-17</t>
  </si>
  <si>
    <t>Q3-17</t>
  </si>
  <si>
    <t>C2. Real GDP, level and growth</t>
  </si>
  <si>
    <t>Chart 1. Nominal GDP</t>
  </si>
  <si>
    <t>C3. Annual rate of core inflation, selected countries</t>
  </si>
  <si>
    <t>C4. Policy rate and change by BoC meeting date</t>
  </si>
  <si>
    <t>Source: IMF World Economic Outlook, January 2023 Update; e-estimate, f-forecast</t>
  </si>
  <si>
    <t>C5. Actual and IMF forecast for real GDP growth</t>
  </si>
  <si>
    <t>C8. Nominal oil and gas investment and crude oil production in Alberta</t>
  </si>
  <si>
    <t>Sources: Statistics Canada and Alberta Treasury Board and Finance, e-estimate, f-forecast</t>
  </si>
  <si>
    <t>C9. Alberta nominal non-residential investment by category</t>
  </si>
  <si>
    <t>Sources: Statistics Canada and Alberta Treasury Board and Finance; e‑estimate, f‑forecast</t>
  </si>
  <si>
    <t>Sources: Statistics Canada and Alberta Treasury Board and Finance; e-estimate, f-forecast</t>
  </si>
  <si>
    <t>Sources: Statistics Canada, Haver Analytics and Alberta Treasury Board and Finance; e-estimate, f-forecast</t>
  </si>
  <si>
    <t>* Includes net operating surplus of corporations and net mixed income</t>
  </si>
  <si>
    <t>**Includes consumption of fixed capital and taxes less subsidies</t>
  </si>
  <si>
    <t>Note: May not sum due to rounding</t>
  </si>
  <si>
    <t>C11. Contribution to change in Alberta’s nominal GDP by income</t>
  </si>
  <si>
    <t>C12. Annual change in Alberta’s population by component</t>
  </si>
  <si>
    <t>C17. Annual change in Alberta real consumer spending by component</t>
  </si>
  <si>
    <t>Services 
(percentage points)</t>
  </si>
  <si>
    <t>Non-Durable Goods 
(percentage points)</t>
  </si>
  <si>
    <t>Durable and Semi-Durable Goods 
(percentage points)</t>
  </si>
  <si>
    <t>Household Consumption 
(%)</t>
  </si>
  <si>
    <t>C16. Alberta’s inflation rate, CPI and core CPI indexed to 2018</t>
  </si>
  <si>
    <t>Sources: Statistics Canada and Haver Analytics</t>
  </si>
  <si>
    <t>CPI: All Items 
(index)</t>
  </si>
  <si>
    <t>CPI: All Items excluding Food and Energy 
(index)</t>
  </si>
  <si>
    <t>Headline Inflation Rate 
(%)</t>
  </si>
  <si>
    <t>C15. Alberta housing starts and completed &amp; unabsorbed units in Edmonton &amp; Calgary</t>
  </si>
  <si>
    <t>Single Units</t>
  </si>
  <si>
    <t>Multi-Units</t>
  </si>
  <si>
    <t>Housing Starts</t>
  </si>
  <si>
    <t>C14. Labour market indicators</t>
  </si>
  <si>
    <t>Unemployment Rate (%)</t>
  </si>
  <si>
    <t>Employment (thousands)</t>
  </si>
  <si>
    <t>C13. Job vacancies remain high</t>
  </si>
  <si>
    <t>Sources: Statistics Canada, Haver Analytics and Alberta Treasury Board and Finance; f-forecast</t>
  </si>
  <si>
    <t>Population Growth 
(%)</t>
  </si>
  <si>
    <t>Net Interprovincial 
(thousands)</t>
  </si>
  <si>
    <t>Net International 
(thousands)</t>
  </si>
  <si>
    <t>Natural Increase 
(thousands)</t>
  </si>
  <si>
    <t>Job Vacancies 
(thousands)</t>
  </si>
  <si>
    <t>Job Vacancy Rate 
(%)</t>
  </si>
  <si>
    <t>Employment 
(thousands)</t>
  </si>
  <si>
    <t>Employment Growth 
(%)</t>
  </si>
  <si>
    <t>Unemployment Rate
 (%)</t>
  </si>
  <si>
    <t>Labour Income 
(percentage points)</t>
  </si>
  <si>
    <t>Net Operating Surplus* 
(percentage points)</t>
  </si>
  <si>
    <t>Other ** 
(percentage points)</t>
  </si>
  <si>
    <t>GDP 
(%)</t>
  </si>
  <si>
    <t>Nominal GDP 
($billions)</t>
  </si>
  <si>
    <t>Real GDP 
($2012 billions)</t>
  </si>
  <si>
    <t>Growth 
(%)</t>
  </si>
  <si>
    <t>C7. Oil prices (US$/bbl)</t>
  </si>
  <si>
    <t>C6. Global oil supply and demand, actual and forecast (mmbpd)</t>
  </si>
  <si>
    <t>Change in Global Implied Oil Stock</t>
  </si>
  <si>
    <t>Conventional Investment 
($billions)</t>
  </si>
  <si>
    <t>Oil Sands Investment 
($billions)</t>
  </si>
  <si>
    <t>Oil Production 
(000's bpd)</t>
  </si>
  <si>
    <t>Oil and Gas Extraction ($billions)</t>
  </si>
  <si>
    <t>Other Mining 
($billions)</t>
  </si>
  <si>
    <t>Other Industries 
($billions)</t>
  </si>
  <si>
    <t>Other Industries Share of Total 
(%)</t>
  </si>
  <si>
    <t>C10. Alberta real non-energy exports by component ($2012 billions)</t>
  </si>
  <si>
    <t>This document contains information licenced under the</t>
  </si>
  <si>
    <t>Open Government License – Alberta</t>
  </si>
  <si>
    <t>Key Energy and Economic Assumptions</t>
  </si>
  <si>
    <r>
      <t>Fiscal Year Assumptions</t>
    </r>
    <r>
      <rPr>
        <b/>
        <vertAlign val="superscript"/>
        <sz val="10"/>
        <rFont val="Arial Narrow"/>
        <family val="2"/>
      </rPr>
      <t>a</t>
    </r>
  </si>
  <si>
    <t>2017-18 Actuals</t>
  </si>
  <si>
    <t>2022-23</t>
  </si>
  <si>
    <t>2023-24</t>
  </si>
  <si>
    <t>2024-25</t>
  </si>
  <si>
    <t>2025-26</t>
  </si>
  <si>
    <t>Actuals</t>
  </si>
  <si>
    <t>Estimate</t>
  </si>
  <si>
    <t>Forecast</t>
  </si>
  <si>
    <r>
      <t>Crude Oil Prices</t>
    </r>
    <r>
      <rPr>
        <b/>
        <vertAlign val="superscript"/>
        <sz val="8"/>
        <rFont val="Arial"/>
        <family val="2"/>
      </rPr>
      <t>b</t>
    </r>
  </si>
  <si>
    <t>WTI (US$/bbl)</t>
  </si>
  <si>
    <t>Light-Heavy Differential (US$/bbl)</t>
  </si>
  <si>
    <t>WCS @ Hardisty (Cdn$/bbl)</t>
  </si>
  <si>
    <r>
      <t>Natural Gas Price</t>
    </r>
    <r>
      <rPr>
        <b/>
        <vertAlign val="superscript"/>
        <sz val="8"/>
        <rFont val="Arial"/>
        <family val="2"/>
      </rPr>
      <t xml:space="preserve">b </t>
    </r>
  </si>
  <si>
    <t>Alberta Reference Price (Cdn$/GJ)</t>
  </si>
  <si>
    <t>Production</t>
  </si>
  <si>
    <t>Conventional Crude Oil (thousands of barrels/day)</t>
  </si>
  <si>
    <t>Raw Bitumen (thousands of barrels/day)</t>
  </si>
  <si>
    <t>Natural Gas (billions of cubic feet)</t>
  </si>
  <si>
    <r>
      <t>Interest Rates</t>
    </r>
    <r>
      <rPr>
        <b/>
        <vertAlign val="superscript"/>
        <sz val="10"/>
        <rFont val="Arial Narrow"/>
        <family val="2"/>
      </rPr>
      <t>b</t>
    </r>
  </si>
  <si>
    <t>3-month Canada Treasury Bills (%)</t>
  </si>
  <si>
    <t>10-year Canada Bonds (%)</t>
  </si>
  <si>
    <r>
      <t>Exchange Rate</t>
    </r>
    <r>
      <rPr>
        <b/>
        <sz val="8"/>
        <rFont val="Arial"/>
        <family val="2"/>
      </rPr>
      <t xml:space="preserve"> (US¢/Cdn$)</t>
    </r>
    <r>
      <rPr>
        <b/>
        <vertAlign val="superscript"/>
        <sz val="8"/>
        <rFont val="Arial"/>
        <family val="2"/>
      </rPr>
      <t>b</t>
    </r>
  </si>
  <si>
    <r>
      <t>Calendar Year Assumptions</t>
    </r>
    <r>
      <rPr>
        <b/>
        <vertAlign val="superscript"/>
        <sz val="10"/>
        <rFont val="Arial Narrow"/>
        <family val="2"/>
      </rPr>
      <t>a</t>
    </r>
  </si>
  <si>
    <t>2017 Actuals</t>
  </si>
  <si>
    <t>Gross Domestic Product</t>
  </si>
  <si>
    <t>Nominal (billions of dollars)</t>
  </si>
  <si>
    <t>% change</t>
  </si>
  <si>
    <t>Real (billions of 2012 dollars)</t>
  </si>
  <si>
    <t>Other Indicators</t>
  </si>
  <si>
    <r>
      <t>2376.1</t>
    </r>
    <r>
      <rPr>
        <vertAlign val="superscript"/>
        <sz val="10"/>
        <rFont val="Arial Narrow"/>
        <family val="2"/>
      </rPr>
      <t>c</t>
    </r>
  </si>
  <si>
    <r>
      <t>5.2</t>
    </r>
    <r>
      <rPr>
        <vertAlign val="superscript"/>
        <sz val="10"/>
        <rFont val="Arial Narrow"/>
        <family val="2"/>
      </rPr>
      <t>c</t>
    </r>
  </si>
  <si>
    <r>
      <t>5.8</t>
    </r>
    <r>
      <rPr>
        <vertAlign val="superscript"/>
        <sz val="10"/>
        <rFont val="Arial Narrow"/>
        <family val="2"/>
      </rPr>
      <t>c</t>
    </r>
  </si>
  <si>
    <t>Average Weekly Earnings (% change)</t>
  </si>
  <si>
    <t>Primary Household Income (% change)</t>
  </si>
  <si>
    <t>Net Corporate Operating Surplus (% change)</t>
  </si>
  <si>
    <t>Housing Starts (thousands of units)</t>
  </si>
  <si>
    <r>
      <t>36.5</t>
    </r>
    <r>
      <rPr>
        <vertAlign val="superscript"/>
        <sz val="10"/>
        <rFont val="Arial Narrow"/>
        <family val="2"/>
      </rPr>
      <t>c</t>
    </r>
  </si>
  <si>
    <t>Alberta Consumer Price Index (% change)</t>
  </si>
  <si>
    <t>Retail Sales (% change)</t>
  </si>
  <si>
    <t>Population (thousands)</t>
  </si>
  <si>
    <r>
      <t>4543.1</t>
    </r>
    <r>
      <rPr>
        <vertAlign val="superscript"/>
        <sz val="10"/>
        <rFont val="Arial Narrow"/>
        <family val="2"/>
      </rPr>
      <t>c</t>
    </r>
  </si>
  <si>
    <r>
      <t>2.2</t>
    </r>
    <r>
      <rPr>
        <vertAlign val="superscript"/>
        <sz val="10"/>
        <rFont val="Arial Narrow"/>
        <family val="2"/>
      </rPr>
      <t>c</t>
    </r>
  </si>
  <si>
    <t>Net Migration (thousands)</t>
  </si>
  <si>
    <r>
      <t>81.7</t>
    </r>
    <r>
      <rPr>
        <vertAlign val="superscript"/>
        <sz val="10"/>
        <rFont val="Arial Narrow"/>
        <family val="2"/>
      </rPr>
      <t>c</t>
    </r>
  </si>
  <si>
    <t>Table 1: Scenario Impacts</t>
  </si>
  <si>
    <t>Fiscal Year Assumptions</t>
  </si>
  <si>
    <t>Base</t>
  </si>
  <si>
    <t>High</t>
  </si>
  <si>
    <t>Low</t>
  </si>
  <si>
    <t>Exchange Rate (US¢/Cdn$)</t>
  </si>
  <si>
    <t>Tax and Resource Revenue ($billions)</t>
  </si>
  <si>
    <t>Variance from base</t>
  </si>
  <si>
    <t>Calendar Year Assumptions</t>
  </si>
  <si>
    <t>Real GDP (% Change)</t>
  </si>
  <si>
    <t>Nominal GDP (% Change)</t>
  </si>
  <si>
    <r>
      <t>Sensitivities to Fiscal Year Assumptions</t>
    </r>
    <r>
      <rPr>
        <b/>
        <vertAlign val="superscript"/>
        <sz val="11"/>
        <color theme="1"/>
        <rFont val="Calibri"/>
        <family val="2"/>
        <scheme val="minor"/>
      </rPr>
      <t>a</t>
    </r>
  </si>
  <si>
    <t>(millions of dollars)</t>
  </si>
  <si>
    <t>Change</t>
  </si>
  <si>
    <r>
      <t>Net Annual</t>
    </r>
    <r>
      <rPr>
        <b/>
        <vertAlign val="superscript"/>
        <sz val="11"/>
        <color theme="1"/>
        <rFont val="Calibri"/>
        <family val="2"/>
        <scheme val="minor"/>
      </rPr>
      <t>b</t>
    </r>
    <r>
      <rPr>
        <b/>
        <sz val="11"/>
        <color theme="1"/>
        <rFont val="Calibri"/>
        <family val="2"/>
        <scheme val="minor"/>
      </rPr>
      <t xml:space="preserve"> Impact (2023-24)</t>
    </r>
  </si>
  <si>
    <t>Oil Price (WTI US$/bbl)</t>
  </si>
  <si>
    <t>-$1.00</t>
  </si>
  <si>
    <t>Light/Heavy Oil Price Differential</t>
  </si>
  <si>
    <t>+$1.00</t>
  </si>
  <si>
    <t>Natural Gas Price (Cdn$/GJ)</t>
  </si>
  <si>
    <t>-10 Cents</t>
  </si>
  <si>
    <t>+ 1 Cent</t>
  </si>
  <si>
    <t>Interest Rates</t>
  </si>
  <si>
    <t>+1%</t>
  </si>
  <si>
    <t>Primary Household Income</t>
  </si>
  <si>
    <t>a Sensitivities are based on current assumptions of prices and rates and show the effect for a full 12-month period. Sensitivities can vary significantly at different price and rate levels. The energy price sensitivities do not include the potential impact of price changes on the revenue from land lease sales or freehold mineral tax.</t>
  </si>
  <si>
    <t>b Annual Impact is calculated as the impact on full 12-month period assuming that there were no actuals during the year. Actual Impact is calculated assuming the change in each variable for the current fiscal year that will affect only 7 remaining months that are not actuals.</t>
  </si>
  <si>
    <t>Sources: Canada Mortgage and Housing Corporation, Haver Analytics and Alberta Treasury Board and Finance; f-forecast</t>
  </si>
  <si>
    <r>
      <t>a</t>
    </r>
    <r>
      <rPr>
        <sz val="7"/>
        <rFont val="Arial"/>
        <family val="2"/>
      </rPr>
      <t xml:space="preserve"> Forecast was finalized on January 30, 2023
</t>
    </r>
    <r>
      <rPr>
        <vertAlign val="superscript"/>
        <sz val="7"/>
        <rFont val="Arial"/>
        <family val="2"/>
      </rPr>
      <t>b</t>
    </r>
    <r>
      <rPr>
        <sz val="7"/>
        <rFont val="Arial"/>
        <family val="2"/>
      </rPr>
      <t xml:space="preserve"> Forecasts have been rounded
</t>
    </r>
    <r>
      <rPr>
        <vertAlign val="superscript"/>
        <sz val="7"/>
        <rFont val="Arial"/>
        <family val="2"/>
      </rPr>
      <t>c</t>
    </r>
    <r>
      <rPr>
        <sz val="7"/>
        <rFont val="Arial"/>
        <family val="2"/>
      </rPr>
      <t xml:space="preserve"> Actual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</si>
</sst>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8" formatCode="&quot;$&quot;#,##0.00_);[Red]\(&quot;$&quot;#,##0.00\)"/>
    <numFmt numFmtId="43" formatCode="_(* #,##0.00_);_(* \(#,##0.00\);_(* &quot;-&quot;??_);_(@_)"/>
    <numFmt numFmtId="164" formatCode="0.0"/>
    <numFmt numFmtId="165" formatCode="#,##0.0"/>
    <numFmt numFmtId="166" formatCode="[$-409]d/mmm/yy;@"/>
    <numFmt numFmtId="167" formatCode="#,##0.000"/>
    <numFmt numFmtId="168" formatCode="&quot;$&quot;#,##0.00"/>
    <numFmt numFmtId="169" formatCode="_-* #,##0_-;\-* #,##0_-;_-* &quot;-&quot;??_-;_-@_-"/>
  </numFmts>
  <fonts count="36"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Arial Narrow"/>
      <family val="2"/>
    </font>
    <font>
      <sz val="11"/>
      <color theme="1"/>
      <name val="Arial Narrow"/>
      <family val="2"/>
    </font>
    <font>
      <sz val="10"/>
      <color theme="1"/>
      <name val="Arial Narrow"/>
      <family val="2"/>
    </font>
    <font>
      <sz val="11"/>
      <name val="Calibri"/>
      <family val="2"/>
      <scheme val="minor"/>
    </font>
    <font>
      <sz val="10"/>
      <name val="Arial"/>
      <family val="2"/>
    </font>
    <font>
      <sz val="9"/>
      <color theme="1"/>
      <name val="Calibri"/>
      <family val="2"/>
      <scheme val="minor"/>
    </font>
    <font>
      <sz val="11"/>
      <color theme="1"/>
      <name val="Arial"/>
      <family val="2"/>
    </font>
    <font>
      <u/>
      <sz val="11"/>
      <color theme="10"/>
      <name val="Calibri"/>
      <family val="2"/>
      <scheme val="minor"/>
    </font>
    <font>
      <sz val="11"/>
      <name val="Arial"/>
      <family val="2"/>
    </font>
    <font>
      <u/>
      <sz val="11"/>
      <color theme="10"/>
      <name val="Arial"/>
      <family val="2"/>
    </font>
    <font>
      <b/>
      <sz val="12"/>
      <name val="Arial Narrow"/>
      <family val="2"/>
    </font>
    <font>
      <b/>
      <sz val="8"/>
      <name val="Arial"/>
      <family val="2"/>
    </font>
    <font>
      <sz val="8"/>
      <name val="Arial"/>
      <family val="2"/>
    </font>
    <font>
      <sz val="9"/>
      <name val="Arial"/>
      <family val="2"/>
    </font>
    <font>
      <b/>
      <sz val="10"/>
      <name val="Arial Narrow"/>
      <family val="2"/>
    </font>
    <font>
      <sz val="10"/>
      <name val="Arial Narrow"/>
      <family val="2"/>
    </font>
    <font>
      <b/>
      <vertAlign val="superscript"/>
      <sz val="10"/>
      <name val="Arial Narrow"/>
      <family val="2"/>
    </font>
    <font>
      <b/>
      <vertAlign val="superscript"/>
      <sz val="8"/>
      <name val="Arial"/>
      <family val="2"/>
    </font>
    <font>
      <sz val="10"/>
      <color rgb="FF7030A0"/>
      <name val="Arial Narrow"/>
      <family val="2"/>
    </font>
    <font>
      <sz val="9"/>
      <color rgb="FF7030A0"/>
      <name val="Arial"/>
      <family val="2"/>
    </font>
    <font>
      <i/>
      <sz val="10"/>
      <name val="Arial Narrow"/>
      <family val="2"/>
    </font>
    <font>
      <i/>
      <sz val="10"/>
      <color rgb="FF7030A0"/>
      <name val="Arial Narrow"/>
      <family val="2"/>
    </font>
    <font>
      <vertAlign val="superscript"/>
      <sz val="10"/>
      <name val="Arial Narrow"/>
      <family val="2"/>
    </font>
    <font>
      <vertAlign val="superscript"/>
      <sz val="7"/>
      <name val="Arial"/>
      <family val="2"/>
    </font>
    <font>
      <sz val="7"/>
      <name val="Arial"/>
      <family val="2"/>
    </font>
    <font>
      <b/>
      <sz val="9"/>
      <color indexed="81"/>
      <name val="Tahoma"/>
      <family val="2"/>
    </font>
    <font>
      <sz val="9"/>
      <color indexed="81"/>
      <name val="Tahoma"/>
      <family val="2"/>
    </font>
    <font>
      <sz val="7"/>
      <color rgb="FFFF0000"/>
      <name val="Arial"/>
      <family val="2"/>
    </font>
    <font>
      <sz val="10"/>
      <color indexed="9"/>
      <name val="Arial"/>
      <family val="2"/>
    </font>
    <font>
      <b/>
      <sz val="16"/>
      <name val="Arial Narrow"/>
      <family val="2"/>
    </font>
    <font>
      <b/>
      <sz val="10"/>
      <color rgb="FFFF0000"/>
      <name val="Arial"/>
      <family val="2"/>
    </font>
    <font>
      <b/>
      <sz val="10"/>
      <name val="Arial"/>
      <family val="2"/>
    </font>
    <font>
      <b/>
      <vertAlign val="superscript"/>
      <sz val="11"/>
      <color theme="1"/>
      <name val="Calibri"/>
      <family val="2"/>
      <scheme val="minor"/>
    </font>
  </fonts>
  <fills count="3">
    <fill>
      <patternFill patternType="none"/>
    </fill>
    <fill>
      <patternFill patternType="gray125"/>
    </fill>
    <fill>
      <patternFill patternType="solid">
        <fgColor theme="0"/>
        <bgColor indexed="64"/>
      </patternFill>
    </fill>
  </fills>
  <borders count="8">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theme="0" tint="-0.14996795556505021"/>
      </right>
      <top style="thin">
        <color indexed="64"/>
      </top>
      <bottom/>
      <diagonal/>
    </border>
    <border>
      <left/>
      <right style="thin">
        <color theme="0" tint="-0.14996795556505021"/>
      </right>
      <top/>
      <bottom/>
      <diagonal/>
    </border>
    <border>
      <left/>
      <right style="thin">
        <color theme="0" tint="-0.14996795556505021"/>
      </right>
      <top/>
      <bottom style="thin">
        <color indexed="64"/>
      </bottom>
      <diagonal/>
    </border>
    <border>
      <left style="medium">
        <color indexed="64"/>
      </left>
      <right style="medium">
        <color indexed="64"/>
      </right>
      <top style="medium">
        <color indexed="64"/>
      </top>
      <bottom/>
      <diagonal/>
    </border>
  </borders>
  <cellStyleXfs count="9">
    <xf numFmtId="0" fontId="0" fillId="0" borderId="0"/>
    <xf numFmtId="43" fontId="1" fillId="0" borderId="0" applyFont="0" applyFill="0" applyBorder="0" applyAlignment="0" applyProtection="0"/>
    <xf numFmtId="0" fontId="9" fillId="0" borderId="0"/>
    <xf numFmtId="0" fontId="7" fillId="0" borderId="0"/>
    <xf numFmtId="0" fontId="7" fillId="0" borderId="0"/>
    <xf numFmtId="0" fontId="9" fillId="0" borderId="0"/>
    <xf numFmtId="0" fontId="10" fillId="0" borderId="0" applyNumberFormat="0" applyFill="0" applyBorder="0" applyAlignment="0" applyProtection="0"/>
    <xf numFmtId="0" fontId="1" fillId="0" borderId="0"/>
    <xf numFmtId="0" fontId="1" fillId="0" borderId="0"/>
  </cellStyleXfs>
  <cellXfs count="135">
    <xf numFmtId="0" fontId="0" fillId="0" borderId="0" xfId="0"/>
    <xf numFmtId="0" fontId="0" fillId="0" borderId="0" xfId="0" applyAlignment="1">
      <alignment wrapText="1"/>
    </xf>
    <xf numFmtId="164" fontId="0" fillId="0" borderId="0" xfId="0" applyNumberFormat="1"/>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165" fontId="5" fillId="0" borderId="0" xfId="0" applyNumberFormat="1" applyFont="1" applyAlignment="1">
      <alignment horizontal="center"/>
    </xf>
    <xf numFmtId="0" fontId="4" fillId="0" borderId="0" xfId="0" applyFont="1" applyAlignment="1">
      <alignment horizontal="center"/>
    </xf>
    <xf numFmtId="0" fontId="0" fillId="0" borderId="0" xfId="0" applyAlignment="1">
      <alignment horizontal="center" vertical="center"/>
    </xf>
    <xf numFmtId="0" fontId="0" fillId="0" borderId="0" xfId="0" applyAlignment="1">
      <alignment horizontal="center"/>
    </xf>
    <xf numFmtId="164" fontId="0" fillId="0" borderId="0" xfId="0" applyNumberFormat="1" applyAlignment="1">
      <alignment horizontal="center"/>
    </xf>
    <xf numFmtId="1" fontId="0" fillId="0" borderId="0" xfId="0" applyNumberFormat="1"/>
    <xf numFmtId="0" fontId="4" fillId="0" borderId="0" xfId="0" applyFont="1" applyAlignment="1">
      <alignment horizontal="center" vertical="center"/>
    </xf>
    <xf numFmtId="2" fontId="0" fillId="0" borderId="0" xfId="0" applyNumberFormat="1" applyAlignment="1">
      <alignment horizontal="center"/>
    </xf>
    <xf numFmtId="166" fontId="0" fillId="0" borderId="0" xfId="0" applyNumberFormat="1" applyAlignment="1">
      <alignment horizontal="center"/>
    </xf>
    <xf numFmtId="0" fontId="8" fillId="0" borderId="0" xfId="0" applyFont="1" applyAlignment="1">
      <alignment horizontal="left"/>
    </xf>
    <xf numFmtId="4" fontId="5" fillId="0" borderId="0" xfId="0" applyNumberFormat="1" applyFont="1" applyAlignment="1">
      <alignment horizontal="center"/>
    </xf>
    <xf numFmtId="4" fontId="0" fillId="0" borderId="0" xfId="0" applyNumberFormat="1"/>
    <xf numFmtId="3" fontId="5" fillId="0" borderId="0" xfId="0" applyNumberFormat="1" applyFont="1" applyAlignment="1">
      <alignment horizontal="center"/>
    </xf>
    <xf numFmtId="1" fontId="5" fillId="0" borderId="1" xfId="0" applyNumberFormat="1" applyFont="1" applyBorder="1" applyAlignment="1">
      <alignment horizontal="center" vertical="center" wrapText="1"/>
    </xf>
    <xf numFmtId="1" fontId="5" fillId="0" borderId="0" xfId="0" applyNumberFormat="1" applyFont="1" applyAlignment="1">
      <alignment horizontal="center"/>
    </xf>
    <xf numFmtId="164" fontId="5" fillId="0" borderId="0" xfId="0" applyNumberFormat="1" applyFont="1" applyAlignment="1">
      <alignment horizontal="center"/>
    </xf>
    <xf numFmtId="0" fontId="3" fillId="0" borderId="0" xfId="0" applyFont="1" applyAlignment="1">
      <alignment horizontal="left"/>
    </xf>
    <xf numFmtId="0" fontId="3" fillId="0" borderId="0" xfId="0" applyFont="1" applyAlignment="1">
      <alignment horizontal="left" vertical="center"/>
    </xf>
    <xf numFmtId="165" fontId="0" fillId="0" borderId="0" xfId="0" applyNumberFormat="1"/>
    <xf numFmtId="3" fontId="0" fillId="0" borderId="0" xfId="0" applyNumberFormat="1"/>
    <xf numFmtId="167" fontId="0" fillId="0" borderId="0" xfId="0" applyNumberFormat="1"/>
    <xf numFmtId="0" fontId="11" fillId="0" borderId="0" xfId="0" applyFont="1" applyAlignment="1">
      <alignment horizontal="center"/>
    </xf>
    <xf numFmtId="0" fontId="12" fillId="0" borderId="0" xfId="6" applyFont="1" applyBorder="1" applyAlignment="1">
      <alignment horizontal="center" vertical="top" wrapText="1"/>
    </xf>
    <xf numFmtId="0" fontId="13" fillId="2" borderId="0" xfId="7" applyFont="1" applyFill="1"/>
    <xf numFmtId="0" fontId="7" fillId="2" borderId="0" xfId="7" applyFont="1" applyFill="1"/>
    <xf numFmtId="0" fontId="14" fillId="2" borderId="0" xfId="7" applyFont="1" applyFill="1"/>
    <xf numFmtId="0" fontId="15" fillId="2" borderId="0" xfId="7" applyFont="1" applyFill="1"/>
    <xf numFmtId="164" fontId="18" fillId="2" borderId="0" xfId="7" applyNumberFormat="1" applyFont="1" applyFill="1" applyAlignment="1">
      <alignment horizontal="right"/>
    </xf>
    <xf numFmtId="0" fontId="17" fillId="2" borderId="2" xfId="7" applyFont="1" applyFill="1" applyBorder="1" applyAlignment="1">
      <alignment horizontal="center" wrapText="1"/>
    </xf>
    <xf numFmtId="0" fontId="17" fillId="2" borderId="2" xfId="7" applyFont="1" applyFill="1" applyBorder="1" applyAlignment="1">
      <alignment horizontal="center" vertical="center" wrapText="1"/>
    </xf>
    <xf numFmtId="0" fontId="17" fillId="2" borderId="3" xfId="7" applyFont="1" applyFill="1" applyBorder="1" applyAlignment="1">
      <alignment horizontal="center" wrapText="1"/>
    </xf>
    <xf numFmtId="0" fontId="17" fillId="2" borderId="3" xfId="7" applyFont="1" applyFill="1" applyBorder="1" applyAlignment="1">
      <alignment horizontal="center" vertical="center" wrapText="1"/>
    </xf>
    <xf numFmtId="0" fontId="17" fillId="0" borderId="3" xfId="7" applyFont="1" applyBorder="1" applyAlignment="1">
      <alignment horizontal="center" vertical="center" wrapText="1"/>
    </xf>
    <xf numFmtId="0" fontId="18" fillId="0" borderId="0" xfId="7" applyFont="1"/>
    <xf numFmtId="0" fontId="18" fillId="2" borderId="0" xfId="7" applyFont="1" applyFill="1"/>
    <xf numFmtId="0" fontId="21" fillId="2" borderId="0" xfId="7" applyFont="1" applyFill="1"/>
    <xf numFmtId="0" fontId="18" fillId="2" borderId="0" xfId="7" applyFont="1" applyFill="1" applyAlignment="1">
      <alignment horizontal="left" indent="1"/>
    </xf>
    <xf numFmtId="2" fontId="18" fillId="2" borderId="0" xfId="7" applyNumberFormat="1" applyFont="1" applyFill="1" applyAlignment="1">
      <alignment horizontal="right"/>
    </xf>
    <xf numFmtId="2" fontId="18" fillId="2" borderId="0" xfId="7" applyNumberFormat="1" applyFont="1" applyFill="1"/>
    <xf numFmtId="2" fontId="21" fillId="2" borderId="0" xfId="7" applyNumberFormat="1" applyFont="1" applyFill="1" applyAlignment="1">
      <alignment horizontal="right"/>
    </xf>
    <xf numFmtId="0" fontId="18" fillId="2" borderId="0" xfId="7" applyFont="1" applyFill="1" applyAlignment="1">
      <alignment horizontal="right"/>
    </xf>
    <xf numFmtId="0" fontId="21" fillId="2" borderId="0" xfId="7" applyFont="1" applyFill="1" applyAlignment="1">
      <alignment horizontal="right"/>
    </xf>
    <xf numFmtId="3" fontId="18" fillId="2" borderId="0" xfId="7" applyNumberFormat="1" applyFont="1" applyFill="1" applyAlignment="1">
      <alignment horizontal="right"/>
    </xf>
    <xf numFmtId="4" fontId="18" fillId="2" borderId="0" xfId="7" applyNumberFormat="1" applyFont="1" applyFill="1" applyAlignment="1">
      <alignment horizontal="right"/>
    </xf>
    <xf numFmtId="164" fontId="18" fillId="2" borderId="3" xfId="7" applyNumberFormat="1" applyFont="1" applyFill="1" applyBorder="1" applyAlignment="1">
      <alignment horizontal="right"/>
    </xf>
    <xf numFmtId="165" fontId="18" fillId="2" borderId="3" xfId="7" applyNumberFormat="1" applyFont="1" applyFill="1" applyBorder="1" applyAlignment="1">
      <alignment horizontal="right"/>
    </xf>
    <xf numFmtId="0" fontId="17" fillId="2" borderId="0" xfId="7" applyFont="1" applyFill="1"/>
    <xf numFmtId="0" fontId="22" fillId="2" borderId="0" xfId="4" applyFont="1" applyFill="1"/>
    <xf numFmtId="0" fontId="18" fillId="2" borderId="0" xfId="7" applyFont="1" applyFill="1" applyAlignment="1">
      <alignment horizontal="left" indent="2"/>
    </xf>
    <xf numFmtId="164" fontId="18" fillId="2" borderId="0" xfId="7" quotePrefix="1" applyNumberFormat="1" applyFont="1" applyFill="1" applyAlignment="1">
      <alignment horizontal="right"/>
    </xf>
    <xf numFmtId="164" fontId="18" fillId="2" borderId="0" xfId="4" applyNumberFormat="1" applyFont="1" applyFill="1"/>
    <xf numFmtId="0" fontId="23" fillId="2" borderId="0" xfId="7" applyFont="1" applyFill="1" applyAlignment="1">
      <alignment horizontal="right"/>
    </xf>
    <xf numFmtId="0" fontId="24" fillId="2" borderId="0" xfId="7" applyFont="1" applyFill="1"/>
    <xf numFmtId="0" fontId="16" fillId="2" borderId="0" xfId="4" applyFont="1" applyFill="1"/>
    <xf numFmtId="3" fontId="18" fillId="2" borderId="0" xfId="7" applyNumberFormat="1" applyFont="1" applyFill="1"/>
    <xf numFmtId="1" fontId="18" fillId="2" borderId="0" xfId="4" applyNumberFormat="1" applyFont="1" applyFill="1"/>
    <xf numFmtId="165" fontId="18" fillId="2" borderId="0" xfId="7" applyNumberFormat="1" applyFont="1" applyFill="1"/>
    <xf numFmtId="0" fontId="18" fillId="2" borderId="0" xfId="4" applyFont="1" applyFill="1"/>
    <xf numFmtId="164" fontId="18" fillId="2" borderId="0" xfId="7" applyNumberFormat="1" applyFont="1" applyFill="1"/>
    <xf numFmtId="3" fontId="18" fillId="2" borderId="0" xfId="7" applyNumberFormat="1" applyFont="1" applyFill="1" applyAlignment="1">
      <alignment horizontal="right" vertical="center"/>
    </xf>
    <xf numFmtId="3" fontId="18" fillId="2" borderId="0" xfId="7" applyNumberFormat="1" applyFont="1" applyFill="1" applyAlignment="1">
      <alignment vertical="center"/>
    </xf>
    <xf numFmtId="169" fontId="18" fillId="2" borderId="0" xfId="1" applyNumberFormat="1" applyFont="1" applyFill="1" applyAlignment="1">
      <alignment vertical="center"/>
    </xf>
    <xf numFmtId="0" fontId="18" fillId="2" borderId="0" xfId="7" applyFont="1" applyFill="1" applyAlignment="1">
      <alignment horizontal="right" vertical="center"/>
    </xf>
    <xf numFmtId="165" fontId="18" fillId="2" borderId="0" xfId="7" applyNumberFormat="1" applyFont="1" applyFill="1" applyAlignment="1">
      <alignment horizontal="right" vertical="center"/>
    </xf>
    <xf numFmtId="164" fontId="18" fillId="2" borderId="3" xfId="7" applyNumberFormat="1" applyFont="1" applyFill="1" applyBorder="1" applyAlignment="1">
      <alignment horizontal="right" vertical="center"/>
    </xf>
    <xf numFmtId="165" fontId="18" fillId="2" borderId="3" xfId="7" applyNumberFormat="1" applyFont="1" applyFill="1" applyBorder="1"/>
    <xf numFmtId="0" fontId="18" fillId="2" borderId="3" xfId="4" applyFont="1" applyFill="1" applyBorder="1"/>
    <xf numFmtId="164" fontId="15" fillId="2" borderId="0" xfId="4" applyNumberFormat="1" applyFont="1" applyFill="1"/>
    <xf numFmtId="0" fontId="26" fillId="2" borderId="0" xfId="4" applyFont="1" applyFill="1" applyAlignment="1">
      <alignment wrapText="1"/>
    </xf>
    <xf numFmtId="0" fontId="7" fillId="2" borderId="0" xfId="4" applyFill="1"/>
    <xf numFmtId="0" fontId="0" fillId="2" borderId="0" xfId="0" applyFill="1" applyAlignment="1">
      <alignment horizontal="center"/>
    </xf>
    <xf numFmtId="0" fontId="30" fillId="2" borderId="0" xfId="4" applyFont="1" applyFill="1"/>
    <xf numFmtId="0" fontId="31" fillId="2" borderId="0" xfId="4" applyFont="1" applyFill="1"/>
    <xf numFmtId="0" fontId="1" fillId="2" borderId="0" xfId="7" applyFill="1"/>
    <xf numFmtId="0" fontId="16" fillId="2" borderId="0" xfId="7" applyFont="1" applyFill="1"/>
    <xf numFmtId="0" fontId="17" fillId="2" borderId="0" xfId="7" applyFont="1" applyFill="1" applyAlignment="1">
      <alignment horizontal="left"/>
    </xf>
    <xf numFmtId="0" fontId="21" fillId="2" borderId="4" xfId="7" applyFont="1" applyFill="1" applyBorder="1"/>
    <xf numFmtId="2" fontId="18" fillId="2" borderId="5" xfId="7" applyNumberFormat="1" applyFont="1" applyFill="1" applyBorder="1" applyAlignment="1">
      <alignment horizontal="right"/>
    </xf>
    <xf numFmtId="168" fontId="1" fillId="2" borderId="0" xfId="8" applyNumberFormat="1" applyFill="1"/>
    <xf numFmtId="2" fontId="18" fillId="2" borderId="5" xfId="7" applyNumberFormat="1" applyFont="1" applyFill="1" applyBorder="1"/>
    <xf numFmtId="2" fontId="21" fillId="2" borderId="5" xfId="7" applyNumberFormat="1" applyFont="1" applyFill="1" applyBorder="1" applyAlignment="1">
      <alignment horizontal="right"/>
    </xf>
    <xf numFmtId="0" fontId="21" fillId="2" borderId="5" xfId="7" applyFont="1" applyFill="1" applyBorder="1" applyAlignment="1">
      <alignment horizontal="right"/>
    </xf>
    <xf numFmtId="3" fontId="6" fillId="2" borderId="0" xfId="8" applyNumberFormat="1" applyFont="1" applyFill="1"/>
    <xf numFmtId="3" fontId="1" fillId="2" borderId="0" xfId="8" applyNumberFormat="1" applyFill="1"/>
    <xf numFmtId="3" fontId="18" fillId="2" borderId="5" xfId="7" applyNumberFormat="1" applyFont="1" applyFill="1" applyBorder="1" applyAlignment="1">
      <alignment horizontal="right"/>
    </xf>
    <xf numFmtId="0" fontId="17" fillId="2" borderId="3" xfId="7" applyFont="1" applyFill="1" applyBorder="1" applyAlignment="1">
      <alignment horizontal="left"/>
    </xf>
    <xf numFmtId="165" fontId="18" fillId="2" borderId="6" xfId="7" applyNumberFormat="1" applyFont="1" applyFill="1" applyBorder="1" applyAlignment="1">
      <alignment horizontal="right"/>
    </xf>
    <xf numFmtId="164" fontId="16" fillId="2" borderId="0" xfId="4" applyNumberFormat="1" applyFont="1" applyFill="1"/>
    <xf numFmtId="165" fontId="18" fillId="2" borderId="0" xfId="7" applyNumberFormat="1" applyFont="1" applyFill="1" applyAlignment="1">
      <alignment horizontal="right"/>
    </xf>
    <xf numFmtId="3" fontId="5" fillId="2" borderId="0" xfId="7" applyNumberFormat="1" applyFont="1" applyFill="1" applyAlignment="1">
      <alignment horizontal="right" vertical="center"/>
    </xf>
    <xf numFmtId="0" fontId="5" fillId="2" borderId="0" xfId="7" applyFont="1" applyFill="1" applyAlignment="1">
      <alignment horizontal="right" vertical="center"/>
    </xf>
    <xf numFmtId="0" fontId="18" fillId="2" borderId="3" xfId="7" applyFont="1" applyFill="1" applyBorder="1" applyAlignment="1">
      <alignment horizontal="left" indent="1"/>
    </xf>
    <xf numFmtId="164" fontId="5" fillId="2" borderId="3" xfId="7" applyNumberFormat="1" applyFont="1" applyFill="1" applyBorder="1" applyAlignment="1">
      <alignment horizontal="right" vertical="center"/>
    </xf>
    <xf numFmtId="0" fontId="15" fillId="2" borderId="0" xfId="4" applyFont="1" applyFill="1"/>
    <xf numFmtId="164" fontId="15" fillId="2" borderId="0" xfId="4" applyNumberFormat="1" applyFont="1" applyFill="1" applyAlignment="1">
      <alignment horizontal="right"/>
    </xf>
    <xf numFmtId="14" fontId="16" fillId="2" borderId="0" xfId="4" applyNumberFormat="1" applyFont="1" applyFill="1"/>
    <xf numFmtId="0" fontId="32" fillId="2" borderId="0" xfId="7" applyFont="1" applyFill="1"/>
    <xf numFmtId="0" fontId="33" fillId="2" borderId="0" xfId="7" applyFont="1" applyFill="1"/>
    <xf numFmtId="0" fontId="34" fillId="2" borderId="0" xfId="7" applyFont="1" applyFill="1"/>
    <xf numFmtId="0" fontId="0" fillId="2" borderId="0" xfId="0" applyFill="1"/>
    <xf numFmtId="0" fontId="17" fillId="2" borderId="1" xfId="7" applyFont="1" applyFill="1" applyBorder="1" applyAlignment="1">
      <alignment vertical="center"/>
    </xf>
    <xf numFmtId="0" fontId="17" fillId="2" borderId="1" xfId="7" applyFont="1" applyFill="1" applyBorder="1" applyAlignment="1">
      <alignment horizontal="center" vertical="center"/>
    </xf>
    <xf numFmtId="0" fontId="18" fillId="2" borderId="0" xfId="7" applyFont="1" applyFill="1" applyAlignment="1">
      <alignment horizontal="left"/>
    </xf>
    <xf numFmtId="2" fontId="18" fillId="2" borderId="0" xfId="7" applyNumberFormat="1" applyFont="1" applyFill="1" applyAlignment="1">
      <alignment horizontal="center"/>
    </xf>
    <xf numFmtId="0" fontId="18" fillId="2" borderId="0" xfId="7" applyFont="1" applyFill="1" applyAlignment="1">
      <alignment horizontal="left" indent="3"/>
    </xf>
    <xf numFmtId="164" fontId="18" fillId="2" borderId="0" xfId="7" applyNumberFormat="1" applyFont="1" applyFill="1" applyAlignment="1">
      <alignment horizontal="center"/>
    </xf>
    <xf numFmtId="164" fontId="18" fillId="2" borderId="0" xfId="1" quotePrefix="1" applyNumberFormat="1" applyFont="1" applyFill="1" applyBorder="1" applyAlignment="1">
      <alignment horizontal="center"/>
    </xf>
    <xf numFmtId="164" fontId="5" fillId="2" borderId="0" xfId="1" quotePrefix="1" applyNumberFormat="1" applyFont="1" applyFill="1" applyBorder="1" applyAlignment="1">
      <alignment horizontal="center"/>
    </xf>
    <xf numFmtId="164" fontId="18" fillId="2" borderId="0" xfId="1" applyNumberFormat="1" applyFont="1" applyFill="1" applyBorder="1" applyAlignment="1">
      <alignment horizontal="center"/>
    </xf>
    <xf numFmtId="3" fontId="18" fillId="2" borderId="0" xfId="7" applyNumberFormat="1" applyFont="1" applyFill="1" applyAlignment="1">
      <alignment horizontal="center"/>
    </xf>
    <xf numFmtId="0" fontId="18" fillId="0" borderId="3" xfId="7" applyFont="1" applyBorder="1"/>
    <xf numFmtId="8" fontId="18" fillId="0" borderId="0" xfId="7" quotePrefix="1" applyNumberFormat="1" applyFont="1" applyAlignment="1">
      <alignment horizontal="center"/>
    </xf>
    <xf numFmtId="0" fontId="18" fillId="0" borderId="0" xfId="7" applyFont="1" applyAlignment="1">
      <alignment horizontal="center"/>
    </xf>
    <xf numFmtId="9" fontId="18" fillId="0" borderId="0" xfId="7" quotePrefix="1" applyNumberFormat="1" applyFont="1" applyAlignment="1">
      <alignment horizontal="center"/>
    </xf>
    <xf numFmtId="0" fontId="18" fillId="0" borderId="0" xfId="7" quotePrefix="1" applyFont="1" applyAlignment="1">
      <alignment horizontal="center"/>
    </xf>
    <xf numFmtId="9" fontId="18" fillId="0" borderId="3" xfId="7" applyNumberFormat="1" applyFont="1" applyBorder="1" applyAlignment="1">
      <alignment horizontal="center"/>
    </xf>
    <xf numFmtId="0" fontId="18" fillId="0" borderId="3" xfId="7" applyFont="1" applyBorder="1" applyAlignment="1">
      <alignment horizontal="center"/>
    </xf>
    <xf numFmtId="0" fontId="18" fillId="0" borderId="3" xfId="7" applyFont="1" applyBorder="1" applyAlignment="1">
      <alignment wrapText="1"/>
    </xf>
    <xf numFmtId="0" fontId="2" fillId="0" borderId="7" xfId="0" applyFont="1" applyBorder="1" applyAlignment="1">
      <alignment horizontal="center"/>
    </xf>
    <xf numFmtId="0" fontId="0" fillId="0" borderId="0" xfId="0" applyBorder="1"/>
    <xf numFmtId="2" fontId="2" fillId="0" borderId="0" xfId="0" applyNumberFormat="1" applyFont="1" applyBorder="1" applyAlignment="1">
      <alignment horizontal="center" wrapText="1"/>
    </xf>
    <xf numFmtId="0" fontId="15" fillId="2" borderId="0" xfId="7" applyFont="1" applyFill="1" applyAlignment="1">
      <alignment horizontal="center"/>
    </xf>
    <xf numFmtId="0" fontId="0" fillId="2" borderId="0" xfId="0" applyFill="1" applyAlignment="1">
      <alignment horizontal="center"/>
    </xf>
    <xf numFmtId="0" fontId="17" fillId="2" borderId="2" xfId="7" applyFont="1" applyFill="1" applyBorder="1" applyAlignment="1">
      <alignment horizontal="left" vertical="center"/>
    </xf>
    <xf numFmtId="0" fontId="17" fillId="2" borderId="3" xfId="7" applyFont="1" applyFill="1" applyBorder="1" applyAlignment="1">
      <alignment horizontal="left" vertical="center"/>
    </xf>
    <xf numFmtId="0" fontId="2" fillId="0" borderId="0" xfId="0" applyFont="1" applyAlignment="1">
      <alignment horizontal="left" vertical="top" wrapText="1"/>
    </xf>
    <xf numFmtId="0" fontId="13" fillId="0" borderId="0" xfId="7" applyFont="1" applyAlignment="1">
      <alignment wrapText="1"/>
    </xf>
    <xf numFmtId="0" fontId="0" fillId="0" borderId="0" xfId="0" applyAlignment="1">
      <alignment wrapText="1"/>
    </xf>
    <xf numFmtId="0" fontId="8" fillId="0" borderId="0" xfId="0" applyFont="1" applyAlignment="1">
      <alignment horizontal="left" vertical="center" wrapText="1"/>
    </xf>
    <xf numFmtId="0" fontId="0" fillId="0" borderId="0" xfId="0" applyAlignment="1">
      <alignment vertical="center" wrapText="1"/>
    </xf>
  </cellXfs>
  <cellStyles count="9">
    <cellStyle name="Comma" xfId="1" builtinId="3"/>
    <cellStyle name="Hyperlink" xfId="6" builtinId="8"/>
    <cellStyle name="Normal" xfId="0" builtinId="0"/>
    <cellStyle name="Normal 10 2 12" xfId="4"/>
    <cellStyle name="Normal 10 2 2 2 2" xfId="2"/>
    <cellStyle name="Normal 18 91" xfId="3"/>
    <cellStyle name="Normal 2" xfId="7"/>
    <cellStyle name="Normal 2 5" xfId="8"/>
    <cellStyle name="Normal 2 59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773416</xdr:colOff>
      <xdr:row>42</xdr:row>
      <xdr:rowOff>27571</xdr:rowOff>
    </xdr:to>
    <xdr:pic>
      <xdr:nvPicPr>
        <xdr:cNvPr id="9" name="Picture 8">
          <a:extLst>
            <a:ext uri="{FF2B5EF4-FFF2-40B4-BE49-F238E27FC236}">
              <a16:creationId xmlns:a16="http://schemas.microsoft.com/office/drawing/2014/main" id="{3745A4BD-3A84-4DE9-BC46-01EA4FC4FCE6}"/>
            </a:ext>
          </a:extLst>
        </xdr:cNvPr>
        <xdr:cNvPicPr>
          <a:picLocks noChangeAspect="1"/>
        </xdr:cNvPicPr>
      </xdr:nvPicPr>
      <xdr:blipFill>
        <a:blip xmlns:r="http://schemas.openxmlformats.org/officeDocument/2006/relationships" r:embed="rId1"/>
        <a:stretch>
          <a:fillRect/>
        </a:stretch>
      </xdr:blipFill>
      <xdr:spPr>
        <a:xfrm>
          <a:off x="0" y="0"/>
          <a:ext cx="6665309" cy="80285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EFP\ERF\BudgetPreparation_2370\2023-24\BUDGET\Binder\6.1b_Revenue_Sensitivities_referen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unded"/>
      <sheetName val="Unrounded"/>
    </sheetNames>
    <sheetDataSet>
      <sheetData sheetId="0"/>
      <sheetData sheetId="1">
        <row r="5">
          <cell r="G5">
            <v>-633.75520307697798</v>
          </cell>
        </row>
        <row r="6">
          <cell r="G6">
            <v>-610.34756635431768</v>
          </cell>
        </row>
        <row r="7">
          <cell r="G7">
            <v>-15.990416583879323</v>
          </cell>
        </row>
        <row r="8">
          <cell r="G8">
            <v>-492.19515484788417</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open.alberta.ca/licence"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5:B46"/>
  <sheetViews>
    <sheetView tabSelected="1" zoomScale="70" zoomScaleNormal="70" workbookViewId="0"/>
  </sheetViews>
  <sheetFormatPr defaultRowHeight="14.5" x14ac:dyDescent="0.35"/>
  <cols>
    <col min="1" max="1" width="12.7265625" customWidth="1"/>
    <col min="2" max="2" width="75.7265625" customWidth="1"/>
    <col min="3" max="3" width="12.7265625" customWidth="1"/>
  </cols>
  <sheetData>
    <row r="45" spans="2:2" x14ac:dyDescent="0.35">
      <c r="B45" s="26" t="s">
        <v>286</v>
      </c>
    </row>
    <row r="46" spans="2:2" x14ac:dyDescent="0.35">
      <c r="B46" s="27" t="s">
        <v>287</v>
      </c>
    </row>
  </sheetData>
  <hyperlinks>
    <hyperlink ref="B46" r:id="rId1"/>
  </hyperlinks>
  <pageMargins left="0.7" right="0.7" top="0.75" bottom="0.75" header="0.3" footer="0.3"/>
  <pageSetup orientation="portrait" r:id="rId2"/>
  <headerFooter>
    <oddFooter>&amp;L&amp;1#&amp;"Calibri"&amp;11&amp;K000000Classification: Public</odd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43"/>
  <sheetViews>
    <sheetView topLeftCell="A13" zoomScale="85" zoomScaleNormal="85" workbookViewId="0">
      <selection activeCell="L35" sqref="L35"/>
    </sheetView>
  </sheetViews>
  <sheetFormatPr defaultColWidth="9.1796875" defaultRowHeight="12.5" x14ac:dyDescent="0.25"/>
  <cols>
    <col min="1" max="1" width="36.26953125" style="74" customWidth="1"/>
    <col min="2" max="2" width="10.54296875" style="74" hidden="1" customWidth="1"/>
    <col min="3" max="3" width="8.453125" style="74" hidden="1" customWidth="1"/>
    <col min="4" max="5" width="8.7265625" style="74" customWidth="1"/>
    <col min="6" max="6" width="9" style="74" customWidth="1"/>
    <col min="7" max="7" width="8.26953125" style="74" customWidth="1"/>
    <col min="8" max="16384" width="9.1796875" style="74"/>
  </cols>
  <sheetData>
    <row r="1" spans="1:11" ht="15.5" x14ac:dyDescent="0.35">
      <c r="A1" s="28" t="s">
        <v>288</v>
      </c>
      <c r="B1" s="29"/>
      <c r="C1" s="29"/>
      <c r="D1" s="29"/>
      <c r="E1" s="29"/>
      <c r="F1" s="29"/>
      <c r="G1" s="29"/>
      <c r="H1" s="29"/>
      <c r="I1" s="78"/>
      <c r="J1" s="78"/>
    </row>
    <row r="2" spans="1:11" s="58" customFormat="1" ht="6" customHeight="1" x14ac:dyDescent="0.25">
      <c r="A2" s="30"/>
      <c r="B2" s="31"/>
      <c r="C2" s="31"/>
      <c r="D2" s="31"/>
      <c r="E2" s="31"/>
      <c r="F2" s="31"/>
      <c r="H2" s="31"/>
      <c r="I2" s="79"/>
      <c r="J2" s="79"/>
    </row>
    <row r="3" spans="1:11" s="58" customFormat="1" ht="14.25" customHeight="1" x14ac:dyDescent="0.35">
      <c r="A3" s="80"/>
      <c r="B3" s="32"/>
      <c r="C3" s="32"/>
      <c r="D3" s="32"/>
      <c r="E3" s="32"/>
      <c r="F3" s="31"/>
      <c r="G3" s="126"/>
      <c r="H3" s="127"/>
      <c r="I3" s="127"/>
      <c r="J3" s="75"/>
    </row>
    <row r="4" spans="1:11" s="58" customFormat="1" ht="16.5" customHeight="1" x14ac:dyDescent="0.35">
      <c r="A4" s="128" t="s">
        <v>289</v>
      </c>
      <c r="B4" s="33" t="s">
        <v>290</v>
      </c>
      <c r="C4" s="34" t="s">
        <v>207</v>
      </c>
      <c r="D4" s="34" t="s">
        <v>208</v>
      </c>
      <c r="E4" s="34" t="s">
        <v>209</v>
      </c>
      <c r="F4" s="34" t="s">
        <v>291</v>
      </c>
      <c r="G4" s="34" t="s">
        <v>292</v>
      </c>
      <c r="H4" s="34" t="s">
        <v>293</v>
      </c>
      <c r="I4" s="34" t="s">
        <v>294</v>
      </c>
      <c r="J4" s="75"/>
    </row>
    <row r="5" spans="1:11" s="58" customFormat="1" ht="12" customHeight="1" x14ac:dyDescent="0.3">
      <c r="A5" s="129"/>
      <c r="B5" s="35" t="s">
        <v>290</v>
      </c>
      <c r="C5" s="36" t="s">
        <v>295</v>
      </c>
      <c r="D5" s="36" t="s">
        <v>295</v>
      </c>
      <c r="E5" s="36" t="s">
        <v>295</v>
      </c>
      <c r="F5" s="36" t="s">
        <v>296</v>
      </c>
      <c r="G5" s="36" t="s">
        <v>297</v>
      </c>
      <c r="H5" s="36" t="s">
        <v>297</v>
      </c>
      <c r="I5" s="36" t="s">
        <v>297</v>
      </c>
    </row>
    <row r="6" spans="1:11" s="58" customFormat="1" ht="14.25" customHeight="1" x14ac:dyDescent="0.3">
      <c r="A6" s="51" t="s">
        <v>298</v>
      </c>
      <c r="B6" s="39"/>
      <c r="C6" s="39"/>
      <c r="D6" s="39"/>
      <c r="E6" s="39"/>
      <c r="F6" s="40"/>
      <c r="G6" s="81"/>
      <c r="H6" s="40"/>
      <c r="I6" s="52"/>
    </row>
    <row r="7" spans="1:11" s="58" customFormat="1" ht="14.25" customHeight="1" x14ac:dyDescent="0.35">
      <c r="A7" s="41" t="s">
        <v>299</v>
      </c>
      <c r="B7" s="42">
        <v>53.69</v>
      </c>
      <c r="C7" s="42">
        <v>54.85</v>
      </c>
      <c r="D7" s="42">
        <v>42.318333333333335</v>
      </c>
      <c r="E7" s="42">
        <v>77.026666666666671</v>
      </c>
      <c r="F7" s="42">
        <v>90.5</v>
      </c>
      <c r="G7" s="82">
        <v>79</v>
      </c>
      <c r="H7" s="42">
        <v>76</v>
      </c>
      <c r="I7" s="42">
        <v>73.5</v>
      </c>
      <c r="J7" s="83"/>
      <c r="K7" s="83"/>
    </row>
    <row r="8" spans="1:11" s="58" customFormat="1" ht="14.25" customHeight="1" x14ac:dyDescent="0.35">
      <c r="A8" s="41" t="s">
        <v>300</v>
      </c>
      <c r="B8" s="42">
        <v>14.4</v>
      </c>
      <c r="C8" s="42">
        <v>14.817499999999995</v>
      </c>
      <c r="D8" s="42">
        <v>10.581666666666667</v>
      </c>
      <c r="E8" s="42">
        <v>13.558333333333337</v>
      </c>
      <c r="F8" s="42">
        <v>20</v>
      </c>
      <c r="G8" s="82">
        <v>19.5</v>
      </c>
      <c r="H8" s="42">
        <v>16.8</v>
      </c>
      <c r="I8" s="42">
        <v>16.399999999999999</v>
      </c>
      <c r="J8" s="83"/>
      <c r="K8" s="83"/>
    </row>
    <row r="9" spans="1:11" s="58" customFormat="1" ht="14.25" customHeight="1" x14ac:dyDescent="0.35">
      <c r="A9" s="41" t="s">
        <v>301</v>
      </c>
      <c r="B9" s="42">
        <v>50.38</v>
      </c>
      <c r="C9" s="42">
        <v>53.139111833333324</v>
      </c>
      <c r="D9" s="42">
        <v>41.419620000000002</v>
      </c>
      <c r="E9" s="42">
        <v>79.631753416666655</v>
      </c>
      <c r="F9" s="43">
        <v>92.6</v>
      </c>
      <c r="G9" s="84">
        <v>78</v>
      </c>
      <c r="H9" s="43">
        <v>75.900000000000006</v>
      </c>
      <c r="I9" s="43">
        <v>72.099999999999994</v>
      </c>
      <c r="J9" s="83"/>
      <c r="K9" s="83"/>
    </row>
    <row r="10" spans="1:11" s="58" customFormat="1" ht="14.25" customHeight="1" x14ac:dyDescent="0.35">
      <c r="A10" s="51" t="s">
        <v>302</v>
      </c>
      <c r="B10" s="42"/>
      <c r="C10" s="42"/>
      <c r="D10" s="42"/>
      <c r="E10" s="42"/>
      <c r="F10" s="44"/>
      <c r="G10" s="85"/>
      <c r="H10" s="44"/>
      <c r="J10" s="83"/>
      <c r="K10" s="83"/>
    </row>
    <row r="11" spans="1:11" s="58" customFormat="1" ht="14.25" customHeight="1" x14ac:dyDescent="0.35">
      <c r="A11" s="41" t="s">
        <v>303</v>
      </c>
      <c r="B11" s="42">
        <v>1.82</v>
      </c>
      <c r="C11" s="42">
        <v>1.385</v>
      </c>
      <c r="D11" s="42">
        <v>2.0983333333333332</v>
      </c>
      <c r="E11" s="42">
        <v>3.4783333333333335</v>
      </c>
      <c r="F11" s="42">
        <v>5.0999999999999996</v>
      </c>
      <c r="G11" s="82">
        <v>4.0999999999999996</v>
      </c>
      <c r="H11" s="42">
        <v>3.6</v>
      </c>
      <c r="I11" s="42">
        <v>3.8</v>
      </c>
      <c r="J11" s="83"/>
      <c r="K11" s="83"/>
    </row>
    <row r="12" spans="1:11" s="58" customFormat="1" ht="14.25" customHeight="1" x14ac:dyDescent="0.35">
      <c r="A12" s="80" t="s">
        <v>304</v>
      </c>
      <c r="B12" s="45"/>
      <c r="C12" s="45"/>
      <c r="D12" s="45"/>
      <c r="E12" s="45"/>
      <c r="F12" s="46"/>
      <c r="G12" s="86"/>
      <c r="H12" s="87"/>
      <c r="J12" s="88"/>
      <c r="K12" s="88"/>
    </row>
    <row r="13" spans="1:11" s="58" customFormat="1" ht="14.25" customHeight="1" x14ac:dyDescent="0.3">
      <c r="A13" s="41" t="s">
        <v>305</v>
      </c>
      <c r="B13" s="45">
        <v>457</v>
      </c>
      <c r="C13" s="47">
        <v>484</v>
      </c>
      <c r="D13" s="47">
        <v>401</v>
      </c>
      <c r="E13" s="47">
        <v>444</v>
      </c>
      <c r="F13" s="47">
        <v>497</v>
      </c>
      <c r="G13" s="89">
        <v>497</v>
      </c>
      <c r="H13" s="47">
        <v>497</v>
      </c>
      <c r="I13" s="47">
        <v>490</v>
      </c>
    </row>
    <row r="14" spans="1:11" s="58" customFormat="1" ht="14.25" customHeight="1" x14ac:dyDescent="0.3">
      <c r="A14" s="41" t="s">
        <v>306</v>
      </c>
      <c r="B14" s="47">
        <v>2804</v>
      </c>
      <c r="C14" s="47">
        <v>3085</v>
      </c>
      <c r="D14" s="47">
        <v>2969</v>
      </c>
      <c r="E14" s="47">
        <v>3197</v>
      </c>
      <c r="F14" s="47">
        <v>3281</v>
      </c>
      <c r="G14" s="89">
        <v>3345</v>
      </c>
      <c r="H14" s="47">
        <v>3436</v>
      </c>
      <c r="I14" s="47">
        <v>3529</v>
      </c>
    </row>
    <row r="15" spans="1:11" s="58" customFormat="1" ht="14.25" customHeight="1" x14ac:dyDescent="0.3">
      <c r="A15" s="41" t="s">
        <v>307</v>
      </c>
      <c r="B15" s="47">
        <v>4211</v>
      </c>
      <c r="C15" s="47">
        <v>4045</v>
      </c>
      <c r="D15" s="47">
        <v>3857</v>
      </c>
      <c r="E15" s="47">
        <v>4027</v>
      </c>
      <c r="F15" s="47">
        <v>4226</v>
      </c>
      <c r="G15" s="89">
        <v>4275</v>
      </c>
      <c r="H15" s="47">
        <v>4304</v>
      </c>
      <c r="I15" s="47">
        <v>4347</v>
      </c>
    </row>
    <row r="16" spans="1:11" s="58" customFormat="1" ht="14.25" customHeight="1" x14ac:dyDescent="0.3">
      <c r="A16" s="51" t="s">
        <v>308</v>
      </c>
      <c r="B16" s="45"/>
      <c r="C16" s="45"/>
      <c r="D16" s="45"/>
      <c r="E16" s="45"/>
      <c r="F16" s="46"/>
      <c r="G16" s="86"/>
      <c r="H16" s="52"/>
    </row>
    <row r="17" spans="1:10" s="58" customFormat="1" ht="14.25" customHeight="1" x14ac:dyDescent="0.3">
      <c r="A17" s="41" t="s">
        <v>309</v>
      </c>
      <c r="B17" s="42">
        <v>0.85</v>
      </c>
      <c r="C17" s="42">
        <v>1.57</v>
      </c>
      <c r="D17" s="48">
        <v>0.14199999999999999</v>
      </c>
      <c r="E17" s="48">
        <v>0.191</v>
      </c>
      <c r="F17" s="42">
        <v>3.2</v>
      </c>
      <c r="G17" s="82">
        <v>4.2</v>
      </c>
      <c r="H17" s="42">
        <v>2.9</v>
      </c>
      <c r="I17" s="42">
        <v>2.8</v>
      </c>
    </row>
    <row r="18" spans="1:10" s="58" customFormat="1" ht="14.25" customHeight="1" x14ac:dyDescent="0.3">
      <c r="A18" s="41" t="s">
        <v>310</v>
      </c>
      <c r="B18" s="42">
        <v>1.91</v>
      </c>
      <c r="C18" s="42">
        <v>1.42</v>
      </c>
      <c r="D18" s="48">
        <v>0.74049999999999994</v>
      </c>
      <c r="E18" s="48">
        <v>1.5582500000000001</v>
      </c>
      <c r="F18" s="42">
        <v>3.1</v>
      </c>
      <c r="G18" s="82">
        <v>3.6</v>
      </c>
      <c r="H18" s="42">
        <v>3.4</v>
      </c>
      <c r="I18" s="42">
        <v>3.4</v>
      </c>
    </row>
    <row r="19" spans="1:10" s="58" customFormat="1" ht="14.25" customHeight="1" x14ac:dyDescent="0.3">
      <c r="A19" s="90" t="s">
        <v>311</v>
      </c>
      <c r="B19" s="49">
        <v>78</v>
      </c>
      <c r="C19" s="49">
        <v>75.2</v>
      </c>
      <c r="D19" s="50">
        <v>75.7</v>
      </c>
      <c r="E19" s="50">
        <v>79.8</v>
      </c>
      <c r="F19" s="50">
        <v>75.7</v>
      </c>
      <c r="G19" s="91">
        <v>76.2</v>
      </c>
      <c r="H19" s="50">
        <v>78.2</v>
      </c>
      <c r="I19" s="50">
        <v>79.5</v>
      </c>
    </row>
    <row r="20" spans="1:10" s="58" customFormat="1" ht="14.25" customHeight="1" x14ac:dyDescent="0.35">
      <c r="A20" s="80"/>
      <c r="B20" s="32"/>
      <c r="C20" s="32"/>
      <c r="D20" s="32"/>
      <c r="E20" s="32"/>
      <c r="F20" s="31"/>
      <c r="G20" s="126"/>
      <c r="H20" s="127"/>
      <c r="I20" s="127"/>
      <c r="J20" s="127"/>
    </row>
    <row r="21" spans="1:10" s="58" customFormat="1" ht="16.5" customHeight="1" x14ac:dyDescent="0.25">
      <c r="A21" s="128" t="s">
        <v>312</v>
      </c>
      <c r="B21" s="34" t="s">
        <v>313</v>
      </c>
      <c r="C21" s="34">
        <v>2019</v>
      </c>
      <c r="D21" s="34">
        <v>2020</v>
      </c>
      <c r="E21" s="34">
        <v>2021</v>
      </c>
      <c r="F21" s="34">
        <v>2022</v>
      </c>
      <c r="G21" s="34">
        <v>2023</v>
      </c>
      <c r="H21" s="34">
        <v>2024</v>
      </c>
      <c r="I21" s="34">
        <v>2025</v>
      </c>
      <c r="J21" s="34">
        <v>2026</v>
      </c>
    </row>
    <row r="22" spans="1:10" s="58" customFormat="1" ht="13" x14ac:dyDescent="0.25">
      <c r="A22" s="129"/>
      <c r="B22" s="36" t="s">
        <v>313</v>
      </c>
      <c r="C22" s="36" t="s">
        <v>295</v>
      </c>
      <c r="D22" s="36" t="s">
        <v>295</v>
      </c>
      <c r="E22" s="36" t="s">
        <v>295</v>
      </c>
      <c r="F22" s="36" t="s">
        <v>296</v>
      </c>
      <c r="G22" s="36" t="s">
        <v>297</v>
      </c>
      <c r="H22" s="36" t="s">
        <v>297</v>
      </c>
      <c r="I22" s="36" t="s">
        <v>297</v>
      </c>
      <c r="J22" s="36" t="s">
        <v>297</v>
      </c>
    </row>
    <row r="23" spans="1:10" s="58" customFormat="1" ht="14.25" customHeight="1" x14ac:dyDescent="0.3">
      <c r="A23" s="51" t="s">
        <v>314</v>
      </c>
      <c r="B23" s="45"/>
      <c r="C23" s="45"/>
      <c r="D23" s="39"/>
      <c r="E23" s="39"/>
      <c r="F23" s="40"/>
      <c r="G23" s="40"/>
      <c r="H23" s="40"/>
      <c r="I23" s="40"/>
      <c r="J23" s="52"/>
    </row>
    <row r="24" spans="1:10" s="58" customFormat="1" ht="14.25" customHeight="1" x14ac:dyDescent="0.3">
      <c r="A24" s="41" t="s">
        <v>315</v>
      </c>
      <c r="B24" s="32">
        <v>332.19099999999997</v>
      </c>
      <c r="C24" s="32">
        <v>351.38900000000001</v>
      </c>
      <c r="D24" s="32">
        <v>296.68200000000002</v>
      </c>
      <c r="E24" s="32">
        <v>374.48599999999999</v>
      </c>
      <c r="F24" s="32">
        <v>464.346</v>
      </c>
      <c r="G24" s="32">
        <v>454.02199999999999</v>
      </c>
      <c r="H24" s="32">
        <v>470.12799999999999</v>
      </c>
      <c r="I24" s="32">
        <v>487.06799999999998</v>
      </c>
      <c r="J24" s="32">
        <v>507.53699999999998</v>
      </c>
    </row>
    <row r="25" spans="1:10" s="58" customFormat="1" ht="14.25" customHeight="1" x14ac:dyDescent="0.3">
      <c r="A25" s="53" t="s">
        <v>316</v>
      </c>
      <c r="B25" s="54">
        <v>9.1999999999999993</v>
      </c>
      <c r="C25" s="54">
        <v>1.5</v>
      </c>
      <c r="D25" s="54">
        <v>-15.7</v>
      </c>
      <c r="E25" s="54">
        <v>26.2</v>
      </c>
      <c r="F25" s="54">
        <v>24</v>
      </c>
      <c r="G25" s="54">
        <v>-2.2000000000000002</v>
      </c>
      <c r="H25" s="54">
        <v>3.5</v>
      </c>
      <c r="I25" s="54">
        <v>3.6</v>
      </c>
      <c r="J25" s="54">
        <v>4.2</v>
      </c>
    </row>
    <row r="26" spans="1:10" s="58" customFormat="1" ht="14.25" customHeight="1" x14ac:dyDescent="0.3">
      <c r="A26" s="41" t="s">
        <v>317</v>
      </c>
      <c r="B26" s="32">
        <v>341.029</v>
      </c>
      <c r="C26" s="92">
        <v>347.18599999999998</v>
      </c>
      <c r="D26" s="55">
        <v>320.30200000000002</v>
      </c>
      <c r="E26" s="55">
        <v>335.55</v>
      </c>
      <c r="F26" s="55">
        <v>351.596</v>
      </c>
      <c r="G26" s="55">
        <v>361.41800000000001</v>
      </c>
      <c r="H26" s="55">
        <v>372.286</v>
      </c>
      <c r="I26" s="55">
        <v>383.18</v>
      </c>
      <c r="J26" s="55">
        <v>393.85399999999998</v>
      </c>
    </row>
    <row r="27" spans="1:10" s="58" customFormat="1" ht="14.25" customHeight="1" x14ac:dyDescent="0.3">
      <c r="A27" s="53" t="s">
        <v>316</v>
      </c>
      <c r="B27" s="54">
        <v>4.8</v>
      </c>
      <c r="C27" s="54">
        <v>-0.12</v>
      </c>
      <c r="D27" s="54">
        <v>-8</v>
      </c>
      <c r="E27" s="54">
        <v>4.8</v>
      </c>
      <c r="F27" s="54">
        <v>4.8</v>
      </c>
      <c r="G27" s="54">
        <v>2.8</v>
      </c>
      <c r="H27" s="54">
        <v>3</v>
      </c>
      <c r="I27" s="54">
        <v>2.9</v>
      </c>
      <c r="J27" s="54">
        <v>2.8</v>
      </c>
    </row>
    <row r="28" spans="1:10" s="58" customFormat="1" ht="14.25" customHeight="1" x14ac:dyDescent="0.3">
      <c r="A28" s="51" t="s">
        <v>318</v>
      </c>
      <c r="B28" s="56"/>
      <c r="C28" s="56"/>
      <c r="D28" s="56"/>
      <c r="E28" s="56"/>
      <c r="F28" s="57"/>
      <c r="G28" s="57"/>
      <c r="H28" s="57"/>
      <c r="I28" s="57"/>
    </row>
    <row r="29" spans="1:10" s="58" customFormat="1" ht="14.25" customHeight="1" x14ac:dyDescent="0.3">
      <c r="A29" s="41" t="s">
        <v>256</v>
      </c>
      <c r="B29" s="47">
        <v>2286.9</v>
      </c>
      <c r="C29" s="47">
        <v>2279.3000000000002</v>
      </c>
      <c r="D29" s="47">
        <v>2143.6999999999998</v>
      </c>
      <c r="E29" s="47">
        <v>2259.6</v>
      </c>
      <c r="F29" s="47" t="s">
        <v>319</v>
      </c>
      <c r="G29" s="59">
        <v>2430.6999999999998</v>
      </c>
      <c r="H29" s="59">
        <v>2496.6</v>
      </c>
      <c r="I29" s="59">
        <v>2559.6999999999998</v>
      </c>
      <c r="J29" s="60">
        <v>2618.6</v>
      </c>
    </row>
    <row r="30" spans="1:10" s="58" customFormat="1" ht="14.25" customHeight="1" x14ac:dyDescent="0.3">
      <c r="A30" s="53" t="s">
        <v>316</v>
      </c>
      <c r="B30" s="32">
        <v>1</v>
      </c>
      <c r="C30" s="54">
        <v>0.7</v>
      </c>
      <c r="D30" s="54">
        <v>-7.1</v>
      </c>
      <c r="E30" s="54">
        <v>5.4</v>
      </c>
      <c r="F30" s="32" t="s">
        <v>320</v>
      </c>
      <c r="G30" s="61">
        <v>2.2999999999999998</v>
      </c>
      <c r="H30" s="61">
        <v>2.7</v>
      </c>
      <c r="I30" s="61">
        <v>2.5</v>
      </c>
      <c r="J30" s="62">
        <v>2.2999999999999998</v>
      </c>
    </row>
    <row r="31" spans="1:10" s="58" customFormat="1" ht="14.25" customHeight="1" x14ac:dyDescent="0.3">
      <c r="A31" s="41" t="s">
        <v>255</v>
      </c>
      <c r="B31" s="32">
        <v>7.8</v>
      </c>
      <c r="C31" s="54">
        <v>7</v>
      </c>
      <c r="D31" s="54">
        <v>11.3</v>
      </c>
      <c r="E31" s="54">
        <v>8.6</v>
      </c>
      <c r="F31" s="32" t="s">
        <v>321</v>
      </c>
      <c r="G31" s="61">
        <v>6.4</v>
      </c>
      <c r="H31" s="61">
        <v>6.3</v>
      </c>
      <c r="I31" s="61">
        <v>6.1</v>
      </c>
      <c r="J31" s="62">
        <v>5.7</v>
      </c>
    </row>
    <row r="32" spans="1:10" s="58" customFormat="1" ht="14.25" customHeight="1" x14ac:dyDescent="0.3">
      <c r="A32" s="41" t="s">
        <v>322</v>
      </c>
      <c r="B32" s="54">
        <v>1</v>
      </c>
      <c r="C32" s="54">
        <v>1.4</v>
      </c>
      <c r="D32" s="54">
        <v>3.2</v>
      </c>
      <c r="E32" s="54">
        <v>2.1</v>
      </c>
      <c r="F32" s="63">
        <v>2.4</v>
      </c>
      <c r="G32" s="61">
        <v>3.3</v>
      </c>
      <c r="H32" s="61">
        <v>3.7</v>
      </c>
      <c r="I32" s="61">
        <v>3.7</v>
      </c>
      <c r="J32" s="62">
        <v>3.5</v>
      </c>
    </row>
    <row r="33" spans="1:10" s="58" customFormat="1" ht="14.25" customHeight="1" x14ac:dyDescent="0.3">
      <c r="A33" s="41" t="s">
        <v>323</v>
      </c>
      <c r="B33" s="54">
        <v>4.0999999999999996</v>
      </c>
      <c r="C33" s="54">
        <v>2.4</v>
      </c>
      <c r="D33" s="54">
        <v>-4.8</v>
      </c>
      <c r="E33" s="54">
        <v>5.8</v>
      </c>
      <c r="F33" s="63">
        <v>8.8000000000000007</v>
      </c>
      <c r="G33" s="61">
        <v>5.9</v>
      </c>
      <c r="H33" s="61">
        <v>6.7</v>
      </c>
      <c r="I33" s="61">
        <v>6.4</v>
      </c>
      <c r="J33" s="62">
        <v>6.1</v>
      </c>
    </row>
    <row r="34" spans="1:10" s="58" customFormat="1" ht="14.25" customHeight="1" x14ac:dyDescent="0.3">
      <c r="A34" s="41" t="s">
        <v>324</v>
      </c>
      <c r="B34" s="54">
        <v>165.1</v>
      </c>
      <c r="C34" s="32">
        <v>2.6</v>
      </c>
      <c r="D34" s="32">
        <v>-60.3</v>
      </c>
      <c r="E34" s="32">
        <v>284.89999999999998</v>
      </c>
      <c r="F34" s="63">
        <v>54.9</v>
      </c>
      <c r="G34" s="61">
        <v>-13.9</v>
      </c>
      <c r="H34" s="61">
        <v>7.9</v>
      </c>
      <c r="I34" s="61">
        <v>6.9</v>
      </c>
      <c r="J34" s="62">
        <v>4.4000000000000004</v>
      </c>
    </row>
    <row r="35" spans="1:10" s="58" customFormat="1" ht="14.25" customHeight="1" x14ac:dyDescent="0.3">
      <c r="A35" s="41" t="s">
        <v>325</v>
      </c>
      <c r="B35" s="93">
        <v>29.5</v>
      </c>
      <c r="C35" s="32">
        <v>27.3</v>
      </c>
      <c r="D35" s="32">
        <v>24</v>
      </c>
      <c r="E35" s="32">
        <v>31.9</v>
      </c>
      <c r="F35" s="32" t="s">
        <v>326</v>
      </c>
      <c r="G35" s="61">
        <v>38.1</v>
      </c>
      <c r="H35" s="61">
        <v>37.700000000000003</v>
      </c>
      <c r="I35" s="61">
        <v>36.4</v>
      </c>
      <c r="J35" s="55">
        <v>36.700000000000003</v>
      </c>
    </row>
    <row r="36" spans="1:10" s="58" customFormat="1" ht="14.25" customHeight="1" x14ac:dyDescent="0.3">
      <c r="A36" s="41" t="s">
        <v>327</v>
      </c>
      <c r="B36" s="32">
        <v>1.6</v>
      </c>
      <c r="C36" s="54">
        <v>1.8</v>
      </c>
      <c r="D36" s="54">
        <v>1.1000000000000001</v>
      </c>
      <c r="E36" s="54">
        <v>3.2</v>
      </c>
      <c r="F36" s="63">
        <v>6.4</v>
      </c>
      <c r="G36" s="61">
        <v>3.3</v>
      </c>
      <c r="H36" s="61">
        <v>2.2000000000000002</v>
      </c>
      <c r="I36" s="61">
        <v>2.2000000000000002</v>
      </c>
      <c r="J36" s="62">
        <v>2.2000000000000002</v>
      </c>
    </row>
    <row r="37" spans="1:10" s="58" customFormat="1" ht="14.25" customHeight="1" x14ac:dyDescent="0.3">
      <c r="A37" s="41" t="s">
        <v>328</v>
      </c>
      <c r="B37" s="32">
        <v>7.1</v>
      </c>
      <c r="C37" s="54">
        <v>-0.8</v>
      </c>
      <c r="D37" s="54">
        <v>-2.1</v>
      </c>
      <c r="E37" s="54">
        <v>11.5</v>
      </c>
      <c r="F37" s="63">
        <v>6.4</v>
      </c>
      <c r="G37" s="61">
        <v>4.2</v>
      </c>
      <c r="H37" s="61">
        <v>4.8</v>
      </c>
      <c r="I37" s="61">
        <v>4.8</v>
      </c>
      <c r="J37" s="62">
        <v>5</v>
      </c>
    </row>
    <row r="38" spans="1:10" s="58" customFormat="1" ht="14.25" customHeight="1" x14ac:dyDescent="0.3">
      <c r="A38" s="41" t="s">
        <v>329</v>
      </c>
      <c r="B38" s="94">
        <v>4243.5</v>
      </c>
      <c r="C38" s="64">
        <v>4362.576</v>
      </c>
      <c r="D38" s="64">
        <v>4416.7</v>
      </c>
      <c r="E38" s="64">
        <v>4443.8</v>
      </c>
      <c r="F38" s="64" t="s">
        <v>330</v>
      </c>
      <c r="G38" s="32">
        <v>4674</v>
      </c>
      <c r="H38" s="65">
        <v>4777.1000000000004</v>
      </c>
      <c r="I38" s="65">
        <v>4875.1000000000004</v>
      </c>
      <c r="J38" s="66">
        <v>4957</v>
      </c>
    </row>
    <row r="39" spans="1:10" s="58" customFormat="1" ht="14.25" customHeight="1" x14ac:dyDescent="0.3">
      <c r="A39" s="53" t="s">
        <v>316</v>
      </c>
      <c r="B39" s="95">
        <v>1.1000000000000001</v>
      </c>
      <c r="C39" s="67">
        <v>1.5</v>
      </c>
      <c r="D39" s="67">
        <v>1.2</v>
      </c>
      <c r="E39" s="67">
        <v>0.6</v>
      </c>
      <c r="F39" s="68" t="s">
        <v>331</v>
      </c>
      <c r="G39" s="32">
        <v>2.9</v>
      </c>
      <c r="H39" s="61">
        <v>2.2000000000000002</v>
      </c>
      <c r="I39" s="61">
        <v>2.1</v>
      </c>
      <c r="J39" s="62">
        <v>1.7</v>
      </c>
    </row>
    <row r="40" spans="1:10" s="58" customFormat="1" ht="14.25" customHeight="1" x14ac:dyDescent="0.3">
      <c r="A40" s="96" t="s">
        <v>332</v>
      </c>
      <c r="B40" s="97">
        <v>17.59</v>
      </c>
      <c r="C40" s="69">
        <v>37.728999999999999</v>
      </c>
      <c r="D40" s="69">
        <v>30.5</v>
      </c>
      <c r="E40" s="69">
        <v>8.1999999999999993</v>
      </c>
      <c r="F40" s="69" t="s">
        <v>333</v>
      </c>
      <c r="G40" s="49">
        <v>112.3</v>
      </c>
      <c r="H40" s="70">
        <v>83.1</v>
      </c>
      <c r="I40" s="70">
        <v>77.099999999999994</v>
      </c>
      <c r="J40" s="71">
        <v>60.2</v>
      </c>
    </row>
    <row r="41" spans="1:10" s="58" customFormat="1" ht="14.25" customHeight="1" x14ac:dyDescent="0.25">
      <c r="A41" s="98"/>
      <c r="B41" s="99"/>
      <c r="C41" s="72"/>
      <c r="D41" s="72"/>
      <c r="E41" s="72"/>
      <c r="F41" s="72"/>
      <c r="G41" s="72"/>
      <c r="H41" s="72"/>
      <c r="J41" s="100"/>
    </row>
    <row r="42" spans="1:10" ht="32" x14ac:dyDescent="0.25">
      <c r="A42" s="73" t="s">
        <v>362</v>
      </c>
      <c r="B42" s="98"/>
      <c r="C42" s="98"/>
    </row>
    <row r="43" spans="1:10" x14ac:dyDescent="0.25">
      <c r="A43" s="76"/>
      <c r="B43" s="77"/>
      <c r="F43" s="77"/>
    </row>
  </sheetData>
  <mergeCells count="4">
    <mergeCell ref="G3:I3"/>
    <mergeCell ref="A4:A5"/>
    <mergeCell ref="G20:J20"/>
    <mergeCell ref="A21:A22"/>
  </mergeCells>
  <pageMargins left="0.7" right="0.7" top="0.75" bottom="0.75" header="0.3" footer="0.3"/>
  <pageSetup orientation="portrait" r:id="rId1"/>
  <headerFooter>
    <oddFooter>&amp;L&amp;1#&amp;"Calibri"&amp;11&amp;K000000Classification: Public</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selection sqref="A1:C1"/>
    </sheetView>
  </sheetViews>
  <sheetFormatPr defaultRowHeight="14.5" x14ac:dyDescent="0.35"/>
  <cols>
    <col min="1" max="1" width="39.453125" customWidth="1"/>
    <col min="2" max="3" width="18.7265625" customWidth="1"/>
  </cols>
  <sheetData>
    <row r="1" spans="1:4" ht="15" thickBot="1" x14ac:dyDescent="0.4">
      <c r="A1" s="131" t="s">
        <v>345</v>
      </c>
      <c r="B1" s="132"/>
      <c r="C1" s="132"/>
    </row>
    <row r="2" spans="1:4" x14ac:dyDescent="0.35">
      <c r="A2" s="38" t="s">
        <v>346</v>
      </c>
      <c r="C2" s="123"/>
    </row>
    <row r="3" spans="1:4" x14ac:dyDescent="0.35">
      <c r="B3" s="124"/>
      <c r="C3" s="125"/>
      <c r="D3" s="124"/>
    </row>
    <row r="4" spans="1:4" s="1" customFormat="1" ht="31" x14ac:dyDescent="0.35">
      <c r="A4" s="122"/>
      <c r="B4" s="37" t="s">
        <v>347</v>
      </c>
      <c r="C4" s="37" t="s">
        <v>348</v>
      </c>
    </row>
    <row r="5" spans="1:4" x14ac:dyDescent="0.35">
      <c r="A5" s="38" t="s">
        <v>349</v>
      </c>
      <c r="B5" s="116" t="s">
        <v>350</v>
      </c>
      <c r="C5" s="117">
        <f>ROUND([1]Unrounded!G5,-1)</f>
        <v>-630</v>
      </c>
    </row>
    <row r="6" spans="1:4" x14ac:dyDescent="0.35">
      <c r="A6" s="38" t="s">
        <v>351</v>
      </c>
      <c r="B6" s="118" t="s">
        <v>352</v>
      </c>
      <c r="C6" s="117">
        <f>ROUND([1]Unrounded!G6,-2)</f>
        <v>-600</v>
      </c>
    </row>
    <row r="7" spans="1:4" x14ac:dyDescent="0.35">
      <c r="A7" s="38" t="s">
        <v>353</v>
      </c>
      <c r="B7" s="119" t="s">
        <v>354</v>
      </c>
      <c r="C7" s="119">
        <f>ROUNDDOWN([1]Unrounded!G7,-0.5)</f>
        <v>-15</v>
      </c>
    </row>
    <row r="8" spans="1:4" x14ac:dyDescent="0.35">
      <c r="A8" s="38" t="s">
        <v>339</v>
      </c>
      <c r="B8" s="119" t="s">
        <v>355</v>
      </c>
      <c r="C8" s="117">
        <f>ROUND([1]Unrounded!G8,-1)</f>
        <v>-490</v>
      </c>
    </row>
    <row r="9" spans="1:4" x14ac:dyDescent="0.35">
      <c r="A9" s="38" t="s">
        <v>356</v>
      </c>
      <c r="B9" s="118" t="s">
        <v>357</v>
      </c>
      <c r="C9" s="117">
        <v>-146</v>
      </c>
    </row>
    <row r="10" spans="1:4" x14ac:dyDescent="0.35">
      <c r="A10" s="115" t="s">
        <v>358</v>
      </c>
      <c r="B10" s="120">
        <v>-0.01</v>
      </c>
      <c r="C10" s="121">
        <v>-160</v>
      </c>
    </row>
    <row r="12" spans="1:4" x14ac:dyDescent="0.35">
      <c r="A12" s="130"/>
      <c r="B12" s="130"/>
    </row>
    <row r="13" spans="1:4" ht="50.15" customHeight="1" x14ac:dyDescent="0.35">
      <c r="A13" s="133" t="s">
        <v>359</v>
      </c>
      <c r="B13" s="134"/>
      <c r="C13" s="134"/>
    </row>
    <row r="14" spans="1:4" ht="50.15" customHeight="1" x14ac:dyDescent="0.35">
      <c r="A14" s="133" t="s">
        <v>360</v>
      </c>
      <c r="B14" s="134"/>
      <c r="C14" s="134"/>
    </row>
  </sheetData>
  <mergeCells count="4">
    <mergeCell ref="A12:B12"/>
    <mergeCell ref="A1:C1"/>
    <mergeCell ref="A13:C13"/>
    <mergeCell ref="A14:C14"/>
  </mergeCells>
  <pageMargins left="0.7" right="0.7" top="0.75" bottom="0.75" header="0.3" footer="0.3"/>
  <pageSetup orientation="portrait" r:id="rId1"/>
  <headerFooter>
    <oddFooter>&amp;L&amp;1#&amp;"Calibri"&amp;11&amp;K000000Classification: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workbookViewId="0"/>
  </sheetViews>
  <sheetFormatPr defaultColWidth="9.1796875" defaultRowHeight="14.5" x14ac:dyDescent="0.35"/>
  <cols>
    <col min="1" max="1" width="34.26953125" style="104" customWidth="1"/>
    <col min="2" max="5" width="9.7265625" style="104" customWidth="1"/>
    <col min="6" max="16384" width="9.1796875" style="104"/>
  </cols>
  <sheetData>
    <row r="1" spans="1:5" ht="20" x14ac:dyDescent="0.4">
      <c r="A1" s="101" t="s">
        <v>334</v>
      </c>
      <c r="B1" s="102"/>
      <c r="C1" s="103"/>
      <c r="D1" s="103"/>
      <c r="E1" s="29"/>
    </row>
    <row r="2" spans="1:5" x14ac:dyDescent="0.35">
      <c r="A2" s="30"/>
      <c r="B2" s="31"/>
      <c r="C2" s="31"/>
      <c r="D2" s="31"/>
      <c r="E2" s="31"/>
    </row>
    <row r="3" spans="1:5" x14ac:dyDescent="0.35">
      <c r="A3" s="105" t="s">
        <v>335</v>
      </c>
      <c r="B3" s="106" t="s">
        <v>292</v>
      </c>
      <c r="C3" s="106" t="s">
        <v>293</v>
      </c>
      <c r="D3" s="106" t="s">
        <v>294</v>
      </c>
      <c r="E3" s="58"/>
    </row>
    <row r="4" spans="1:5" x14ac:dyDescent="0.35">
      <c r="A4" s="107" t="s">
        <v>299</v>
      </c>
      <c r="B4" s="42"/>
      <c r="C4" s="42"/>
      <c r="D4" s="42"/>
      <c r="E4" s="58"/>
    </row>
    <row r="5" spans="1:5" x14ac:dyDescent="0.35">
      <c r="A5" s="41" t="s">
        <v>336</v>
      </c>
      <c r="B5" s="108">
        <v>79</v>
      </c>
      <c r="C5" s="108">
        <v>76</v>
      </c>
      <c r="D5" s="108">
        <v>73.5</v>
      </c>
      <c r="E5" s="58"/>
    </row>
    <row r="6" spans="1:5" x14ac:dyDescent="0.35">
      <c r="A6" s="109" t="s">
        <v>337</v>
      </c>
      <c r="B6" s="108">
        <v>107</v>
      </c>
      <c r="C6" s="108">
        <v>93</v>
      </c>
      <c r="D6" s="108">
        <v>87</v>
      </c>
      <c r="E6" s="58"/>
    </row>
    <row r="7" spans="1:5" x14ac:dyDescent="0.35">
      <c r="A7" s="109" t="s">
        <v>338</v>
      </c>
      <c r="B7" s="108">
        <v>52.5</v>
      </c>
      <c r="C7" s="108">
        <v>61.5</v>
      </c>
      <c r="D7" s="108">
        <v>62.5</v>
      </c>
      <c r="E7" s="58"/>
    </row>
    <row r="8" spans="1:5" x14ac:dyDescent="0.35">
      <c r="A8" s="107" t="s">
        <v>300</v>
      </c>
      <c r="B8" s="108"/>
      <c r="C8" s="108"/>
      <c r="D8" s="108"/>
      <c r="E8" s="58"/>
    </row>
    <row r="9" spans="1:5" x14ac:dyDescent="0.35">
      <c r="A9" s="41" t="s">
        <v>336</v>
      </c>
      <c r="B9" s="108">
        <v>19.5</v>
      </c>
      <c r="C9" s="108">
        <v>16.8</v>
      </c>
      <c r="D9" s="108">
        <v>16.399999999999999</v>
      </c>
      <c r="E9" s="58"/>
    </row>
    <row r="10" spans="1:5" x14ac:dyDescent="0.35">
      <c r="A10" s="109" t="s">
        <v>337</v>
      </c>
      <c r="B10" s="108">
        <v>23.4</v>
      </c>
      <c r="C10" s="108">
        <v>19.8</v>
      </c>
      <c r="D10" s="108">
        <v>18.2</v>
      </c>
      <c r="E10" s="58"/>
    </row>
    <row r="11" spans="1:5" x14ac:dyDescent="0.35">
      <c r="A11" s="109" t="s">
        <v>338</v>
      </c>
      <c r="B11" s="108">
        <v>18.100000000000001</v>
      </c>
      <c r="C11" s="108">
        <v>16.100000000000001</v>
      </c>
      <c r="D11" s="108">
        <v>15.5</v>
      </c>
      <c r="E11" s="58"/>
    </row>
    <row r="12" spans="1:5" x14ac:dyDescent="0.35">
      <c r="A12" s="107" t="s">
        <v>339</v>
      </c>
      <c r="B12" s="108"/>
      <c r="C12" s="108"/>
      <c r="D12" s="108"/>
      <c r="E12" s="58"/>
    </row>
    <row r="13" spans="1:5" x14ac:dyDescent="0.35">
      <c r="A13" s="41" t="s">
        <v>336</v>
      </c>
      <c r="B13" s="110">
        <v>76.201288409009294</v>
      </c>
      <c r="C13" s="110">
        <v>78.202235003250607</v>
      </c>
      <c r="D13" s="110">
        <v>79.501942539808496</v>
      </c>
      <c r="E13" s="58"/>
    </row>
    <row r="14" spans="1:5" x14ac:dyDescent="0.35">
      <c r="A14" s="109" t="s">
        <v>337</v>
      </c>
      <c r="B14" s="110">
        <v>78.715331768329705</v>
      </c>
      <c r="C14" s="110">
        <v>79.718551961713004</v>
      </c>
      <c r="D14" s="110">
        <v>80.540035669065901</v>
      </c>
      <c r="E14" s="58"/>
    </row>
    <row r="15" spans="1:5" x14ac:dyDescent="0.35">
      <c r="A15" s="109" t="s">
        <v>338</v>
      </c>
      <c r="B15" s="110">
        <v>73.709247096492902</v>
      </c>
      <c r="C15" s="110">
        <v>76.923099708632094</v>
      </c>
      <c r="D15" s="110">
        <v>78.385572346112497</v>
      </c>
      <c r="E15" s="58"/>
    </row>
    <row r="16" spans="1:5" x14ac:dyDescent="0.35">
      <c r="A16" s="107" t="s">
        <v>340</v>
      </c>
      <c r="B16" s="111"/>
      <c r="C16" s="111"/>
      <c r="D16" s="111"/>
      <c r="E16" s="58"/>
    </row>
    <row r="17" spans="1:5" x14ac:dyDescent="0.35">
      <c r="A17" s="41" t="s">
        <v>336</v>
      </c>
      <c r="B17" s="110">
        <v>40.844416552452572</v>
      </c>
      <c r="C17" s="110">
        <v>41.729717819207636</v>
      </c>
      <c r="D17" s="110">
        <v>41.640676372065101</v>
      </c>
      <c r="E17" s="110"/>
    </row>
    <row r="18" spans="1:5" x14ac:dyDescent="0.35">
      <c r="A18" s="53" t="s">
        <v>341</v>
      </c>
      <c r="B18" s="112"/>
      <c r="C18" s="112"/>
      <c r="D18" s="112"/>
      <c r="E18" s="58"/>
    </row>
    <row r="19" spans="1:5" x14ac:dyDescent="0.35">
      <c r="A19" s="109" t="s">
        <v>337</v>
      </c>
      <c r="B19" s="110">
        <v>14.241722247098405</v>
      </c>
      <c r="C19" s="110">
        <v>11.468861499372432</v>
      </c>
      <c r="D19" s="110">
        <v>10.322324182304298</v>
      </c>
      <c r="E19" s="110"/>
    </row>
    <row r="20" spans="1:5" x14ac:dyDescent="0.35">
      <c r="A20" s="109" t="s">
        <v>338</v>
      </c>
      <c r="B20" s="110">
        <v>-14.488626955457494</v>
      </c>
      <c r="C20" s="110">
        <v>-12.287683729027517</v>
      </c>
      <c r="D20" s="110">
        <v>-10.587259786769625</v>
      </c>
      <c r="E20" s="110"/>
    </row>
    <row r="21" spans="1:5" x14ac:dyDescent="0.35">
      <c r="A21" s="109"/>
      <c r="B21" s="110"/>
      <c r="C21" s="110"/>
      <c r="D21" s="110"/>
      <c r="E21" s="110"/>
    </row>
    <row r="22" spans="1:5" x14ac:dyDescent="0.35">
      <c r="A22" s="105" t="s">
        <v>342</v>
      </c>
      <c r="B22" s="106">
        <v>2023</v>
      </c>
      <c r="C22" s="106">
        <v>2024</v>
      </c>
      <c r="D22" s="106">
        <v>2025</v>
      </c>
      <c r="E22" s="106">
        <v>2026</v>
      </c>
    </row>
    <row r="23" spans="1:5" x14ac:dyDescent="0.35">
      <c r="A23" s="107" t="s">
        <v>343</v>
      </c>
      <c r="B23" s="61"/>
      <c r="C23" s="61"/>
      <c r="D23" s="61"/>
      <c r="E23" s="61"/>
    </row>
    <row r="24" spans="1:5" x14ac:dyDescent="0.35">
      <c r="A24" s="41" t="s">
        <v>336</v>
      </c>
      <c r="B24" s="113">
        <v>2.8</v>
      </c>
      <c r="C24" s="113">
        <v>3</v>
      </c>
      <c r="D24" s="113">
        <v>2.9</v>
      </c>
      <c r="E24" s="113">
        <v>2.8</v>
      </c>
    </row>
    <row r="25" spans="1:5" x14ac:dyDescent="0.35">
      <c r="A25" s="109" t="s">
        <v>337</v>
      </c>
      <c r="B25" s="110">
        <v>4.9000000000000004</v>
      </c>
      <c r="C25" s="110">
        <v>4.0999999999999996</v>
      </c>
      <c r="D25" s="110">
        <v>3.1</v>
      </c>
      <c r="E25" s="110">
        <v>2.5</v>
      </c>
    </row>
    <row r="26" spans="1:5" x14ac:dyDescent="0.35">
      <c r="A26" s="109" t="s">
        <v>338</v>
      </c>
      <c r="B26" s="110">
        <v>0.8</v>
      </c>
      <c r="C26" s="110">
        <v>2.1</v>
      </c>
      <c r="D26" s="110">
        <v>2.4</v>
      </c>
      <c r="E26" s="110">
        <v>2.7</v>
      </c>
    </row>
    <row r="27" spans="1:5" x14ac:dyDescent="0.35">
      <c r="A27" s="107" t="s">
        <v>344</v>
      </c>
      <c r="B27" s="61"/>
      <c r="C27" s="61"/>
      <c r="D27" s="61"/>
      <c r="E27" s="61"/>
    </row>
    <row r="28" spans="1:5" x14ac:dyDescent="0.35">
      <c r="A28" s="41" t="s">
        <v>336</v>
      </c>
      <c r="B28" s="113">
        <v>-2.2000000000000002</v>
      </c>
      <c r="C28" s="113">
        <v>3.5</v>
      </c>
      <c r="D28" s="113">
        <v>3.6</v>
      </c>
      <c r="E28" s="113">
        <v>4.2</v>
      </c>
    </row>
    <row r="29" spans="1:5" x14ac:dyDescent="0.35">
      <c r="A29" s="109" t="s">
        <v>337</v>
      </c>
      <c r="B29" s="110">
        <v>7.6</v>
      </c>
      <c r="C29" s="110">
        <v>2.9</v>
      </c>
      <c r="D29" s="110">
        <v>2.2999999999999998</v>
      </c>
      <c r="E29" s="110">
        <v>3.1</v>
      </c>
    </row>
    <row r="30" spans="1:5" x14ac:dyDescent="0.35">
      <c r="A30" s="109" t="s">
        <v>338</v>
      </c>
      <c r="B30" s="110">
        <v>-12</v>
      </c>
      <c r="C30" s="110">
        <v>3.9</v>
      </c>
      <c r="D30" s="110">
        <v>3.9</v>
      </c>
      <c r="E30" s="110">
        <v>5</v>
      </c>
    </row>
    <row r="31" spans="1:5" x14ac:dyDescent="0.35">
      <c r="A31" s="107" t="s">
        <v>256</v>
      </c>
      <c r="B31" s="110"/>
      <c r="C31" s="110"/>
      <c r="D31" s="110"/>
      <c r="E31" s="110"/>
    </row>
    <row r="32" spans="1:5" x14ac:dyDescent="0.35">
      <c r="A32" s="41" t="s">
        <v>336</v>
      </c>
      <c r="B32" s="114">
        <v>2430.6999999999998</v>
      </c>
      <c r="C32" s="114">
        <v>2496.6</v>
      </c>
      <c r="D32" s="114">
        <v>2559.6999999999998</v>
      </c>
      <c r="E32" s="114">
        <v>2618.6</v>
      </c>
    </row>
    <row r="33" spans="1:5" x14ac:dyDescent="0.35">
      <c r="A33" s="109" t="s">
        <v>337</v>
      </c>
      <c r="B33" s="114">
        <v>2465.7999999999997</v>
      </c>
      <c r="C33" s="114">
        <v>2559.9</v>
      </c>
      <c r="D33" s="114">
        <v>2621.8999999999996</v>
      </c>
      <c r="E33" s="114">
        <v>2671</v>
      </c>
    </row>
    <row r="34" spans="1:5" x14ac:dyDescent="0.35">
      <c r="A34" s="109" t="s">
        <v>338</v>
      </c>
      <c r="B34" s="114">
        <v>2407.1999999999998</v>
      </c>
      <c r="C34" s="114">
        <v>2446</v>
      </c>
      <c r="D34" s="114">
        <v>2501.1999999999998</v>
      </c>
      <c r="E34" s="114">
        <v>2560.6</v>
      </c>
    </row>
  </sheetData>
  <pageMargins left="0.7" right="0.7" top="0.75" bottom="0.75" header="0.3" footer="0.3"/>
  <pageSetup orientation="portrait" r:id="rId1"/>
  <headerFooter>
    <oddFooter>&amp;L&amp;1#&amp;"Calibri"&amp;11&amp;K000000Classification: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selection activeCell="F10" sqref="F10"/>
    </sheetView>
  </sheetViews>
  <sheetFormatPr defaultRowHeight="14.5" x14ac:dyDescent="0.35"/>
  <cols>
    <col min="1" max="1" width="20.26953125" style="8" customWidth="1"/>
    <col min="2" max="2" width="18.7265625" style="8" customWidth="1"/>
  </cols>
  <sheetData>
    <row r="1" spans="1:2" ht="16.5" customHeight="1" x14ac:dyDescent="0.35">
      <c r="A1" s="21" t="s">
        <v>224</v>
      </c>
      <c r="B1" s="6"/>
    </row>
    <row r="2" spans="1:2" ht="16.5" customHeight="1" x14ac:dyDescent="0.35">
      <c r="A2" s="6"/>
      <c r="B2" s="6"/>
    </row>
    <row r="3" spans="1:2" ht="26" x14ac:dyDescent="0.35">
      <c r="A3" s="3" t="s">
        <v>0</v>
      </c>
      <c r="B3" s="4" t="s">
        <v>272</v>
      </c>
    </row>
    <row r="4" spans="1:2" ht="16.5" customHeight="1" x14ac:dyDescent="0.35">
      <c r="A4" s="6" t="s">
        <v>41</v>
      </c>
      <c r="B4" s="5">
        <v>299.7</v>
      </c>
    </row>
    <row r="5" spans="1:2" ht="16.5" customHeight="1" x14ac:dyDescent="0.35">
      <c r="A5" s="6" t="s">
        <v>42</v>
      </c>
      <c r="B5" s="5">
        <v>312.7</v>
      </c>
    </row>
    <row r="6" spans="1:2" ht="16.5" customHeight="1" x14ac:dyDescent="0.35">
      <c r="A6" s="6" t="s">
        <v>43</v>
      </c>
      <c r="B6" s="5">
        <v>342.6</v>
      </c>
    </row>
    <row r="7" spans="1:2" ht="16.5" customHeight="1" x14ac:dyDescent="0.35">
      <c r="A7" s="6" t="s">
        <v>44</v>
      </c>
      <c r="B7" s="5">
        <v>376.8</v>
      </c>
    </row>
    <row r="8" spans="1:2" ht="16.5" customHeight="1" x14ac:dyDescent="0.35">
      <c r="A8" s="6" t="s">
        <v>45</v>
      </c>
      <c r="B8" s="5">
        <v>324.10000000000002</v>
      </c>
    </row>
    <row r="9" spans="1:2" ht="16.5" customHeight="1" x14ac:dyDescent="0.35">
      <c r="A9" s="6" t="s">
        <v>46</v>
      </c>
      <c r="B9" s="5">
        <v>304.3</v>
      </c>
    </row>
    <row r="10" spans="1:2" ht="16.5" customHeight="1" x14ac:dyDescent="0.35">
      <c r="A10" s="6" t="s">
        <v>47</v>
      </c>
      <c r="B10" s="5">
        <v>332.3</v>
      </c>
    </row>
    <row r="11" spans="1:2" ht="16.5" customHeight="1" x14ac:dyDescent="0.35">
      <c r="A11" s="6" t="s">
        <v>48</v>
      </c>
      <c r="B11" s="5">
        <v>346.2</v>
      </c>
    </row>
    <row r="12" spans="1:2" ht="16.5" customHeight="1" x14ac:dyDescent="0.35">
      <c r="A12" s="6" t="s">
        <v>49</v>
      </c>
      <c r="B12" s="5">
        <v>352.1</v>
      </c>
    </row>
    <row r="13" spans="1:2" ht="16.5" customHeight="1" x14ac:dyDescent="0.35">
      <c r="A13" s="6" t="s">
        <v>50</v>
      </c>
      <c r="B13" s="5">
        <v>296.7</v>
      </c>
    </row>
    <row r="14" spans="1:2" ht="16.5" customHeight="1" x14ac:dyDescent="0.35">
      <c r="A14" s="6" t="s">
        <v>51</v>
      </c>
      <c r="B14" s="5">
        <v>374.5</v>
      </c>
    </row>
    <row r="15" spans="1:2" ht="16.5" customHeight="1" x14ac:dyDescent="0.35">
      <c r="A15" s="6" t="s">
        <v>1</v>
      </c>
      <c r="B15" s="5">
        <v>464.3</v>
      </c>
    </row>
    <row r="16" spans="1:2" ht="16.5" customHeight="1" x14ac:dyDescent="0.35">
      <c r="A16" s="6" t="s">
        <v>2</v>
      </c>
      <c r="B16" s="5">
        <v>454</v>
      </c>
    </row>
    <row r="17" spans="1:2" ht="16.5" customHeight="1" x14ac:dyDescent="0.35">
      <c r="A17" s="6" t="s">
        <v>3</v>
      </c>
      <c r="B17" s="5">
        <v>470.1</v>
      </c>
    </row>
    <row r="18" spans="1:2" ht="16.5" customHeight="1" x14ac:dyDescent="0.35">
      <c r="A18" s="6" t="s">
        <v>4</v>
      </c>
      <c r="B18" s="5">
        <v>487.1</v>
      </c>
    </row>
    <row r="19" spans="1:2" ht="16.5" customHeight="1" x14ac:dyDescent="0.35">
      <c r="A19" s="6" t="s">
        <v>5</v>
      </c>
      <c r="B19" s="5">
        <v>507.5</v>
      </c>
    </row>
    <row r="21" spans="1:2" x14ac:dyDescent="0.35">
      <c r="A21" s="14" t="s">
        <v>6</v>
      </c>
    </row>
  </sheetData>
  <pageMargins left="0.7" right="0.7" top="0.75" bottom="0.75" header="0.3" footer="0.3"/>
  <pageSetup orientation="portrait" r:id="rId1"/>
  <headerFooter>
    <oddFooter>&amp;L&amp;1#&amp;"Calibri"&amp;11&amp;K000000Classification: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zoomScaleNormal="100" workbookViewId="0"/>
  </sheetViews>
  <sheetFormatPr defaultRowHeight="14.5" x14ac:dyDescent="0.35"/>
  <cols>
    <col min="1" max="1" width="18.7265625" style="7" customWidth="1"/>
    <col min="2" max="3" width="18.7265625" style="8" customWidth="1"/>
  </cols>
  <sheetData>
    <row r="1" spans="1:3" ht="16.5" customHeight="1" x14ac:dyDescent="0.35">
      <c r="A1" s="22" t="s">
        <v>223</v>
      </c>
      <c r="B1" s="6"/>
      <c r="C1" s="6"/>
    </row>
    <row r="2" spans="1:3" ht="16.5" customHeight="1" x14ac:dyDescent="0.35">
      <c r="A2" s="11"/>
      <c r="B2" s="6"/>
      <c r="C2" s="6"/>
    </row>
    <row r="3" spans="1:3" s="1" customFormat="1" ht="26" x14ac:dyDescent="0.35">
      <c r="A3" s="4" t="s">
        <v>0</v>
      </c>
      <c r="B3" s="4" t="s">
        <v>273</v>
      </c>
      <c r="C3" s="4" t="s">
        <v>274</v>
      </c>
    </row>
    <row r="4" spans="1:3" ht="16.5" customHeight="1" x14ac:dyDescent="0.35">
      <c r="A4" s="6">
        <v>2011</v>
      </c>
      <c r="B4" s="5">
        <v>300.89999999999998</v>
      </c>
      <c r="C4" s="5">
        <v>6.5</v>
      </c>
    </row>
    <row r="5" spans="1:3" ht="16.5" customHeight="1" x14ac:dyDescent="0.35">
      <c r="A5" s="6">
        <v>2012</v>
      </c>
      <c r="B5" s="5">
        <v>312.7</v>
      </c>
      <c r="C5" s="5">
        <v>3.9</v>
      </c>
    </row>
    <row r="6" spans="1:3" ht="16.5" customHeight="1" x14ac:dyDescent="0.35">
      <c r="A6" s="6">
        <v>2013</v>
      </c>
      <c r="B6" s="5">
        <v>330.5</v>
      </c>
      <c r="C6" s="5">
        <v>5.7</v>
      </c>
    </row>
    <row r="7" spans="1:3" ht="16.5" customHeight="1" x14ac:dyDescent="0.35">
      <c r="A7" s="6">
        <v>2014</v>
      </c>
      <c r="B7" s="5">
        <v>350</v>
      </c>
      <c r="C7" s="5">
        <v>5.9</v>
      </c>
    </row>
    <row r="8" spans="1:3" ht="16.5" customHeight="1" x14ac:dyDescent="0.35">
      <c r="A8" s="6">
        <v>2015</v>
      </c>
      <c r="B8" s="5">
        <v>337.1</v>
      </c>
      <c r="C8" s="5">
        <v>-3.7</v>
      </c>
    </row>
    <row r="9" spans="1:3" ht="16.5" customHeight="1" x14ac:dyDescent="0.35">
      <c r="A9" s="6">
        <v>2016</v>
      </c>
      <c r="B9" s="5">
        <v>325.39999999999998</v>
      </c>
      <c r="C9" s="5">
        <v>-3.5</v>
      </c>
    </row>
    <row r="10" spans="1:3" ht="16.5" customHeight="1" x14ac:dyDescent="0.35">
      <c r="A10" s="6">
        <v>2017</v>
      </c>
      <c r="B10" s="5">
        <v>340.1</v>
      </c>
      <c r="C10" s="5">
        <v>4.5</v>
      </c>
    </row>
    <row r="11" spans="1:3" ht="16.5" customHeight="1" x14ac:dyDescent="0.35">
      <c r="A11" s="6">
        <v>2018</v>
      </c>
      <c r="B11" s="5">
        <v>347.6</v>
      </c>
      <c r="C11" s="5">
        <v>2.2000000000000002</v>
      </c>
    </row>
    <row r="12" spans="1:3" ht="16.5" customHeight="1" x14ac:dyDescent="0.35">
      <c r="A12" s="6">
        <v>2019</v>
      </c>
      <c r="B12" s="5">
        <v>348</v>
      </c>
      <c r="C12" s="5">
        <v>0.1</v>
      </c>
    </row>
    <row r="13" spans="1:3" ht="16.5" customHeight="1" x14ac:dyDescent="0.35">
      <c r="A13" s="6">
        <v>2020</v>
      </c>
      <c r="B13" s="5">
        <v>320.3</v>
      </c>
      <c r="C13" s="5">
        <v>-8</v>
      </c>
    </row>
    <row r="14" spans="1:3" ht="16.5" customHeight="1" x14ac:dyDescent="0.35">
      <c r="A14" s="6">
        <v>2021</v>
      </c>
      <c r="B14" s="5">
        <v>335.6</v>
      </c>
      <c r="C14" s="5">
        <v>4.8</v>
      </c>
    </row>
    <row r="15" spans="1:3" ht="16.5" customHeight="1" x14ac:dyDescent="0.35">
      <c r="A15" s="6" t="s">
        <v>1</v>
      </c>
      <c r="B15" s="5">
        <v>351.6</v>
      </c>
      <c r="C15" s="5">
        <v>4.8</v>
      </c>
    </row>
    <row r="16" spans="1:3" ht="16.5" customHeight="1" x14ac:dyDescent="0.35">
      <c r="A16" s="6" t="s">
        <v>2</v>
      </c>
      <c r="B16" s="5">
        <v>361.4</v>
      </c>
      <c r="C16" s="5">
        <v>2.8</v>
      </c>
    </row>
    <row r="17" spans="1:3" ht="16.5" customHeight="1" x14ac:dyDescent="0.35">
      <c r="A17" s="6" t="s">
        <v>3</v>
      </c>
      <c r="B17" s="5">
        <v>372.3</v>
      </c>
      <c r="C17" s="5">
        <v>3</v>
      </c>
    </row>
    <row r="18" spans="1:3" ht="16.5" customHeight="1" x14ac:dyDescent="0.35">
      <c r="A18" s="6" t="s">
        <v>4</v>
      </c>
      <c r="B18" s="5">
        <v>383.2</v>
      </c>
      <c r="C18" s="5">
        <v>2.9</v>
      </c>
    </row>
    <row r="19" spans="1:3" ht="16.5" customHeight="1" x14ac:dyDescent="0.35">
      <c r="A19" s="6" t="s">
        <v>5</v>
      </c>
      <c r="B19" s="5">
        <v>393.9</v>
      </c>
      <c r="C19" s="5">
        <v>2.8</v>
      </c>
    </row>
    <row r="21" spans="1:3" x14ac:dyDescent="0.35">
      <c r="A21" s="14" t="s">
        <v>6</v>
      </c>
    </row>
  </sheetData>
  <pageMargins left="0.7" right="0.7" top="0.75" bottom="0.75" header="0.3" footer="0.3"/>
  <pageSetup orientation="portrait" r:id="rId1"/>
  <headerFooter>
    <oddFooter>&amp;L&amp;1#&amp;"Calibri"&amp;11&amp;K000000Classification: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zoomScaleNormal="100" workbookViewId="0"/>
  </sheetViews>
  <sheetFormatPr defaultRowHeight="14.5" x14ac:dyDescent="0.35"/>
  <cols>
    <col min="1" max="4" width="18.7265625" style="8" customWidth="1"/>
  </cols>
  <sheetData>
    <row r="1" spans="1:4" ht="15.5" x14ac:dyDescent="0.35">
      <c r="A1" s="22" t="s">
        <v>225</v>
      </c>
      <c r="B1" s="6"/>
      <c r="C1" s="6"/>
      <c r="D1" s="6"/>
    </row>
    <row r="2" spans="1:4" x14ac:dyDescent="0.35">
      <c r="A2" s="6"/>
      <c r="B2" s="6"/>
      <c r="C2" s="6"/>
      <c r="D2" s="6"/>
    </row>
    <row r="3" spans="1:4" x14ac:dyDescent="0.35">
      <c r="A3" s="4" t="s">
        <v>31</v>
      </c>
      <c r="B3" s="4" t="s">
        <v>28</v>
      </c>
      <c r="C3" s="4" t="s">
        <v>29</v>
      </c>
      <c r="D3" s="4" t="s">
        <v>30</v>
      </c>
    </row>
    <row r="4" spans="1:4" x14ac:dyDescent="0.35">
      <c r="A4" s="6" t="s">
        <v>7</v>
      </c>
      <c r="B4" s="5">
        <v>1.6</v>
      </c>
      <c r="C4" s="5">
        <v>1.8</v>
      </c>
      <c r="D4" s="5">
        <v>1</v>
      </c>
    </row>
    <row r="5" spans="1:4" x14ac:dyDescent="0.35">
      <c r="A5" s="6" t="s">
        <v>8</v>
      </c>
      <c r="B5" s="5">
        <v>1.8</v>
      </c>
      <c r="C5" s="5">
        <v>1.9</v>
      </c>
      <c r="D5" s="5">
        <v>1.2</v>
      </c>
    </row>
    <row r="6" spans="1:4" x14ac:dyDescent="0.35">
      <c r="A6" s="6" t="s">
        <v>9</v>
      </c>
      <c r="B6" s="5">
        <v>1.8</v>
      </c>
      <c r="C6" s="5">
        <v>2.2000000000000002</v>
      </c>
      <c r="D6" s="5">
        <v>1.2</v>
      </c>
    </row>
    <row r="7" spans="1:4" x14ac:dyDescent="0.35">
      <c r="A7" s="6" t="s">
        <v>10</v>
      </c>
      <c r="B7" s="5">
        <v>2.1</v>
      </c>
      <c r="C7" s="5">
        <v>2.2000000000000002</v>
      </c>
      <c r="D7" s="5">
        <v>1.2</v>
      </c>
    </row>
    <row r="8" spans="1:4" x14ac:dyDescent="0.35">
      <c r="A8" s="6" t="s">
        <v>11</v>
      </c>
      <c r="B8" s="5">
        <v>2</v>
      </c>
      <c r="C8" s="5">
        <v>2.2000000000000002</v>
      </c>
      <c r="D8" s="5">
        <v>1.2</v>
      </c>
    </row>
    <row r="9" spans="1:4" x14ac:dyDescent="0.35">
      <c r="A9" s="6" t="s">
        <v>12</v>
      </c>
      <c r="B9" s="5">
        <v>1.9</v>
      </c>
      <c r="C9" s="5">
        <v>2.1</v>
      </c>
      <c r="D9" s="5">
        <v>1.1000000000000001</v>
      </c>
    </row>
    <row r="10" spans="1:4" x14ac:dyDescent="0.35">
      <c r="A10" s="6" t="s">
        <v>13</v>
      </c>
      <c r="B10" s="5">
        <v>2.2999999999999998</v>
      </c>
      <c r="C10" s="5">
        <v>2.1</v>
      </c>
      <c r="D10" s="5">
        <v>1.2</v>
      </c>
    </row>
    <row r="11" spans="1:4" x14ac:dyDescent="0.35">
      <c r="A11" s="6" t="s">
        <v>14</v>
      </c>
      <c r="B11" s="5">
        <v>2.2000000000000002</v>
      </c>
      <c r="C11" s="5">
        <v>2.2999999999999998</v>
      </c>
      <c r="D11" s="5">
        <v>1</v>
      </c>
    </row>
    <row r="12" spans="1:4" x14ac:dyDescent="0.35">
      <c r="A12" s="6" t="s">
        <v>15</v>
      </c>
      <c r="B12" s="5">
        <v>1.9</v>
      </c>
      <c r="C12" s="5">
        <v>2.2999999999999998</v>
      </c>
      <c r="D12" s="5">
        <v>1.3</v>
      </c>
    </row>
    <row r="13" spans="1:4" x14ac:dyDescent="0.35">
      <c r="A13" s="6" t="s">
        <v>16</v>
      </c>
      <c r="B13" s="5">
        <v>1.8</v>
      </c>
      <c r="C13" s="5">
        <v>2.2000000000000002</v>
      </c>
      <c r="D13" s="5">
        <v>1.2</v>
      </c>
    </row>
    <row r="14" spans="1:4" x14ac:dyDescent="0.35">
      <c r="A14" s="6" t="s">
        <v>17</v>
      </c>
      <c r="B14" s="5">
        <v>1</v>
      </c>
      <c r="C14" s="5">
        <v>1.3</v>
      </c>
      <c r="D14" s="5">
        <v>1</v>
      </c>
    </row>
    <row r="15" spans="1:4" x14ac:dyDescent="0.35">
      <c r="A15" s="6" t="s">
        <v>18</v>
      </c>
      <c r="B15" s="5">
        <v>0.6</v>
      </c>
      <c r="C15" s="5">
        <v>1.7</v>
      </c>
      <c r="D15" s="5">
        <v>0.8</v>
      </c>
    </row>
    <row r="16" spans="1:4" x14ac:dyDescent="0.35">
      <c r="A16" s="6" t="s">
        <v>19</v>
      </c>
      <c r="B16" s="5">
        <v>1.1000000000000001</v>
      </c>
      <c r="C16" s="5">
        <v>1.6</v>
      </c>
      <c r="D16" s="5">
        <v>0.4</v>
      </c>
    </row>
    <row r="17" spans="1:4" x14ac:dyDescent="0.35">
      <c r="A17" s="6" t="s">
        <v>20</v>
      </c>
      <c r="B17" s="5">
        <v>1</v>
      </c>
      <c r="C17" s="5">
        <v>1.4</v>
      </c>
      <c r="D17" s="5">
        <v>1.3</v>
      </c>
    </row>
    <row r="18" spans="1:4" x14ac:dyDescent="0.35">
      <c r="A18" s="6" t="s">
        <v>21</v>
      </c>
      <c r="B18" s="5">
        <v>2.1</v>
      </c>
      <c r="C18" s="5">
        <v>3.7</v>
      </c>
      <c r="D18" s="5">
        <v>0.9</v>
      </c>
    </row>
    <row r="19" spans="1:4" x14ac:dyDescent="0.35">
      <c r="A19" s="6" t="s">
        <v>22</v>
      </c>
      <c r="B19" s="5">
        <v>3</v>
      </c>
      <c r="C19" s="5">
        <v>4.0999999999999996</v>
      </c>
      <c r="D19" s="5">
        <v>1.4</v>
      </c>
    </row>
    <row r="20" spans="1:4" x14ac:dyDescent="0.35">
      <c r="A20" s="6" t="s">
        <v>23</v>
      </c>
      <c r="B20" s="5">
        <v>3.2</v>
      </c>
      <c r="C20" s="5">
        <v>5</v>
      </c>
      <c r="D20" s="5">
        <v>2.4</v>
      </c>
    </row>
    <row r="21" spans="1:4" x14ac:dyDescent="0.35">
      <c r="A21" s="6" t="s">
        <v>24</v>
      </c>
      <c r="B21" s="5">
        <v>4</v>
      </c>
      <c r="C21" s="5">
        <v>6.3</v>
      </c>
      <c r="D21" s="5">
        <v>2.6</v>
      </c>
    </row>
    <row r="22" spans="1:4" x14ac:dyDescent="0.35">
      <c r="A22" s="6" t="s">
        <v>25</v>
      </c>
      <c r="B22" s="5">
        <v>5.0999999999999996</v>
      </c>
      <c r="C22" s="5">
        <v>6</v>
      </c>
      <c r="D22" s="5">
        <v>3.6</v>
      </c>
    </row>
    <row r="23" spans="1:4" x14ac:dyDescent="0.35">
      <c r="A23" s="6" t="s">
        <v>26</v>
      </c>
      <c r="B23" s="5">
        <v>5.4</v>
      </c>
      <c r="C23" s="5">
        <v>6.3</v>
      </c>
      <c r="D23" s="5">
        <v>4.3</v>
      </c>
    </row>
    <row r="24" spans="1:4" x14ac:dyDescent="0.35">
      <c r="A24" s="6" t="s">
        <v>27</v>
      </c>
      <c r="B24" s="5">
        <v>5.4</v>
      </c>
      <c r="C24" s="5">
        <v>6</v>
      </c>
      <c r="D24" s="5">
        <v>5</v>
      </c>
    </row>
    <row r="26" spans="1:4" x14ac:dyDescent="0.35">
      <c r="A26" s="14" t="s">
        <v>32</v>
      </c>
    </row>
  </sheetData>
  <pageMargins left="0.7" right="0.7" top="0.75" bottom="0.75" header="0.3" footer="0.3"/>
  <pageSetup orientation="portrait" r:id="rId1"/>
  <headerFooter>
    <oddFooter>&amp;L&amp;1#&amp;"Calibri"&amp;11&amp;K000000Classification: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zoomScaleNormal="100" workbookViewId="0"/>
  </sheetViews>
  <sheetFormatPr defaultRowHeight="14.5" x14ac:dyDescent="0.35"/>
  <cols>
    <col min="1" max="3" width="18.7265625" style="8" customWidth="1"/>
  </cols>
  <sheetData>
    <row r="1" spans="1:3" ht="15.5" x14ac:dyDescent="0.35">
      <c r="A1" s="22" t="s">
        <v>226</v>
      </c>
      <c r="B1" s="6"/>
      <c r="C1" s="6"/>
    </row>
    <row r="2" spans="1:3" x14ac:dyDescent="0.35">
      <c r="B2" s="6"/>
      <c r="C2" s="6"/>
    </row>
    <row r="3" spans="1:3" x14ac:dyDescent="0.35">
      <c r="A3" s="4" t="s">
        <v>35</v>
      </c>
      <c r="B3" s="4" t="s">
        <v>33</v>
      </c>
      <c r="C3" s="4" t="s">
        <v>34</v>
      </c>
    </row>
    <row r="4" spans="1:3" x14ac:dyDescent="0.35">
      <c r="A4" s="13">
        <v>44587</v>
      </c>
      <c r="B4" s="15">
        <v>0.25</v>
      </c>
      <c r="C4" s="15">
        <v>0</v>
      </c>
    </row>
    <row r="5" spans="1:3" x14ac:dyDescent="0.35">
      <c r="A5" s="13">
        <v>44622</v>
      </c>
      <c r="B5" s="15">
        <v>0.5</v>
      </c>
      <c r="C5" s="15">
        <v>0.25</v>
      </c>
    </row>
    <row r="6" spans="1:3" x14ac:dyDescent="0.35">
      <c r="A6" s="13">
        <v>44664</v>
      </c>
      <c r="B6" s="15">
        <v>1</v>
      </c>
      <c r="C6" s="15">
        <v>0.5</v>
      </c>
    </row>
    <row r="7" spans="1:3" x14ac:dyDescent="0.35">
      <c r="A7" s="13">
        <v>44713</v>
      </c>
      <c r="B7" s="15">
        <v>1.5</v>
      </c>
      <c r="C7" s="15">
        <v>0.5</v>
      </c>
    </row>
    <row r="8" spans="1:3" x14ac:dyDescent="0.35">
      <c r="A8" s="13">
        <v>44755</v>
      </c>
      <c r="B8" s="15">
        <v>2.5</v>
      </c>
      <c r="C8" s="15">
        <v>1</v>
      </c>
    </row>
    <row r="9" spans="1:3" x14ac:dyDescent="0.35">
      <c r="A9" s="13">
        <v>44811</v>
      </c>
      <c r="B9" s="15">
        <v>3.25</v>
      </c>
      <c r="C9" s="15">
        <v>0.75</v>
      </c>
    </row>
    <row r="10" spans="1:3" x14ac:dyDescent="0.35">
      <c r="A10" s="13">
        <v>44860</v>
      </c>
      <c r="B10" s="15">
        <v>3.75</v>
      </c>
      <c r="C10" s="15">
        <v>0.5</v>
      </c>
    </row>
    <row r="11" spans="1:3" x14ac:dyDescent="0.35">
      <c r="A11" s="13">
        <v>44902</v>
      </c>
      <c r="B11" s="15">
        <v>4.25</v>
      </c>
      <c r="C11" s="15">
        <v>0.5</v>
      </c>
    </row>
    <row r="12" spans="1:3" x14ac:dyDescent="0.35">
      <c r="A12" s="13">
        <v>44951</v>
      </c>
      <c r="B12" s="15">
        <v>4.5</v>
      </c>
      <c r="C12" s="15">
        <v>0.25</v>
      </c>
    </row>
    <row r="13" spans="1:3" x14ac:dyDescent="0.35">
      <c r="B13" s="9"/>
      <c r="C13" s="9"/>
    </row>
    <row r="14" spans="1:3" x14ac:dyDescent="0.35">
      <c r="A14" s="14" t="s">
        <v>36</v>
      </c>
      <c r="B14" s="9"/>
      <c r="C14" s="9"/>
    </row>
    <row r="15" spans="1:3" x14ac:dyDescent="0.35">
      <c r="B15" s="9"/>
      <c r="C15" s="9"/>
    </row>
    <row r="16" spans="1:3" x14ac:dyDescent="0.35">
      <c r="B16" s="9"/>
      <c r="C16" s="9"/>
    </row>
    <row r="17" spans="2:3" x14ac:dyDescent="0.35">
      <c r="B17" s="9"/>
      <c r="C17" s="9"/>
    </row>
    <row r="18" spans="2:3" x14ac:dyDescent="0.35">
      <c r="B18" s="9"/>
      <c r="C18" s="9"/>
    </row>
    <row r="19" spans="2:3" x14ac:dyDescent="0.35">
      <c r="B19" s="9"/>
      <c r="C19" s="9"/>
    </row>
    <row r="20" spans="2:3" x14ac:dyDescent="0.35">
      <c r="B20" s="9"/>
      <c r="C20" s="9"/>
    </row>
    <row r="21" spans="2:3" x14ac:dyDescent="0.35">
      <c r="B21" s="9"/>
      <c r="C21" s="9"/>
    </row>
    <row r="22" spans="2:3" x14ac:dyDescent="0.35">
      <c r="B22" s="9"/>
      <c r="C22" s="9"/>
    </row>
    <row r="23" spans="2:3" x14ac:dyDescent="0.35">
      <c r="B23" s="9"/>
      <c r="C23" s="9"/>
    </row>
    <row r="24" spans="2:3" x14ac:dyDescent="0.35">
      <c r="B24" s="9"/>
      <c r="C24" s="9"/>
    </row>
  </sheetData>
  <pageMargins left="0.7" right="0.7" top="0.75" bottom="0.75" header="0.3" footer="0.3"/>
  <pageSetup orientation="portrait" r:id="rId1"/>
  <headerFooter>
    <oddFooter>&amp;L&amp;1#&amp;"Calibri"&amp;11&amp;K000000Classification: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
  <sheetViews>
    <sheetView zoomScaleNormal="100" workbookViewId="0"/>
  </sheetViews>
  <sheetFormatPr defaultRowHeight="14.5" x14ac:dyDescent="0.35"/>
  <cols>
    <col min="1" max="4" width="18.7265625" style="8" customWidth="1"/>
  </cols>
  <sheetData>
    <row r="1" spans="1:4" ht="15.5" x14ac:dyDescent="0.35">
      <c r="A1" s="22" t="s">
        <v>228</v>
      </c>
      <c r="B1" s="6"/>
      <c r="C1" s="6"/>
      <c r="D1" s="6"/>
    </row>
    <row r="2" spans="1:4" x14ac:dyDescent="0.35">
      <c r="B2" s="6"/>
      <c r="C2" s="6"/>
      <c r="D2" s="6"/>
    </row>
    <row r="3" spans="1:4" ht="26" x14ac:dyDescent="0.35">
      <c r="A3" s="4" t="s">
        <v>0</v>
      </c>
      <c r="B3" s="4" t="s">
        <v>37</v>
      </c>
      <c r="C3" s="4" t="s">
        <v>39</v>
      </c>
      <c r="D3" s="4" t="s">
        <v>40</v>
      </c>
    </row>
    <row r="4" spans="1:4" x14ac:dyDescent="0.35">
      <c r="A4" s="8">
        <v>2021</v>
      </c>
      <c r="B4" s="9">
        <v>6.2</v>
      </c>
      <c r="C4" s="9">
        <v>5.4</v>
      </c>
      <c r="D4" s="9">
        <v>6.7</v>
      </c>
    </row>
    <row r="5" spans="1:4" x14ac:dyDescent="0.35">
      <c r="A5" s="8" t="s">
        <v>1</v>
      </c>
      <c r="B5" s="9">
        <v>3.4</v>
      </c>
      <c r="C5" s="9">
        <v>2.7</v>
      </c>
      <c r="D5" s="9">
        <v>3.9</v>
      </c>
    </row>
    <row r="6" spans="1:4" x14ac:dyDescent="0.35">
      <c r="A6" s="8" t="s">
        <v>2</v>
      </c>
      <c r="B6" s="9">
        <v>2.9</v>
      </c>
      <c r="C6" s="9">
        <v>1.2</v>
      </c>
      <c r="D6" s="9">
        <v>4</v>
      </c>
    </row>
    <row r="7" spans="1:4" x14ac:dyDescent="0.35">
      <c r="A7" s="8" t="s">
        <v>3</v>
      </c>
      <c r="B7" s="9">
        <v>3.1</v>
      </c>
      <c r="C7" s="9">
        <v>1.4</v>
      </c>
      <c r="D7" s="9">
        <v>4.2</v>
      </c>
    </row>
    <row r="8" spans="1:4" x14ac:dyDescent="0.35">
      <c r="B8" s="12"/>
      <c r="C8" s="12"/>
      <c r="D8" s="12"/>
    </row>
    <row r="9" spans="1:4" x14ac:dyDescent="0.35">
      <c r="A9" s="14" t="s">
        <v>227</v>
      </c>
      <c r="B9" s="12"/>
      <c r="C9" s="12"/>
      <c r="D9" s="12"/>
    </row>
    <row r="10" spans="1:4" x14ac:dyDescent="0.35">
      <c r="B10" s="12"/>
      <c r="C10" s="12"/>
      <c r="D10" s="12"/>
    </row>
    <row r="11" spans="1:4" x14ac:dyDescent="0.35">
      <c r="A11" s="8" t="s">
        <v>38</v>
      </c>
      <c r="B11" s="12"/>
      <c r="C11" s="12"/>
      <c r="D11" s="12"/>
    </row>
    <row r="12" spans="1:4" x14ac:dyDescent="0.35">
      <c r="B12" s="12"/>
      <c r="C12" s="12"/>
      <c r="D12" s="12"/>
    </row>
    <row r="13" spans="1:4" x14ac:dyDescent="0.35">
      <c r="B13" s="9"/>
      <c r="C13" s="9"/>
      <c r="D13" s="9"/>
    </row>
    <row r="14" spans="1:4" x14ac:dyDescent="0.35">
      <c r="B14" s="9"/>
      <c r="C14" s="9"/>
      <c r="D14" s="9"/>
    </row>
    <row r="15" spans="1:4" x14ac:dyDescent="0.35">
      <c r="B15" s="9"/>
      <c r="C15" s="9"/>
      <c r="D15" s="9"/>
    </row>
    <row r="16" spans="1:4" x14ac:dyDescent="0.35">
      <c r="B16" s="9"/>
      <c r="C16" s="9"/>
      <c r="D16" s="9"/>
    </row>
    <row r="17" spans="2:4" x14ac:dyDescent="0.35">
      <c r="B17" s="9"/>
      <c r="C17" s="9"/>
      <c r="D17" s="9"/>
    </row>
    <row r="18" spans="2:4" x14ac:dyDescent="0.35">
      <c r="B18" s="9"/>
      <c r="C18" s="9"/>
      <c r="D18" s="9"/>
    </row>
    <row r="19" spans="2:4" x14ac:dyDescent="0.35">
      <c r="B19" s="9"/>
      <c r="C19" s="9"/>
      <c r="D19" s="9"/>
    </row>
    <row r="20" spans="2:4" x14ac:dyDescent="0.35">
      <c r="B20" s="9"/>
      <c r="C20" s="9"/>
      <c r="D20" s="9"/>
    </row>
    <row r="21" spans="2:4" x14ac:dyDescent="0.35">
      <c r="B21" s="9"/>
      <c r="C21" s="9"/>
      <c r="D21" s="9"/>
    </row>
    <row r="22" spans="2:4" x14ac:dyDescent="0.35">
      <c r="B22" s="9"/>
      <c r="C22" s="9"/>
      <c r="D22" s="9"/>
    </row>
    <row r="23" spans="2:4" x14ac:dyDescent="0.35">
      <c r="B23" s="9"/>
      <c r="C23" s="9"/>
      <c r="D23" s="9"/>
    </row>
    <row r="24" spans="2:4" x14ac:dyDescent="0.35">
      <c r="B24" s="9"/>
      <c r="C24" s="9"/>
      <c r="D24" s="9"/>
    </row>
  </sheetData>
  <pageMargins left="0.7" right="0.7" top="0.75" bottom="0.75" header="0.3" footer="0.3"/>
  <pageSetup orientation="portrait" r:id="rId1"/>
  <headerFooter>
    <oddFooter>&amp;L&amp;1#&amp;"Calibri"&amp;11&amp;K000000Classification: 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Views>
    <sheetView workbookViewId="0"/>
  </sheetViews>
  <sheetFormatPr defaultRowHeight="14.5" x14ac:dyDescent="0.35"/>
  <cols>
    <col min="1" max="3" width="18.7265625" style="8" customWidth="1"/>
    <col min="4" max="4" width="18.7265625" customWidth="1"/>
  </cols>
  <sheetData>
    <row r="1" spans="1:6" ht="15.5" x14ac:dyDescent="0.35">
      <c r="A1" s="22" t="s">
        <v>276</v>
      </c>
      <c r="B1" s="6"/>
      <c r="C1" s="6"/>
    </row>
    <row r="2" spans="1:6" x14ac:dyDescent="0.35">
      <c r="B2" s="6"/>
      <c r="C2" s="6"/>
    </row>
    <row r="3" spans="1:6" ht="26" x14ac:dyDescent="0.35">
      <c r="A3" s="4" t="s">
        <v>0</v>
      </c>
      <c r="B3" s="4" t="s">
        <v>52</v>
      </c>
      <c r="C3" s="4" t="s">
        <v>53</v>
      </c>
      <c r="D3" s="4" t="s">
        <v>277</v>
      </c>
    </row>
    <row r="4" spans="1:6" x14ac:dyDescent="0.35">
      <c r="A4" s="8">
        <v>2017</v>
      </c>
      <c r="B4" s="15">
        <v>97.78</v>
      </c>
      <c r="C4" s="15">
        <v>99.04</v>
      </c>
      <c r="D4" s="15">
        <v>-1.26</v>
      </c>
      <c r="E4" s="16"/>
      <c r="F4" s="16"/>
    </row>
    <row r="5" spans="1:6" x14ac:dyDescent="0.35">
      <c r="A5" s="8">
        <v>2018</v>
      </c>
      <c r="B5" s="15">
        <v>100.47</v>
      </c>
      <c r="C5" s="15">
        <v>100.02</v>
      </c>
      <c r="D5" s="15">
        <v>0.45</v>
      </c>
      <c r="E5" s="16"/>
      <c r="F5" s="16"/>
    </row>
    <row r="6" spans="1:6" x14ac:dyDescent="0.35">
      <c r="A6" s="8">
        <v>2019</v>
      </c>
      <c r="B6" s="15">
        <v>100.3</v>
      </c>
      <c r="C6" s="15">
        <v>100.81</v>
      </c>
      <c r="D6" s="15">
        <v>-0.52</v>
      </c>
      <c r="E6" s="16"/>
      <c r="F6" s="16"/>
    </row>
    <row r="7" spans="1:6" x14ac:dyDescent="0.35">
      <c r="A7" s="8">
        <v>2020</v>
      </c>
      <c r="B7" s="15">
        <v>93.9</v>
      </c>
      <c r="C7" s="15">
        <v>91.96</v>
      </c>
      <c r="D7" s="15">
        <v>1.94</v>
      </c>
      <c r="E7" s="16"/>
      <c r="F7" s="16"/>
    </row>
    <row r="8" spans="1:6" x14ac:dyDescent="0.35">
      <c r="A8" s="8">
        <v>2021</v>
      </c>
      <c r="B8" s="15">
        <v>95.26</v>
      </c>
      <c r="C8" s="15">
        <v>97.1</v>
      </c>
      <c r="D8" s="15">
        <v>-1.84</v>
      </c>
      <c r="E8" s="16"/>
      <c r="F8" s="16"/>
    </row>
    <row r="9" spans="1:6" x14ac:dyDescent="0.35">
      <c r="A9" s="8" t="s">
        <v>1</v>
      </c>
      <c r="B9" s="15">
        <v>99.98</v>
      </c>
      <c r="C9" s="15">
        <v>99.58</v>
      </c>
      <c r="D9" s="15">
        <v>0.4</v>
      </c>
      <c r="E9" s="16"/>
      <c r="F9" s="16"/>
    </row>
    <row r="10" spans="1:6" x14ac:dyDescent="0.35">
      <c r="A10" s="8" t="s">
        <v>2</v>
      </c>
      <c r="B10" s="15">
        <v>100.38</v>
      </c>
      <c r="C10" s="15">
        <v>100.58</v>
      </c>
      <c r="D10" s="15">
        <v>-0.2</v>
      </c>
      <c r="E10" s="16"/>
      <c r="F10" s="16"/>
    </row>
    <row r="11" spans="1:6" x14ac:dyDescent="0.35">
      <c r="A11" s="8" t="s">
        <v>3</v>
      </c>
      <c r="B11" s="15">
        <v>102.28</v>
      </c>
      <c r="C11" s="15">
        <v>101.88</v>
      </c>
      <c r="D11" s="15">
        <v>0.4</v>
      </c>
      <c r="E11" s="16"/>
      <c r="F11" s="16"/>
    </row>
    <row r="12" spans="1:6" x14ac:dyDescent="0.35">
      <c r="A12" s="8" t="s">
        <v>4</v>
      </c>
      <c r="B12" s="15">
        <v>104.48</v>
      </c>
      <c r="C12" s="15">
        <v>103.98</v>
      </c>
      <c r="D12" s="15">
        <v>0.5</v>
      </c>
      <c r="E12" s="16"/>
      <c r="F12" s="16"/>
    </row>
    <row r="13" spans="1:6" x14ac:dyDescent="0.35">
      <c r="A13" s="8" t="s">
        <v>5</v>
      </c>
      <c r="B13" s="15">
        <v>106.03</v>
      </c>
      <c r="C13" s="15">
        <v>105.98</v>
      </c>
      <c r="D13" s="15">
        <v>0.05</v>
      </c>
      <c r="E13" s="16"/>
      <c r="F13" s="16"/>
    </row>
    <row r="14" spans="1:6" x14ac:dyDescent="0.35">
      <c r="B14" s="9"/>
      <c r="C14" s="9"/>
      <c r="F14" s="16"/>
    </row>
    <row r="15" spans="1:6" x14ac:dyDescent="0.35">
      <c r="A15" s="14" t="s">
        <v>54</v>
      </c>
      <c r="B15" s="9"/>
      <c r="C15" s="9"/>
    </row>
    <row r="16" spans="1:6" x14ac:dyDescent="0.35">
      <c r="A16" s="14"/>
      <c r="B16" s="9"/>
      <c r="C16" s="9"/>
    </row>
    <row r="17" spans="2:3" x14ac:dyDescent="0.35">
      <c r="B17" s="9"/>
      <c r="C17" s="9"/>
    </row>
    <row r="18" spans="2:3" x14ac:dyDescent="0.35">
      <c r="B18" s="9"/>
      <c r="C18" s="9"/>
    </row>
    <row r="19" spans="2:3" x14ac:dyDescent="0.35">
      <c r="B19" s="9"/>
      <c r="C19" s="9"/>
    </row>
    <row r="20" spans="2:3" x14ac:dyDescent="0.35">
      <c r="B20" s="9"/>
      <c r="C20" s="9"/>
    </row>
    <row r="21" spans="2:3" x14ac:dyDescent="0.35">
      <c r="B21" s="9"/>
      <c r="C21" s="9"/>
    </row>
    <row r="22" spans="2:3" x14ac:dyDescent="0.35">
      <c r="B22" s="9"/>
      <c r="C22" s="9"/>
    </row>
    <row r="23" spans="2:3" x14ac:dyDescent="0.35">
      <c r="B23" s="9"/>
      <c r="C23" s="9"/>
    </row>
    <row r="24" spans="2:3" x14ac:dyDescent="0.35">
      <c r="B24" s="9"/>
      <c r="C24" s="9"/>
    </row>
  </sheetData>
  <pageMargins left="0.7" right="0.7" top="0.75" bottom="0.75" header="0.3" footer="0.3"/>
  <pageSetup orientation="portrait" r:id="rId1"/>
  <headerFooter>
    <oddFooter>&amp;L&amp;1#&amp;"Calibri"&amp;11&amp;K000000Classification: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1"/>
  <sheetViews>
    <sheetView topLeftCell="A133" workbookViewId="0">
      <selection activeCell="E25" sqref="E25"/>
    </sheetView>
  </sheetViews>
  <sheetFormatPr defaultRowHeight="14.5" x14ac:dyDescent="0.35"/>
  <cols>
    <col min="1" max="6" width="18.7265625" customWidth="1"/>
  </cols>
  <sheetData>
    <row r="1" spans="1:6" ht="15.5" x14ac:dyDescent="0.35">
      <c r="A1" s="22" t="s">
        <v>275</v>
      </c>
      <c r="B1" s="6"/>
    </row>
    <row r="2" spans="1:6" x14ac:dyDescent="0.35">
      <c r="A2" s="6"/>
      <c r="B2" s="6"/>
    </row>
    <row r="3" spans="1:6" s="1" customFormat="1" x14ac:dyDescent="0.35">
      <c r="A3" s="4" t="s">
        <v>214</v>
      </c>
      <c r="B3" s="4" t="s">
        <v>55</v>
      </c>
      <c r="C3" s="4" t="s">
        <v>56</v>
      </c>
      <c r="E3" s="4" t="s">
        <v>215</v>
      </c>
      <c r="F3" s="4" t="s">
        <v>201</v>
      </c>
    </row>
    <row r="4" spans="1:6" x14ac:dyDescent="0.35">
      <c r="A4" s="8" t="s">
        <v>57</v>
      </c>
      <c r="B4" s="15">
        <v>102.03</v>
      </c>
      <c r="C4" s="15">
        <v>79.56</v>
      </c>
      <c r="E4" s="8" t="s">
        <v>202</v>
      </c>
      <c r="F4" s="15">
        <v>17.3</v>
      </c>
    </row>
    <row r="5" spans="1:6" x14ac:dyDescent="0.35">
      <c r="A5" s="8" t="s">
        <v>58</v>
      </c>
      <c r="B5" s="15">
        <v>101.79</v>
      </c>
      <c r="C5" s="15">
        <v>82.72</v>
      </c>
      <c r="E5" s="8" t="s">
        <v>203</v>
      </c>
      <c r="F5" s="15">
        <v>13.4</v>
      </c>
    </row>
    <row r="6" spans="1:6" x14ac:dyDescent="0.35">
      <c r="A6" s="8" t="s">
        <v>59</v>
      </c>
      <c r="B6" s="15">
        <v>105.15</v>
      </c>
      <c r="C6" s="15">
        <v>86.56</v>
      </c>
      <c r="E6" s="8" t="s">
        <v>204</v>
      </c>
      <c r="F6" s="15">
        <v>13.9</v>
      </c>
    </row>
    <row r="7" spans="1:6" x14ac:dyDescent="0.35">
      <c r="A7" s="8" t="s">
        <v>60</v>
      </c>
      <c r="B7" s="15">
        <v>102.39</v>
      </c>
      <c r="C7" s="15">
        <v>82.73</v>
      </c>
      <c r="E7" s="8" t="s">
        <v>205</v>
      </c>
      <c r="F7" s="15">
        <v>14.4</v>
      </c>
    </row>
    <row r="8" spans="1:6" x14ac:dyDescent="0.35">
      <c r="A8" s="8" t="s">
        <v>61</v>
      </c>
      <c r="B8" s="15">
        <v>96.08</v>
      </c>
      <c r="C8" s="15">
        <v>73.89</v>
      </c>
      <c r="E8" s="8" t="s">
        <v>206</v>
      </c>
      <c r="F8" s="15">
        <v>23.3</v>
      </c>
    </row>
    <row r="9" spans="1:6" x14ac:dyDescent="0.35">
      <c r="A9" s="8" t="s">
        <v>62</v>
      </c>
      <c r="B9" s="15">
        <v>93.03</v>
      </c>
      <c r="C9" s="15">
        <v>74.349999999999994</v>
      </c>
      <c r="E9" s="8" t="s">
        <v>207</v>
      </c>
      <c r="F9" s="15">
        <v>14.8</v>
      </c>
    </row>
    <row r="10" spans="1:6" x14ac:dyDescent="0.35">
      <c r="A10" s="8" t="s">
        <v>63</v>
      </c>
      <c r="B10" s="15">
        <v>84.34</v>
      </c>
      <c r="C10" s="15">
        <v>70.599999999999994</v>
      </c>
      <c r="E10" s="8" t="s">
        <v>208</v>
      </c>
      <c r="F10" s="15">
        <v>10.6</v>
      </c>
    </row>
    <row r="11" spans="1:6" x14ac:dyDescent="0.35">
      <c r="A11" s="8" t="s">
        <v>64</v>
      </c>
      <c r="B11" s="15">
        <v>75.81</v>
      </c>
      <c r="C11" s="15">
        <v>62.870000000000005</v>
      </c>
      <c r="E11" s="8" t="s">
        <v>209</v>
      </c>
      <c r="F11" s="15">
        <v>13.6</v>
      </c>
    </row>
    <row r="12" spans="1:6" x14ac:dyDescent="0.35">
      <c r="A12" s="8" t="s">
        <v>65</v>
      </c>
      <c r="B12" s="15">
        <v>59.29</v>
      </c>
      <c r="C12" s="15">
        <v>43.239999999999995</v>
      </c>
      <c r="E12" s="8" t="s">
        <v>210</v>
      </c>
      <c r="F12" s="15">
        <v>20</v>
      </c>
    </row>
    <row r="13" spans="1:6" x14ac:dyDescent="0.35">
      <c r="A13" s="8" t="s">
        <v>66</v>
      </c>
      <c r="B13" s="15">
        <v>47.33</v>
      </c>
      <c r="C13" s="15">
        <v>30.43</v>
      </c>
      <c r="E13" s="8" t="s">
        <v>211</v>
      </c>
      <c r="F13" s="15">
        <v>19.5</v>
      </c>
    </row>
    <row r="14" spans="1:6" x14ac:dyDescent="0.35">
      <c r="A14" s="8" t="s">
        <v>67</v>
      </c>
      <c r="B14" s="15">
        <v>50.72</v>
      </c>
      <c r="C14" s="15">
        <v>36.520000000000003</v>
      </c>
      <c r="E14" s="8" t="s">
        <v>212</v>
      </c>
      <c r="F14" s="15">
        <v>16.8</v>
      </c>
    </row>
    <row r="15" spans="1:6" x14ac:dyDescent="0.35">
      <c r="A15" s="8" t="s">
        <v>68</v>
      </c>
      <c r="B15" s="15">
        <v>47.85</v>
      </c>
      <c r="C15" s="15">
        <v>34.76</v>
      </c>
      <c r="E15" s="8" t="s">
        <v>213</v>
      </c>
      <c r="F15" s="15">
        <v>16.399999999999999</v>
      </c>
    </row>
    <row r="16" spans="1:6" x14ac:dyDescent="0.35">
      <c r="A16" s="8" t="s">
        <v>69</v>
      </c>
      <c r="B16" s="15">
        <v>54.63</v>
      </c>
      <c r="C16" s="15">
        <v>40.26</v>
      </c>
    </row>
    <row r="17" spans="1:3" x14ac:dyDescent="0.35">
      <c r="A17" s="8" t="s">
        <v>70</v>
      </c>
      <c r="B17" s="15">
        <v>59.37</v>
      </c>
      <c r="C17" s="15">
        <v>47.5</v>
      </c>
    </row>
    <row r="18" spans="1:3" x14ac:dyDescent="0.35">
      <c r="A18" s="8" t="s">
        <v>71</v>
      </c>
      <c r="B18" s="15">
        <v>59.83</v>
      </c>
      <c r="C18" s="15">
        <v>51.29</v>
      </c>
    </row>
    <row r="19" spans="1:3" x14ac:dyDescent="0.35">
      <c r="A19" s="8" t="s">
        <v>72</v>
      </c>
      <c r="B19" s="15">
        <v>50.93</v>
      </c>
      <c r="C19" s="15">
        <v>43.49</v>
      </c>
    </row>
    <row r="20" spans="1:3" x14ac:dyDescent="0.35">
      <c r="A20" s="8" t="s">
        <v>73</v>
      </c>
      <c r="B20" s="15">
        <v>42.89</v>
      </c>
      <c r="C20" s="15">
        <v>29.48</v>
      </c>
    </row>
    <row r="21" spans="1:3" x14ac:dyDescent="0.35">
      <c r="A21" s="8" t="s">
        <v>74</v>
      </c>
      <c r="B21" s="15">
        <v>45.47</v>
      </c>
      <c r="C21" s="15">
        <v>26.5</v>
      </c>
    </row>
    <row r="22" spans="1:3" x14ac:dyDescent="0.35">
      <c r="A22" s="8" t="s">
        <v>75</v>
      </c>
      <c r="B22" s="15">
        <v>46.29</v>
      </c>
      <c r="C22" s="15">
        <v>32.78</v>
      </c>
    </row>
    <row r="23" spans="1:3" x14ac:dyDescent="0.35">
      <c r="A23" s="8" t="s">
        <v>76</v>
      </c>
      <c r="B23" s="15">
        <v>42.92</v>
      </c>
      <c r="C23" s="15">
        <v>27.78</v>
      </c>
    </row>
    <row r="24" spans="1:3" x14ac:dyDescent="0.35">
      <c r="A24" s="8" t="s">
        <v>77</v>
      </c>
      <c r="B24" s="15">
        <v>37.33</v>
      </c>
      <c r="C24" s="15">
        <v>22.51</v>
      </c>
    </row>
    <row r="25" spans="1:3" x14ac:dyDescent="0.35">
      <c r="A25" s="8" t="s">
        <v>78</v>
      </c>
      <c r="B25" s="15">
        <v>31.78</v>
      </c>
      <c r="C25" s="15">
        <v>17.88</v>
      </c>
    </row>
    <row r="26" spans="1:3" x14ac:dyDescent="0.35">
      <c r="A26" s="8" t="s">
        <v>79</v>
      </c>
      <c r="B26" s="15">
        <v>30.62</v>
      </c>
      <c r="C26" s="15">
        <v>16.3</v>
      </c>
    </row>
    <row r="27" spans="1:3" x14ac:dyDescent="0.35">
      <c r="A27" s="8" t="s">
        <v>80</v>
      </c>
      <c r="B27" s="15">
        <v>37.96</v>
      </c>
      <c r="C27" s="15">
        <v>23.46</v>
      </c>
    </row>
    <row r="28" spans="1:3" x14ac:dyDescent="0.35">
      <c r="A28" s="8" t="s">
        <v>81</v>
      </c>
      <c r="B28" s="15">
        <v>41.12</v>
      </c>
      <c r="C28" s="15">
        <v>27.88</v>
      </c>
    </row>
    <row r="29" spans="1:3" x14ac:dyDescent="0.35">
      <c r="A29" s="8" t="s">
        <v>82</v>
      </c>
      <c r="B29" s="15">
        <v>46.8</v>
      </c>
      <c r="C29" s="15">
        <v>32.520000000000003</v>
      </c>
    </row>
    <row r="30" spans="1:3" x14ac:dyDescent="0.35">
      <c r="A30" s="8" t="s">
        <v>83</v>
      </c>
      <c r="B30" s="15">
        <v>48.85</v>
      </c>
      <c r="C30" s="15">
        <v>36.47</v>
      </c>
    </row>
    <row r="31" spans="1:3" x14ac:dyDescent="0.35">
      <c r="A31" s="8" t="s">
        <v>84</v>
      </c>
      <c r="B31" s="15">
        <v>44.9</v>
      </c>
      <c r="C31" s="15">
        <v>32.799999999999997</v>
      </c>
    </row>
    <row r="32" spans="1:3" x14ac:dyDescent="0.35">
      <c r="A32" s="8" t="s">
        <v>85</v>
      </c>
      <c r="B32" s="15">
        <v>44.8</v>
      </c>
      <c r="C32" s="15">
        <v>30.9</v>
      </c>
    </row>
    <row r="33" spans="1:3" x14ac:dyDescent="0.35">
      <c r="A33" s="8" t="s">
        <v>86</v>
      </c>
      <c r="B33" s="15">
        <v>45.23</v>
      </c>
      <c r="C33" s="15">
        <v>30.62</v>
      </c>
    </row>
    <row r="34" spans="1:3" x14ac:dyDescent="0.35">
      <c r="A34" s="8" t="s">
        <v>87</v>
      </c>
      <c r="B34" s="15">
        <v>49.94</v>
      </c>
      <c r="C34" s="15">
        <v>35.83</v>
      </c>
    </row>
    <row r="35" spans="1:3" x14ac:dyDescent="0.35">
      <c r="A35" s="8" t="s">
        <v>88</v>
      </c>
      <c r="B35" s="15">
        <v>45.76</v>
      </c>
      <c r="C35" s="15">
        <v>31.89</v>
      </c>
    </row>
    <row r="36" spans="1:3" x14ac:dyDescent="0.35">
      <c r="A36" s="8" t="s">
        <v>89</v>
      </c>
      <c r="B36" s="15">
        <v>52.17</v>
      </c>
      <c r="C36" s="15">
        <v>37.18</v>
      </c>
    </row>
    <row r="37" spans="1:3" x14ac:dyDescent="0.35">
      <c r="A37" s="8" t="s">
        <v>90</v>
      </c>
      <c r="B37" s="15">
        <v>52.61</v>
      </c>
      <c r="C37" s="15">
        <v>37.19</v>
      </c>
    </row>
    <row r="38" spans="1:3" x14ac:dyDescent="0.35">
      <c r="A38" s="8" t="s">
        <v>91</v>
      </c>
      <c r="B38" s="15">
        <v>53.46</v>
      </c>
      <c r="C38" s="15">
        <v>39.14</v>
      </c>
    </row>
    <row r="39" spans="1:3" x14ac:dyDescent="0.35">
      <c r="A39" s="8" t="s">
        <v>92</v>
      </c>
      <c r="B39" s="15">
        <v>49.67</v>
      </c>
      <c r="C39" s="15">
        <v>35.68</v>
      </c>
    </row>
    <row r="40" spans="1:3" x14ac:dyDescent="0.35">
      <c r="A40" s="8" t="s">
        <v>93</v>
      </c>
      <c r="B40" s="15">
        <v>51.12</v>
      </c>
      <c r="C40" s="15">
        <v>36.840000000000003</v>
      </c>
    </row>
    <row r="41" spans="1:3" x14ac:dyDescent="0.35">
      <c r="A41" s="8" t="s">
        <v>94</v>
      </c>
      <c r="B41" s="15">
        <v>48.54</v>
      </c>
      <c r="C41" s="15">
        <v>38.840000000000003</v>
      </c>
    </row>
    <row r="42" spans="1:3" x14ac:dyDescent="0.35">
      <c r="A42" s="8" t="s">
        <v>95</v>
      </c>
      <c r="B42" s="15">
        <v>45.2</v>
      </c>
      <c r="C42" s="15">
        <v>35.799999999999997</v>
      </c>
    </row>
    <row r="43" spans="1:3" x14ac:dyDescent="0.35">
      <c r="A43" s="8" t="s">
        <v>96</v>
      </c>
      <c r="B43" s="15">
        <v>46.68</v>
      </c>
      <c r="C43" s="15">
        <v>36.369999999999997</v>
      </c>
    </row>
    <row r="44" spans="1:3" x14ac:dyDescent="0.35">
      <c r="A44" s="8" t="s">
        <v>97</v>
      </c>
      <c r="B44" s="15">
        <v>48.06</v>
      </c>
      <c r="C44" s="15">
        <v>38.5</v>
      </c>
    </row>
    <row r="45" spans="1:3" x14ac:dyDescent="0.35">
      <c r="A45" s="8" t="s">
        <v>98</v>
      </c>
      <c r="B45" s="15">
        <v>49.88</v>
      </c>
      <c r="C45" s="15">
        <v>39.93</v>
      </c>
    </row>
    <row r="46" spans="1:3" x14ac:dyDescent="0.35">
      <c r="A46" s="8" t="s">
        <v>99</v>
      </c>
      <c r="B46" s="15">
        <v>51.59</v>
      </c>
      <c r="C46" s="15">
        <v>39.869999999999997</v>
      </c>
    </row>
    <row r="47" spans="1:3" x14ac:dyDescent="0.35">
      <c r="A47" s="8" t="s">
        <v>100</v>
      </c>
      <c r="B47" s="15">
        <v>56.66</v>
      </c>
      <c r="C47" s="15">
        <v>45.52</v>
      </c>
    </row>
    <row r="48" spans="1:3" x14ac:dyDescent="0.35">
      <c r="A48" s="8" t="s">
        <v>101</v>
      </c>
      <c r="B48" s="15">
        <v>57.95</v>
      </c>
      <c r="C48" s="15">
        <v>44.02</v>
      </c>
    </row>
    <row r="49" spans="1:3" x14ac:dyDescent="0.35">
      <c r="A49" s="8" t="s">
        <v>102</v>
      </c>
      <c r="B49" s="15">
        <v>63.66</v>
      </c>
      <c r="C49" s="15">
        <v>42.53</v>
      </c>
    </row>
    <row r="50" spans="1:3" x14ac:dyDescent="0.35">
      <c r="A50" s="8" t="s">
        <v>103</v>
      </c>
      <c r="B50" s="15">
        <v>62.18</v>
      </c>
      <c r="C50" s="15">
        <v>37.72</v>
      </c>
    </row>
    <row r="51" spans="1:3" x14ac:dyDescent="0.35">
      <c r="A51" s="8" t="s">
        <v>104</v>
      </c>
      <c r="B51" s="15">
        <v>62.77</v>
      </c>
      <c r="C51" s="15">
        <v>35.53</v>
      </c>
    </row>
    <row r="52" spans="1:3" x14ac:dyDescent="0.35">
      <c r="A52" s="8" t="s">
        <v>105</v>
      </c>
      <c r="B52" s="15">
        <v>66.33</v>
      </c>
      <c r="C52" s="15">
        <v>40.47</v>
      </c>
    </row>
    <row r="53" spans="1:3" x14ac:dyDescent="0.35">
      <c r="A53" s="8" t="s">
        <v>106</v>
      </c>
      <c r="B53" s="15">
        <v>69.98</v>
      </c>
      <c r="C53" s="15">
        <v>53.25</v>
      </c>
    </row>
    <row r="54" spans="1:3" x14ac:dyDescent="0.35">
      <c r="A54" s="8" t="s">
        <v>107</v>
      </c>
      <c r="B54" s="15">
        <v>67.319999999999993</v>
      </c>
      <c r="C54" s="15">
        <v>52.1</v>
      </c>
    </row>
    <row r="55" spans="1:3" x14ac:dyDescent="0.35">
      <c r="A55" s="8" t="s">
        <v>108</v>
      </c>
      <c r="B55" s="15">
        <v>70.58</v>
      </c>
      <c r="C55" s="15">
        <v>52.83</v>
      </c>
    </row>
    <row r="56" spans="1:3" x14ac:dyDescent="0.35">
      <c r="A56" s="8" t="s">
        <v>109</v>
      </c>
      <c r="B56" s="15">
        <v>67.849999999999994</v>
      </c>
      <c r="C56" s="15">
        <v>48.55</v>
      </c>
    </row>
    <row r="57" spans="1:3" x14ac:dyDescent="0.35">
      <c r="A57" s="8" t="s">
        <v>110</v>
      </c>
      <c r="B57" s="15">
        <v>70.08</v>
      </c>
      <c r="C57" s="15">
        <v>40.369999999999997</v>
      </c>
    </row>
    <row r="58" spans="1:3" x14ac:dyDescent="0.35">
      <c r="A58" s="8" t="s">
        <v>111</v>
      </c>
      <c r="B58" s="15">
        <v>70.760000000000005</v>
      </c>
      <c r="C58" s="15">
        <v>41.15</v>
      </c>
    </row>
    <row r="59" spans="1:3" x14ac:dyDescent="0.35">
      <c r="A59" s="8" t="s">
        <v>112</v>
      </c>
      <c r="B59" s="15">
        <v>56.69</v>
      </c>
      <c r="C59" s="15">
        <v>11.03</v>
      </c>
    </row>
    <row r="60" spans="1:3" x14ac:dyDescent="0.35">
      <c r="A60" s="8" t="s">
        <v>113</v>
      </c>
      <c r="B60" s="15">
        <v>48.98</v>
      </c>
      <c r="C60" s="15">
        <v>5.97</v>
      </c>
    </row>
    <row r="61" spans="1:3" x14ac:dyDescent="0.35">
      <c r="A61" s="8" t="s">
        <v>114</v>
      </c>
      <c r="B61" s="15">
        <v>51.55</v>
      </c>
      <c r="C61" s="15">
        <v>34.299999999999997</v>
      </c>
    </row>
    <row r="62" spans="1:3" x14ac:dyDescent="0.35">
      <c r="A62" s="8" t="s">
        <v>115</v>
      </c>
      <c r="B62" s="15">
        <v>54.98</v>
      </c>
      <c r="C62" s="15">
        <v>45.33</v>
      </c>
    </row>
    <row r="63" spans="1:3" x14ac:dyDescent="0.35">
      <c r="A63" s="8" t="s">
        <v>116</v>
      </c>
      <c r="B63" s="15">
        <v>58.17</v>
      </c>
      <c r="C63" s="15">
        <v>48.21</v>
      </c>
    </row>
    <row r="64" spans="1:3" x14ac:dyDescent="0.35">
      <c r="A64" s="8" t="s">
        <v>117</v>
      </c>
      <c r="B64" s="15">
        <v>63.87</v>
      </c>
      <c r="C64" s="15">
        <v>53.25</v>
      </c>
    </row>
    <row r="65" spans="1:3" x14ac:dyDescent="0.35">
      <c r="A65" s="8" t="s">
        <v>118</v>
      </c>
      <c r="B65" s="15">
        <v>60.87</v>
      </c>
      <c r="C65" s="15">
        <v>52.44</v>
      </c>
    </row>
    <row r="66" spans="1:3" x14ac:dyDescent="0.35">
      <c r="A66" s="8" t="s">
        <v>119</v>
      </c>
      <c r="B66" s="15">
        <v>54.71</v>
      </c>
      <c r="C66" s="15">
        <v>41.74</v>
      </c>
    </row>
    <row r="67" spans="1:3" x14ac:dyDescent="0.35">
      <c r="A67" s="8" t="s">
        <v>120</v>
      </c>
      <c r="B67" s="15">
        <v>57.55</v>
      </c>
      <c r="C67" s="15">
        <v>44.7</v>
      </c>
    </row>
    <row r="68" spans="1:3" x14ac:dyDescent="0.35">
      <c r="A68" s="8" t="s">
        <v>121</v>
      </c>
      <c r="B68" s="15">
        <v>54.84</v>
      </c>
      <c r="C68" s="15">
        <v>43.1</v>
      </c>
    </row>
    <row r="69" spans="1:3" x14ac:dyDescent="0.35">
      <c r="A69" s="8" t="s">
        <v>122</v>
      </c>
      <c r="B69" s="15">
        <v>56.97</v>
      </c>
      <c r="C69" s="15">
        <v>44.84</v>
      </c>
    </row>
    <row r="70" spans="1:3" x14ac:dyDescent="0.35">
      <c r="A70" s="8" t="s">
        <v>123</v>
      </c>
      <c r="B70" s="15">
        <v>54.01</v>
      </c>
      <c r="C70" s="15">
        <v>41.96</v>
      </c>
    </row>
    <row r="71" spans="1:3" x14ac:dyDescent="0.35">
      <c r="A71" s="8" t="s">
        <v>124</v>
      </c>
      <c r="B71" s="15">
        <v>57.07</v>
      </c>
      <c r="C71" s="15">
        <v>42.32</v>
      </c>
    </row>
    <row r="72" spans="1:3" x14ac:dyDescent="0.35">
      <c r="A72" s="8" t="s">
        <v>125</v>
      </c>
      <c r="B72" s="15">
        <v>59.8</v>
      </c>
      <c r="C72" s="15">
        <v>39.11</v>
      </c>
    </row>
    <row r="73" spans="1:3" x14ac:dyDescent="0.35">
      <c r="A73" s="8" t="s">
        <v>126</v>
      </c>
      <c r="B73" s="15">
        <v>57.53</v>
      </c>
      <c r="C73" s="15">
        <v>36.82</v>
      </c>
    </row>
    <row r="74" spans="1:3" x14ac:dyDescent="0.35">
      <c r="A74" s="8" t="s">
        <v>127</v>
      </c>
      <c r="B74" s="15">
        <v>50.54</v>
      </c>
      <c r="C74" s="15">
        <v>27.28</v>
      </c>
    </row>
    <row r="75" spans="1:3" x14ac:dyDescent="0.35">
      <c r="A75" s="8" t="s">
        <v>128</v>
      </c>
      <c r="B75" s="15">
        <v>30.45</v>
      </c>
      <c r="C75" s="15">
        <v>12.84</v>
      </c>
    </row>
    <row r="76" spans="1:3" x14ac:dyDescent="0.35">
      <c r="A76" s="8" t="s">
        <v>129</v>
      </c>
      <c r="B76" s="15">
        <v>16.7</v>
      </c>
      <c r="C76" s="15">
        <v>3.5</v>
      </c>
    </row>
    <row r="77" spans="1:3" x14ac:dyDescent="0.35">
      <c r="A77" s="8" t="s">
        <v>130</v>
      </c>
      <c r="B77" s="15">
        <v>28.53</v>
      </c>
      <c r="C77" s="15">
        <v>11.67</v>
      </c>
    </row>
    <row r="78" spans="1:3" x14ac:dyDescent="0.35">
      <c r="A78" s="8" t="s">
        <v>131</v>
      </c>
      <c r="B78" s="15">
        <v>38.31</v>
      </c>
      <c r="C78" s="15">
        <v>33.97</v>
      </c>
    </row>
    <row r="79" spans="1:3" x14ac:dyDescent="0.35">
      <c r="A79" s="8" t="s">
        <v>132</v>
      </c>
      <c r="B79" s="15">
        <v>40.770000000000003</v>
      </c>
      <c r="C79" s="15">
        <v>32.5</v>
      </c>
    </row>
    <row r="80" spans="1:3" x14ac:dyDescent="0.35">
      <c r="A80" s="8" t="s">
        <v>133</v>
      </c>
      <c r="B80" s="15">
        <v>42.39</v>
      </c>
      <c r="C80" s="15">
        <v>34.6</v>
      </c>
    </row>
    <row r="81" spans="1:3" x14ac:dyDescent="0.35">
      <c r="A81" s="8" t="s">
        <v>134</v>
      </c>
      <c r="B81" s="15">
        <v>39.630000000000003</v>
      </c>
      <c r="C81" s="15">
        <v>28.43</v>
      </c>
    </row>
    <row r="82" spans="1:3" x14ac:dyDescent="0.35">
      <c r="A82" s="8" t="s">
        <v>135</v>
      </c>
      <c r="B82" s="15">
        <v>39.549999999999997</v>
      </c>
      <c r="C82" s="15">
        <v>31.17</v>
      </c>
    </row>
    <row r="83" spans="1:3" x14ac:dyDescent="0.35">
      <c r="A83" s="8" t="s">
        <v>136</v>
      </c>
      <c r="B83" s="15">
        <v>41.35</v>
      </c>
      <c r="C83" s="15">
        <v>31.57</v>
      </c>
    </row>
    <row r="84" spans="1:3" x14ac:dyDescent="0.35">
      <c r="A84" s="8" t="s">
        <v>137</v>
      </c>
      <c r="B84" s="15">
        <v>47.07</v>
      </c>
      <c r="C84" s="15">
        <v>37.32</v>
      </c>
    </row>
    <row r="85" spans="1:3" x14ac:dyDescent="0.35">
      <c r="A85" s="8" t="s">
        <v>138</v>
      </c>
      <c r="B85" s="15">
        <v>52.1</v>
      </c>
      <c r="C85" s="15">
        <v>40.04</v>
      </c>
    </row>
    <row r="86" spans="1:3" x14ac:dyDescent="0.35">
      <c r="A86" s="8" t="s">
        <v>139</v>
      </c>
      <c r="B86" s="15">
        <v>59.06</v>
      </c>
      <c r="C86" s="15">
        <v>45.13</v>
      </c>
    </row>
    <row r="87" spans="1:3" x14ac:dyDescent="0.35">
      <c r="A87" s="8" t="s">
        <v>140</v>
      </c>
      <c r="B87" s="15">
        <v>62.36</v>
      </c>
      <c r="C87" s="15">
        <v>50.94</v>
      </c>
    </row>
    <row r="88" spans="1:3" x14ac:dyDescent="0.35">
      <c r="A88" s="8" t="s">
        <v>141</v>
      </c>
      <c r="B88" s="15">
        <v>61.7</v>
      </c>
      <c r="C88" s="15">
        <v>50.51</v>
      </c>
    </row>
    <row r="89" spans="1:3" x14ac:dyDescent="0.35">
      <c r="A89" s="8" t="s">
        <v>142</v>
      </c>
      <c r="B89" s="15">
        <v>65.16</v>
      </c>
      <c r="C89" s="15">
        <v>54.78</v>
      </c>
    </row>
    <row r="90" spans="1:3" x14ac:dyDescent="0.35">
      <c r="A90" s="8" t="s">
        <v>143</v>
      </c>
      <c r="B90" s="15">
        <v>71.349999999999994</v>
      </c>
      <c r="C90" s="15">
        <v>58.46</v>
      </c>
    </row>
    <row r="91" spans="1:3" x14ac:dyDescent="0.35">
      <c r="A91" s="8" t="s">
        <v>144</v>
      </c>
      <c r="B91" s="15">
        <v>72.430000000000007</v>
      </c>
      <c r="C91" s="15">
        <v>58.46</v>
      </c>
    </row>
    <row r="92" spans="1:3" x14ac:dyDescent="0.35">
      <c r="A92" s="8" t="s">
        <v>145</v>
      </c>
      <c r="B92" s="15">
        <v>67.709999999999994</v>
      </c>
      <c r="C92" s="15">
        <v>54.47</v>
      </c>
    </row>
    <row r="93" spans="1:3" x14ac:dyDescent="0.35">
      <c r="A93" s="8" t="s">
        <v>146</v>
      </c>
      <c r="B93" s="15">
        <v>71.540000000000006</v>
      </c>
      <c r="C93" s="15">
        <v>58.02</v>
      </c>
    </row>
    <row r="94" spans="1:3" x14ac:dyDescent="0.35">
      <c r="A94" s="8" t="s">
        <v>147</v>
      </c>
      <c r="B94" s="15">
        <v>81.22</v>
      </c>
      <c r="C94" s="15">
        <v>69.3</v>
      </c>
    </row>
    <row r="95" spans="1:3" x14ac:dyDescent="0.35">
      <c r="A95" s="8" t="s">
        <v>148</v>
      </c>
      <c r="B95" s="15">
        <v>78.650000000000006</v>
      </c>
      <c r="C95" s="15">
        <v>65.25</v>
      </c>
    </row>
    <row r="96" spans="1:3" x14ac:dyDescent="0.35">
      <c r="A96" s="8" t="s">
        <v>149</v>
      </c>
      <c r="B96" s="15">
        <v>71.69</v>
      </c>
      <c r="C96" s="15">
        <v>53.1</v>
      </c>
    </row>
    <row r="97" spans="1:6" x14ac:dyDescent="0.35">
      <c r="A97" s="8" t="s">
        <v>150</v>
      </c>
      <c r="B97" s="15">
        <v>82.98</v>
      </c>
      <c r="C97" s="15">
        <v>65.599999999999994</v>
      </c>
    </row>
    <row r="98" spans="1:6" x14ac:dyDescent="0.35">
      <c r="A98" s="8" t="s">
        <v>151</v>
      </c>
      <c r="B98" s="15">
        <v>91.63</v>
      </c>
      <c r="C98" s="15">
        <v>79.099999999999994</v>
      </c>
    </row>
    <row r="99" spans="1:6" x14ac:dyDescent="0.35">
      <c r="A99" s="8" t="s">
        <v>152</v>
      </c>
      <c r="B99" s="15">
        <v>108.26</v>
      </c>
      <c r="C99" s="15">
        <v>94.57</v>
      </c>
    </row>
    <row r="100" spans="1:6" x14ac:dyDescent="0.35">
      <c r="A100" s="8" t="s">
        <v>153</v>
      </c>
      <c r="B100" s="15">
        <v>101.64</v>
      </c>
      <c r="C100" s="15">
        <v>89.06</v>
      </c>
    </row>
    <row r="101" spans="1:6" x14ac:dyDescent="0.35">
      <c r="A101" s="8" t="s">
        <v>154</v>
      </c>
      <c r="B101" s="15">
        <v>109.26</v>
      </c>
      <c r="C101" s="15">
        <v>96.6</v>
      </c>
    </row>
    <row r="102" spans="1:6" x14ac:dyDescent="0.35">
      <c r="A102" s="8" t="s">
        <v>155</v>
      </c>
      <c r="B102" s="15">
        <v>114.34</v>
      </c>
      <c r="C102" s="15">
        <v>101.17</v>
      </c>
    </row>
    <row r="103" spans="1:6" x14ac:dyDescent="0.35">
      <c r="A103" s="8" t="s">
        <v>156</v>
      </c>
      <c r="B103" s="15">
        <v>99.38</v>
      </c>
      <c r="C103" s="15">
        <v>80.44</v>
      </c>
    </row>
    <row r="104" spans="1:6" x14ac:dyDescent="0.35">
      <c r="A104" s="8" t="s">
        <v>157</v>
      </c>
      <c r="B104" s="15">
        <v>91.48</v>
      </c>
      <c r="C104" s="15">
        <v>70.45</v>
      </c>
    </row>
    <row r="105" spans="1:6" x14ac:dyDescent="0.35">
      <c r="A105" s="8" t="s">
        <v>158</v>
      </c>
      <c r="B105" s="15">
        <v>83.8</v>
      </c>
      <c r="C105" s="15">
        <v>64.180000000000007</v>
      </c>
    </row>
    <row r="106" spans="1:6" x14ac:dyDescent="0.35">
      <c r="A106" s="8" t="s">
        <v>159</v>
      </c>
      <c r="B106" s="15">
        <v>87.03</v>
      </c>
      <c r="C106" s="15">
        <v>66.38</v>
      </c>
    </row>
    <row r="107" spans="1:6" x14ac:dyDescent="0.35">
      <c r="A107" s="8" t="s">
        <v>160</v>
      </c>
      <c r="B107" s="15">
        <v>84.39</v>
      </c>
      <c r="C107" s="15">
        <v>57.44</v>
      </c>
    </row>
    <row r="108" spans="1:6" x14ac:dyDescent="0.35">
      <c r="A108" s="8" t="s">
        <v>161</v>
      </c>
      <c r="B108" s="15">
        <v>76.52</v>
      </c>
      <c r="C108" s="15">
        <v>47.14</v>
      </c>
    </row>
    <row r="109" spans="1:6" x14ac:dyDescent="0.35">
      <c r="A109" s="8" t="s">
        <v>162</v>
      </c>
      <c r="B109" s="15">
        <v>77.959999999999994</v>
      </c>
      <c r="C109" s="15">
        <v>54.82</v>
      </c>
      <c r="E109" s="16"/>
      <c r="F109" s="16"/>
    </row>
    <row r="110" spans="1:6" x14ac:dyDescent="0.35">
      <c r="A110" s="8" t="s">
        <v>163</v>
      </c>
      <c r="B110" s="15">
        <v>78.75</v>
      </c>
      <c r="C110" s="15">
        <v>56.07</v>
      </c>
      <c r="E110" s="16"/>
      <c r="F110" s="16"/>
    </row>
    <row r="111" spans="1:6" x14ac:dyDescent="0.35">
      <c r="A111" s="8" t="s">
        <v>164</v>
      </c>
      <c r="B111" s="15">
        <v>80.12</v>
      </c>
      <c r="C111" s="15">
        <v>61.18</v>
      </c>
      <c r="E111" s="16"/>
      <c r="F111" s="16"/>
    </row>
    <row r="112" spans="1:6" x14ac:dyDescent="0.35">
      <c r="A112" s="8" t="s">
        <v>165</v>
      </c>
      <c r="B112" s="15">
        <v>79.33</v>
      </c>
      <c r="C112" s="15">
        <v>59.96</v>
      </c>
      <c r="E112" s="16"/>
      <c r="F112" s="16"/>
    </row>
    <row r="113" spans="1:6" x14ac:dyDescent="0.35">
      <c r="A113" s="8" t="s">
        <v>166</v>
      </c>
      <c r="B113" s="15">
        <v>80.7</v>
      </c>
      <c r="C113" s="15">
        <v>61.48</v>
      </c>
      <c r="E113" s="16"/>
      <c r="F113" s="16"/>
    </row>
    <row r="114" spans="1:6" x14ac:dyDescent="0.35">
      <c r="A114" s="8" t="s">
        <v>167</v>
      </c>
      <c r="B114" s="15">
        <v>81.489999999999995</v>
      </c>
      <c r="C114" s="15">
        <v>62.42</v>
      </c>
      <c r="E114" s="16"/>
      <c r="F114" s="16"/>
    </row>
    <row r="115" spans="1:6" x14ac:dyDescent="0.35">
      <c r="A115" s="8" t="s">
        <v>168</v>
      </c>
      <c r="B115" s="15">
        <v>81.489999999999995</v>
      </c>
      <c r="C115" s="15">
        <v>59.77</v>
      </c>
      <c r="E115" s="16"/>
      <c r="F115" s="16"/>
    </row>
    <row r="116" spans="1:6" x14ac:dyDescent="0.35">
      <c r="A116" s="8" t="s">
        <v>169</v>
      </c>
      <c r="B116" s="15">
        <v>80.7</v>
      </c>
      <c r="C116" s="15">
        <v>59.13</v>
      </c>
      <c r="E116" s="16"/>
      <c r="F116" s="16"/>
    </row>
    <row r="117" spans="1:6" x14ac:dyDescent="0.35">
      <c r="A117" s="8" t="s">
        <v>170</v>
      </c>
      <c r="B117" s="15">
        <v>79.33</v>
      </c>
      <c r="C117" s="15">
        <v>57.91</v>
      </c>
      <c r="E117" s="16"/>
      <c r="F117" s="16"/>
    </row>
    <row r="118" spans="1:6" x14ac:dyDescent="0.35">
      <c r="A118" s="8" t="s">
        <v>171</v>
      </c>
      <c r="B118" s="15">
        <v>77.75</v>
      </c>
      <c r="C118" s="15">
        <v>57.93</v>
      </c>
      <c r="E118" s="16"/>
      <c r="F118" s="16"/>
    </row>
    <row r="119" spans="1:6" x14ac:dyDescent="0.35">
      <c r="A119" s="8" t="s">
        <v>172</v>
      </c>
      <c r="B119" s="15">
        <v>76.38</v>
      </c>
      <c r="C119" s="15">
        <v>55.91</v>
      </c>
      <c r="E119" s="16"/>
      <c r="F119" s="16"/>
    </row>
    <row r="120" spans="1:6" x14ac:dyDescent="0.35">
      <c r="A120" s="8" t="s">
        <v>173</v>
      </c>
      <c r="B120" s="15">
        <v>74.010000000000005</v>
      </c>
      <c r="C120" s="15">
        <v>53.28</v>
      </c>
      <c r="E120" s="16"/>
      <c r="F120" s="16"/>
    </row>
    <row r="121" spans="1:6" x14ac:dyDescent="0.35">
      <c r="A121" s="8" t="s">
        <v>174</v>
      </c>
      <c r="B121" s="15">
        <v>79.13</v>
      </c>
      <c r="C121" s="15">
        <v>61.33</v>
      </c>
      <c r="E121" s="16"/>
      <c r="F121" s="16"/>
    </row>
    <row r="122" spans="1:6" x14ac:dyDescent="0.35">
      <c r="A122" s="8" t="s">
        <v>175</v>
      </c>
      <c r="B122" s="15">
        <v>78.36</v>
      </c>
      <c r="C122" s="15">
        <v>61.84</v>
      </c>
      <c r="E122" s="16"/>
      <c r="F122" s="16"/>
    </row>
    <row r="123" spans="1:6" x14ac:dyDescent="0.35">
      <c r="A123" s="8" t="s">
        <v>176</v>
      </c>
      <c r="B123" s="15">
        <v>78.16</v>
      </c>
      <c r="C123" s="15">
        <v>61.7</v>
      </c>
      <c r="E123" s="16"/>
      <c r="F123" s="16"/>
    </row>
    <row r="124" spans="1:6" x14ac:dyDescent="0.35">
      <c r="A124" s="8" t="s">
        <v>177</v>
      </c>
      <c r="B124" s="15">
        <v>76.62</v>
      </c>
      <c r="C124" s="15">
        <v>59.73</v>
      </c>
      <c r="E124" s="16"/>
      <c r="F124" s="16"/>
    </row>
    <row r="125" spans="1:6" x14ac:dyDescent="0.35">
      <c r="A125" s="8" t="s">
        <v>178</v>
      </c>
      <c r="B125" s="15">
        <v>77.95</v>
      </c>
      <c r="C125" s="15">
        <v>61.22</v>
      </c>
      <c r="E125" s="16"/>
      <c r="F125" s="16"/>
    </row>
    <row r="126" spans="1:6" x14ac:dyDescent="0.35">
      <c r="A126" s="8" t="s">
        <v>179</v>
      </c>
      <c r="B126" s="15">
        <v>78.72</v>
      </c>
      <c r="C126" s="15">
        <v>62.14</v>
      </c>
      <c r="E126" s="16"/>
      <c r="F126" s="16"/>
    </row>
    <row r="127" spans="1:6" x14ac:dyDescent="0.35">
      <c r="A127" s="8" t="s">
        <v>180</v>
      </c>
      <c r="B127" s="15">
        <v>78.72</v>
      </c>
      <c r="C127" s="15">
        <v>62.34</v>
      </c>
      <c r="E127" s="16"/>
      <c r="F127" s="16"/>
    </row>
    <row r="128" spans="1:6" x14ac:dyDescent="0.35">
      <c r="A128" s="8" t="s">
        <v>181</v>
      </c>
      <c r="B128" s="15">
        <v>77.95</v>
      </c>
      <c r="C128" s="15">
        <v>61.72</v>
      </c>
      <c r="E128" s="16"/>
      <c r="F128" s="16"/>
    </row>
    <row r="129" spans="1:6" x14ac:dyDescent="0.35">
      <c r="A129" s="8" t="s">
        <v>182</v>
      </c>
      <c r="B129" s="15">
        <v>76.62</v>
      </c>
      <c r="C129" s="15">
        <v>60.53</v>
      </c>
      <c r="E129" s="16"/>
      <c r="F129" s="16"/>
    </row>
    <row r="130" spans="1:6" x14ac:dyDescent="0.35">
      <c r="A130" s="8" t="s">
        <v>183</v>
      </c>
      <c r="B130" s="15">
        <v>75.08</v>
      </c>
      <c r="C130" s="15">
        <v>57.74</v>
      </c>
      <c r="E130" s="16"/>
      <c r="F130" s="16"/>
    </row>
    <row r="131" spans="1:6" x14ac:dyDescent="0.35">
      <c r="A131" s="8" t="s">
        <v>184</v>
      </c>
      <c r="B131" s="15">
        <v>73.739999999999995</v>
      </c>
      <c r="C131" s="15">
        <v>55.76</v>
      </c>
      <c r="E131" s="16"/>
      <c r="F131" s="16"/>
    </row>
    <row r="132" spans="1:6" x14ac:dyDescent="0.35">
      <c r="A132" s="8" t="s">
        <v>185</v>
      </c>
      <c r="B132" s="15">
        <v>72.97</v>
      </c>
      <c r="C132" s="15">
        <v>54.73</v>
      </c>
      <c r="E132" s="16"/>
      <c r="F132" s="16"/>
    </row>
    <row r="133" spans="1:6" x14ac:dyDescent="0.35">
      <c r="A133" s="8" t="s">
        <v>186</v>
      </c>
      <c r="B133" s="15">
        <v>74.61</v>
      </c>
      <c r="C133" s="15">
        <v>57.33</v>
      </c>
      <c r="E133" s="16"/>
      <c r="F133" s="16"/>
    </row>
    <row r="134" spans="1:6" x14ac:dyDescent="0.35">
      <c r="A134" s="8" t="s">
        <v>187</v>
      </c>
      <c r="B134" s="15">
        <v>74.98</v>
      </c>
      <c r="C134" s="15">
        <v>58.99</v>
      </c>
      <c r="E134" s="16"/>
      <c r="F134" s="16"/>
    </row>
    <row r="135" spans="1:6" x14ac:dyDescent="0.35">
      <c r="A135" s="8" t="s">
        <v>188</v>
      </c>
      <c r="B135" s="15">
        <v>75.53</v>
      </c>
      <c r="C135" s="15">
        <v>59.6</v>
      </c>
      <c r="E135" s="16"/>
      <c r="F135" s="16"/>
    </row>
    <row r="136" spans="1:6" x14ac:dyDescent="0.35">
      <c r="A136" s="8" t="s">
        <v>189</v>
      </c>
      <c r="B136" s="15">
        <v>76.28</v>
      </c>
      <c r="C136" s="15">
        <v>59.93</v>
      </c>
      <c r="E136" s="16"/>
      <c r="F136" s="16"/>
    </row>
    <row r="137" spans="1:6" x14ac:dyDescent="0.35">
      <c r="A137" s="8" t="s">
        <v>190</v>
      </c>
      <c r="B137" s="15">
        <v>76.08</v>
      </c>
      <c r="C137" s="15">
        <v>59.87</v>
      </c>
      <c r="E137" s="16"/>
      <c r="F137" s="16"/>
    </row>
    <row r="138" spans="1:6" x14ac:dyDescent="0.35">
      <c r="A138" s="8" t="s">
        <v>191</v>
      </c>
      <c r="B138" s="15">
        <v>76.83</v>
      </c>
      <c r="C138" s="15">
        <v>60.77</v>
      </c>
      <c r="E138" s="16"/>
      <c r="F138" s="16"/>
    </row>
    <row r="139" spans="1:6" x14ac:dyDescent="0.35">
      <c r="A139" s="8" t="s">
        <v>192</v>
      </c>
      <c r="B139" s="15">
        <v>76.83</v>
      </c>
      <c r="C139" s="15">
        <v>60.97</v>
      </c>
      <c r="E139" s="16"/>
      <c r="F139" s="16"/>
    </row>
    <row r="140" spans="1:6" x14ac:dyDescent="0.35">
      <c r="A140" s="8" t="s">
        <v>193</v>
      </c>
      <c r="B140" s="15">
        <v>76.08</v>
      </c>
      <c r="C140" s="15">
        <v>60.37</v>
      </c>
      <c r="E140" s="16"/>
      <c r="F140" s="16"/>
    </row>
    <row r="141" spans="1:6" x14ac:dyDescent="0.35">
      <c r="A141" s="8" t="s">
        <v>194</v>
      </c>
      <c r="B141" s="15">
        <v>74.78</v>
      </c>
      <c r="C141" s="15">
        <v>59.23</v>
      </c>
      <c r="E141" s="16"/>
      <c r="F141" s="16"/>
    </row>
    <row r="142" spans="1:6" x14ac:dyDescent="0.35">
      <c r="A142" s="8" t="s">
        <v>195</v>
      </c>
      <c r="B142" s="15">
        <v>73.28</v>
      </c>
      <c r="C142" s="15">
        <v>56.48</v>
      </c>
      <c r="E142" s="16"/>
      <c r="F142" s="16"/>
    </row>
    <row r="143" spans="1:6" x14ac:dyDescent="0.35">
      <c r="A143" s="8" t="s">
        <v>196</v>
      </c>
      <c r="B143" s="15">
        <v>71.98</v>
      </c>
      <c r="C143" s="15">
        <v>54.53</v>
      </c>
      <c r="E143" s="16"/>
      <c r="F143" s="16"/>
    </row>
    <row r="144" spans="1:6" x14ac:dyDescent="0.35">
      <c r="A144" s="8" t="s">
        <v>197</v>
      </c>
      <c r="B144" s="15">
        <v>72.73</v>
      </c>
      <c r="C144" s="15">
        <v>55.02</v>
      </c>
      <c r="E144" s="16"/>
      <c r="F144" s="16"/>
    </row>
    <row r="145" spans="1:6" x14ac:dyDescent="0.35">
      <c r="A145" s="8" t="s">
        <v>198</v>
      </c>
      <c r="B145" s="15">
        <v>68.849999999999994</v>
      </c>
      <c r="C145" s="15">
        <v>51.73</v>
      </c>
      <c r="E145" s="16"/>
      <c r="F145" s="16"/>
    </row>
    <row r="146" spans="1:6" x14ac:dyDescent="0.35">
      <c r="A146" s="8" t="s">
        <v>199</v>
      </c>
      <c r="B146" s="15">
        <v>69.55</v>
      </c>
      <c r="C146" s="15">
        <v>53.71</v>
      </c>
      <c r="E146" s="16"/>
      <c r="F146" s="16"/>
    </row>
    <row r="147" spans="1:6" x14ac:dyDescent="0.35">
      <c r="A147" s="8" t="s">
        <v>200</v>
      </c>
      <c r="B147" s="15">
        <v>70.760000000000005</v>
      </c>
      <c r="C147" s="15">
        <v>54.99</v>
      </c>
      <c r="E147" s="16"/>
      <c r="F147" s="16"/>
    </row>
    <row r="148" spans="1:6" x14ac:dyDescent="0.35">
      <c r="E148" s="16"/>
      <c r="F148" s="16"/>
    </row>
    <row r="149" spans="1:6" x14ac:dyDescent="0.35">
      <c r="E149" s="16"/>
      <c r="F149" s="16"/>
    </row>
    <row r="150" spans="1:6" x14ac:dyDescent="0.35">
      <c r="A150" s="14" t="s">
        <v>216</v>
      </c>
      <c r="E150" s="16"/>
      <c r="F150" s="16"/>
    </row>
    <row r="151" spans="1:6" x14ac:dyDescent="0.35">
      <c r="E151" s="16"/>
      <c r="F151" s="16"/>
    </row>
    <row r="152" spans="1:6" x14ac:dyDescent="0.35">
      <c r="E152" s="16"/>
      <c r="F152" s="16"/>
    </row>
    <row r="153" spans="1:6" x14ac:dyDescent="0.35">
      <c r="E153" s="16"/>
      <c r="F153" s="16"/>
    </row>
    <row r="154" spans="1:6" x14ac:dyDescent="0.35">
      <c r="E154" s="16"/>
      <c r="F154" s="16"/>
    </row>
    <row r="155" spans="1:6" x14ac:dyDescent="0.35">
      <c r="E155" s="16"/>
      <c r="F155" s="16"/>
    </row>
    <row r="156" spans="1:6" x14ac:dyDescent="0.35">
      <c r="E156" s="16"/>
      <c r="F156" s="16"/>
    </row>
    <row r="157" spans="1:6" x14ac:dyDescent="0.35">
      <c r="E157" s="16"/>
      <c r="F157" s="16"/>
    </row>
    <row r="158" spans="1:6" x14ac:dyDescent="0.35">
      <c r="E158" s="16"/>
      <c r="F158" s="16"/>
    </row>
    <row r="159" spans="1:6" x14ac:dyDescent="0.35">
      <c r="E159" s="16"/>
      <c r="F159" s="16"/>
    </row>
    <row r="160" spans="1:6" x14ac:dyDescent="0.35">
      <c r="E160" s="16"/>
      <c r="F160" s="16"/>
    </row>
    <row r="161" spans="5:6" x14ac:dyDescent="0.35">
      <c r="E161" s="16"/>
      <c r="F161" s="16"/>
    </row>
    <row r="162" spans="5:6" x14ac:dyDescent="0.35">
      <c r="E162" s="16"/>
      <c r="F162" s="16"/>
    </row>
    <row r="163" spans="5:6" x14ac:dyDescent="0.35">
      <c r="E163" s="16"/>
      <c r="F163" s="16"/>
    </row>
    <row r="164" spans="5:6" x14ac:dyDescent="0.35">
      <c r="E164" s="16"/>
      <c r="F164" s="16"/>
    </row>
    <row r="165" spans="5:6" x14ac:dyDescent="0.35">
      <c r="E165" s="16"/>
      <c r="F165" s="16"/>
    </row>
    <row r="166" spans="5:6" x14ac:dyDescent="0.35">
      <c r="E166" s="16"/>
      <c r="F166" s="16"/>
    </row>
    <row r="167" spans="5:6" x14ac:dyDescent="0.35">
      <c r="E167" s="16"/>
      <c r="F167" s="16"/>
    </row>
    <row r="168" spans="5:6" x14ac:dyDescent="0.35">
      <c r="E168" s="16"/>
      <c r="F168" s="16"/>
    </row>
    <row r="169" spans="5:6" x14ac:dyDescent="0.35">
      <c r="E169" s="16"/>
      <c r="F169" s="16"/>
    </row>
    <row r="170" spans="5:6" x14ac:dyDescent="0.35">
      <c r="E170" s="16"/>
      <c r="F170" s="16"/>
    </row>
    <row r="171" spans="5:6" x14ac:dyDescent="0.35">
      <c r="E171" s="16"/>
      <c r="F171" s="16"/>
    </row>
    <row r="172" spans="5:6" x14ac:dyDescent="0.35">
      <c r="E172" s="16"/>
      <c r="F172" s="16"/>
    </row>
    <row r="173" spans="5:6" x14ac:dyDescent="0.35">
      <c r="E173" s="16"/>
      <c r="F173" s="16"/>
    </row>
    <row r="174" spans="5:6" x14ac:dyDescent="0.35">
      <c r="E174" s="16"/>
      <c r="F174" s="16"/>
    </row>
    <row r="175" spans="5:6" x14ac:dyDescent="0.35">
      <c r="E175" s="16"/>
      <c r="F175" s="16"/>
    </row>
    <row r="176" spans="5:6" x14ac:dyDescent="0.35">
      <c r="E176" s="16"/>
      <c r="F176" s="16"/>
    </row>
    <row r="177" spans="5:6" x14ac:dyDescent="0.35">
      <c r="E177" s="16"/>
      <c r="F177" s="16"/>
    </row>
    <row r="178" spans="5:6" x14ac:dyDescent="0.35">
      <c r="E178" s="16"/>
      <c r="F178" s="16"/>
    </row>
    <row r="179" spans="5:6" x14ac:dyDescent="0.35">
      <c r="E179" s="16"/>
      <c r="F179" s="16"/>
    </row>
    <row r="180" spans="5:6" x14ac:dyDescent="0.35">
      <c r="E180" s="16"/>
      <c r="F180" s="16"/>
    </row>
    <row r="181" spans="5:6" x14ac:dyDescent="0.35">
      <c r="E181" s="16"/>
      <c r="F181" s="16"/>
    </row>
  </sheetData>
  <pageMargins left="0.7" right="0.7" top="0.75" bottom="0.75" header="0.3" footer="0.3"/>
  <pageSetup orientation="portrait" r:id="rId1"/>
  <headerFooter>
    <oddFooter>&amp;L&amp;1#&amp;"Calibri"&amp;11&amp;K000000Classification: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sheetViews>
  <sheetFormatPr defaultRowHeight="14.5" x14ac:dyDescent="0.35"/>
  <cols>
    <col min="1" max="4" width="18.7265625" customWidth="1"/>
  </cols>
  <sheetData>
    <row r="1" spans="1:8" ht="15.5" x14ac:dyDescent="0.35">
      <c r="A1" s="22" t="s">
        <v>229</v>
      </c>
    </row>
    <row r="3" spans="1:8" ht="26" x14ac:dyDescent="0.35">
      <c r="A3" s="4" t="s">
        <v>0</v>
      </c>
      <c r="B3" s="4" t="s">
        <v>279</v>
      </c>
      <c r="C3" s="4" t="s">
        <v>278</v>
      </c>
      <c r="D3" s="4" t="s">
        <v>280</v>
      </c>
    </row>
    <row r="4" spans="1:8" x14ac:dyDescent="0.35">
      <c r="A4" s="8" t="s">
        <v>41</v>
      </c>
      <c r="B4" s="5">
        <v>22.814</v>
      </c>
      <c r="C4" s="5">
        <v>22.501000000000001</v>
      </c>
      <c r="D4" s="17">
        <v>2189.8613288367783</v>
      </c>
    </row>
    <row r="5" spans="1:8" x14ac:dyDescent="0.35">
      <c r="A5" s="8" t="s">
        <v>42</v>
      </c>
      <c r="B5" s="5">
        <v>27.329000000000001</v>
      </c>
      <c r="C5" s="5">
        <v>25.288</v>
      </c>
      <c r="D5" s="17">
        <v>2440.5796851139562</v>
      </c>
    </row>
    <row r="6" spans="1:8" x14ac:dyDescent="0.35">
      <c r="A6" s="8" t="s">
        <v>43</v>
      </c>
      <c r="B6" s="5">
        <v>29.971</v>
      </c>
      <c r="C6" s="5">
        <v>26.748000000000001</v>
      </c>
      <c r="D6" s="17">
        <v>2615.5761144752605</v>
      </c>
    </row>
    <row r="7" spans="1:8" x14ac:dyDescent="0.35">
      <c r="A7" s="8" t="s">
        <v>44</v>
      </c>
      <c r="B7" s="5">
        <v>36.124000000000002</v>
      </c>
      <c r="C7" s="5">
        <v>27.013999999999999</v>
      </c>
      <c r="D7" s="17">
        <v>2839.3050675651625</v>
      </c>
    </row>
    <row r="8" spans="1:8" x14ac:dyDescent="0.35">
      <c r="A8" s="8" t="s">
        <v>45</v>
      </c>
      <c r="B8" s="5">
        <v>24.253</v>
      </c>
      <c r="C8" s="5">
        <v>17.16</v>
      </c>
      <c r="D8" s="17">
        <v>2997.0658362207228</v>
      </c>
    </row>
    <row r="9" spans="1:8" x14ac:dyDescent="0.35">
      <c r="A9" s="8" t="s">
        <v>46</v>
      </c>
      <c r="B9" s="5">
        <v>17.184000000000001</v>
      </c>
      <c r="C9" s="5">
        <v>12.087999999999999</v>
      </c>
      <c r="D9" s="17">
        <v>2930.2371288547151</v>
      </c>
    </row>
    <row r="10" spans="1:8" x14ac:dyDescent="0.35">
      <c r="A10" s="8" t="s">
        <v>47</v>
      </c>
      <c r="B10" s="5">
        <v>14.513</v>
      </c>
      <c r="C10" s="5">
        <v>16.568999999999999</v>
      </c>
      <c r="D10" s="17">
        <v>3223.7802248984653</v>
      </c>
    </row>
    <row r="11" spans="1:8" x14ac:dyDescent="0.35">
      <c r="A11" s="8" t="s">
        <v>48</v>
      </c>
      <c r="B11" s="5">
        <v>12.003</v>
      </c>
      <c r="C11" s="5">
        <v>17.399999999999999</v>
      </c>
      <c r="D11" s="17">
        <v>3490.8781002603296</v>
      </c>
    </row>
    <row r="12" spans="1:8" x14ac:dyDescent="0.35">
      <c r="A12" s="8" t="s">
        <v>49</v>
      </c>
      <c r="B12" s="5">
        <v>10.544</v>
      </c>
      <c r="C12" s="5">
        <v>15.747</v>
      </c>
      <c r="D12" s="17">
        <v>3548.2431447147451</v>
      </c>
    </row>
    <row r="13" spans="1:8" x14ac:dyDescent="0.35">
      <c r="A13" s="8" t="s">
        <v>50</v>
      </c>
      <c r="B13" s="5">
        <v>8.01</v>
      </c>
      <c r="C13" s="5">
        <v>10.102</v>
      </c>
      <c r="D13" s="17">
        <v>3351.6837674099697</v>
      </c>
    </row>
    <row r="14" spans="1:8" x14ac:dyDescent="0.35">
      <c r="A14" s="8" t="s">
        <v>51</v>
      </c>
      <c r="B14" s="5">
        <v>8.1999999999999993</v>
      </c>
      <c r="C14" s="5">
        <v>10.521000000000001</v>
      </c>
      <c r="D14" s="17">
        <v>3637.186086836683</v>
      </c>
    </row>
    <row r="15" spans="1:8" x14ac:dyDescent="0.35">
      <c r="A15" s="8" t="s">
        <v>1</v>
      </c>
      <c r="B15" s="5">
        <v>10.8</v>
      </c>
      <c r="C15" s="5">
        <v>14.3</v>
      </c>
      <c r="D15" s="17">
        <v>3734</v>
      </c>
      <c r="H15" s="24"/>
    </row>
    <row r="16" spans="1:8" x14ac:dyDescent="0.35">
      <c r="A16" s="8" t="s">
        <v>2</v>
      </c>
      <c r="B16" s="5">
        <v>12.6</v>
      </c>
      <c r="C16" s="5">
        <v>17.100000000000001</v>
      </c>
      <c r="D16" s="17">
        <v>3835</v>
      </c>
      <c r="H16" s="24"/>
    </row>
    <row r="17" spans="1:8" x14ac:dyDescent="0.35">
      <c r="A17" s="8" t="s">
        <v>3</v>
      </c>
      <c r="B17" s="5">
        <v>14.1</v>
      </c>
      <c r="C17" s="5">
        <v>18.600000000000001</v>
      </c>
      <c r="D17" s="17">
        <v>3897</v>
      </c>
      <c r="H17" s="24"/>
    </row>
    <row r="18" spans="1:8" x14ac:dyDescent="0.35">
      <c r="A18" s="8" t="s">
        <v>4</v>
      </c>
      <c r="B18" s="5">
        <v>15.4</v>
      </c>
      <c r="C18" s="5">
        <v>19.8</v>
      </c>
      <c r="D18" s="17">
        <v>4007</v>
      </c>
      <c r="H18" s="24"/>
    </row>
    <row r="19" spans="1:8" x14ac:dyDescent="0.35">
      <c r="A19" s="8" t="s">
        <v>5</v>
      </c>
      <c r="B19" s="5">
        <v>16.600000000000001</v>
      </c>
      <c r="C19" s="5">
        <v>21.1</v>
      </c>
      <c r="D19" s="17">
        <v>4054</v>
      </c>
      <c r="H19" s="24"/>
    </row>
    <row r="21" spans="1:8" x14ac:dyDescent="0.35">
      <c r="A21" s="14" t="s">
        <v>230</v>
      </c>
    </row>
  </sheetData>
  <pageMargins left="0.7" right="0.7" top="0.75" bottom="0.75" header="0.3" footer="0.3"/>
  <pageSetup orientation="portrait" r:id="rId1"/>
  <headerFooter>
    <oddFooter>&amp;L&amp;1#&amp;"Calibri"&amp;11&amp;K000000Classification: Public</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workbookViewId="0"/>
  </sheetViews>
  <sheetFormatPr defaultRowHeight="14.5" x14ac:dyDescent="0.35"/>
  <cols>
    <col min="1" max="6" width="18.7265625" customWidth="1"/>
  </cols>
  <sheetData>
    <row r="1" spans="1:9" ht="15.5" x14ac:dyDescent="0.35">
      <c r="A1" s="22" t="s">
        <v>231</v>
      </c>
    </row>
    <row r="3" spans="1:9" ht="39" x14ac:dyDescent="0.35">
      <c r="A3" s="4"/>
      <c r="B3" s="4" t="s">
        <v>284</v>
      </c>
      <c r="C3" s="4" t="s">
        <v>281</v>
      </c>
      <c r="D3" s="4" t="s">
        <v>283</v>
      </c>
      <c r="E3" s="4" t="s">
        <v>282</v>
      </c>
    </row>
    <row r="4" spans="1:9" x14ac:dyDescent="0.35">
      <c r="A4" s="8">
        <v>2014</v>
      </c>
      <c r="B4" s="20">
        <v>35.894066609339212</v>
      </c>
      <c r="C4" s="20">
        <v>63.137999999999998</v>
      </c>
      <c r="D4" s="20">
        <v>37.149999999999991</v>
      </c>
      <c r="E4" s="20">
        <v>3.2109999999999999</v>
      </c>
    </row>
    <row r="5" spans="1:9" x14ac:dyDescent="0.35">
      <c r="A5" s="8">
        <v>2015</v>
      </c>
      <c r="B5" s="20">
        <v>43.010655121457994</v>
      </c>
      <c r="C5" s="20">
        <v>41.413000000000004</v>
      </c>
      <c r="D5" s="20">
        <v>33.180999999999983</v>
      </c>
      <c r="E5" s="20">
        <v>2.552</v>
      </c>
    </row>
    <row r="6" spans="1:9" x14ac:dyDescent="0.35">
      <c r="A6" s="8">
        <v>2016</v>
      </c>
      <c r="B6" s="20">
        <v>49.064543933478667</v>
      </c>
      <c r="C6" s="20">
        <v>29.272000000000002</v>
      </c>
      <c r="D6" s="20">
        <v>29.030999999999995</v>
      </c>
      <c r="E6" s="20">
        <v>0.86599999999999999</v>
      </c>
    </row>
    <row r="7" spans="1:9" x14ac:dyDescent="0.35">
      <c r="A7" s="8">
        <v>2017</v>
      </c>
      <c r="B7" s="20">
        <v>46.253329536126529</v>
      </c>
      <c r="C7" s="20">
        <v>31.082000000000001</v>
      </c>
      <c r="D7" s="20">
        <v>27.610000000000014</v>
      </c>
      <c r="E7" s="20">
        <v>1.0010000000000001</v>
      </c>
    </row>
    <row r="8" spans="1:9" x14ac:dyDescent="0.35">
      <c r="A8" s="8">
        <v>2018</v>
      </c>
      <c r="B8" s="20">
        <v>49.714369415555886</v>
      </c>
      <c r="C8" s="20">
        <v>29.403000000000002</v>
      </c>
      <c r="D8" s="20">
        <v>30.546000000000003</v>
      </c>
      <c r="E8" s="20">
        <v>1.494</v>
      </c>
    </row>
    <row r="9" spans="1:9" x14ac:dyDescent="0.35">
      <c r="A9" s="8">
        <v>2019</v>
      </c>
      <c r="B9" s="20">
        <v>53.459936248798343</v>
      </c>
      <c r="C9" s="20">
        <v>26.291</v>
      </c>
      <c r="D9" s="20">
        <v>31.698</v>
      </c>
      <c r="E9" s="20">
        <v>1.304</v>
      </c>
    </row>
    <row r="10" spans="1:9" x14ac:dyDescent="0.35">
      <c r="A10" s="8">
        <v>2020</v>
      </c>
      <c r="B10" s="20">
        <v>60.667536512479479</v>
      </c>
      <c r="C10" s="20">
        <v>18.112000000000002</v>
      </c>
      <c r="D10" s="20">
        <v>28.827999999999999</v>
      </c>
      <c r="E10" s="20">
        <v>0.57799999999999996</v>
      </c>
    </row>
    <row r="11" spans="1:9" x14ac:dyDescent="0.35">
      <c r="A11" s="8">
        <v>2021</v>
      </c>
      <c r="B11" s="20">
        <v>61.882394559962265</v>
      </c>
      <c r="C11" s="20">
        <v>18.721</v>
      </c>
      <c r="D11" s="20">
        <v>31.486999999999998</v>
      </c>
      <c r="E11" s="20">
        <v>0.67400000000000004</v>
      </c>
    </row>
    <row r="12" spans="1:9" x14ac:dyDescent="0.35">
      <c r="A12" s="8" t="s">
        <v>1</v>
      </c>
      <c r="B12" s="20">
        <v>58.8</v>
      </c>
      <c r="C12" s="20">
        <v>25.1</v>
      </c>
      <c r="D12" s="20">
        <v>35.9</v>
      </c>
      <c r="E12" s="20">
        <v>0.8</v>
      </c>
      <c r="F12" s="25"/>
      <c r="G12" s="25"/>
      <c r="H12" s="25"/>
      <c r="I12" s="25"/>
    </row>
    <row r="13" spans="1:9" x14ac:dyDescent="0.35">
      <c r="A13" s="8" t="s">
        <v>2</v>
      </c>
      <c r="B13" s="20">
        <v>56.1</v>
      </c>
      <c r="C13" s="20">
        <v>29.7</v>
      </c>
      <c r="D13" s="20">
        <v>37.9</v>
      </c>
      <c r="E13" s="20">
        <v>0.9</v>
      </c>
      <c r="F13" s="25"/>
      <c r="G13" s="25"/>
      <c r="H13" s="25"/>
      <c r="I13" s="25"/>
    </row>
    <row r="14" spans="1:9" x14ac:dyDescent="0.35">
      <c r="A14" s="8" t="s">
        <v>3</v>
      </c>
      <c r="B14" s="20">
        <v>55.9</v>
      </c>
      <c r="C14" s="20">
        <v>32.700000000000003</v>
      </c>
      <c r="D14" s="20">
        <v>41.4</v>
      </c>
      <c r="E14" s="20">
        <v>0.9</v>
      </c>
      <c r="F14" s="25"/>
      <c r="G14" s="25"/>
      <c r="H14" s="25"/>
      <c r="I14" s="25"/>
    </row>
    <row r="15" spans="1:9" x14ac:dyDescent="0.35">
      <c r="A15" s="8" t="s">
        <v>4</v>
      </c>
      <c r="B15" s="20">
        <v>56.5</v>
      </c>
      <c r="C15" s="20">
        <v>35.299999999999997</v>
      </c>
      <c r="D15" s="20">
        <v>45.8</v>
      </c>
      <c r="E15" s="20">
        <v>1</v>
      </c>
      <c r="F15" s="25"/>
      <c r="G15" s="25"/>
      <c r="H15" s="25"/>
      <c r="I15" s="25"/>
    </row>
    <row r="16" spans="1:9" x14ac:dyDescent="0.35">
      <c r="A16" s="8" t="s">
        <v>5</v>
      </c>
      <c r="B16" s="20">
        <v>57.2</v>
      </c>
      <c r="C16" s="20">
        <v>37.700000000000003</v>
      </c>
      <c r="D16" s="20">
        <v>50.4</v>
      </c>
      <c r="E16" s="20">
        <v>1</v>
      </c>
      <c r="F16" s="25"/>
      <c r="G16" s="25"/>
      <c r="H16" s="25"/>
      <c r="I16" s="25"/>
    </row>
    <row r="17" spans="1:2" x14ac:dyDescent="0.35">
      <c r="A17" s="8"/>
      <c r="B17" s="17"/>
    </row>
    <row r="18" spans="1:2" x14ac:dyDescent="0.35">
      <c r="A18" s="14" t="s">
        <v>233</v>
      </c>
      <c r="B18" s="17"/>
    </row>
    <row r="19" spans="1:2" x14ac:dyDescent="0.35">
      <c r="A19" s="8"/>
      <c r="B19" s="17"/>
    </row>
  </sheetData>
  <pageMargins left="0.7" right="0.7" top="0.75" bottom="0.75" header="0.3" footer="0.3"/>
  <pageSetup orientation="portrait" r:id="rId1"/>
  <headerFooter>
    <oddFooter>&amp;L&amp;1#&amp;"Calibri"&amp;11&amp;K000000Classification: Public</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sheetViews>
  <sheetFormatPr defaultRowHeight="14.5" x14ac:dyDescent="0.35"/>
  <cols>
    <col min="1" max="4" width="18.7265625" customWidth="1"/>
  </cols>
  <sheetData>
    <row r="1" spans="1:4" ht="15.5" x14ac:dyDescent="0.35">
      <c r="A1" s="22" t="s">
        <v>285</v>
      </c>
    </row>
    <row r="3" spans="1:4" x14ac:dyDescent="0.35">
      <c r="A3" s="4" t="s">
        <v>35</v>
      </c>
      <c r="B3" s="4" t="s">
        <v>217</v>
      </c>
      <c r="C3" s="4" t="s">
        <v>218</v>
      </c>
      <c r="D3" s="4" t="s">
        <v>219</v>
      </c>
    </row>
    <row r="4" spans="1:4" x14ac:dyDescent="0.35">
      <c r="A4" s="8">
        <v>2018</v>
      </c>
      <c r="B4" s="5">
        <v>39.466000000000001</v>
      </c>
      <c r="C4" s="5">
        <v>47.061999999999998</v>
      </c>
      <c r="D4" s="5">
        <v>6.8280000000000003</v>
      </c>
    </row>
    <row r="5" spans="1:4" x14ac:dyDescent="0.35">
      <c r="A5" s="8">
        <v>2019</v>
      </c>
      <c r="B5" s="5">
        <v>40.877000000000002</v>
      </c>
      <c r="C5" s="5">
        <v>47.9</v>
      </c>
      <c r="D5" s="5">
        <v>6.5890000000000004</v>
      </c>
    </row>
    <row r="6" spans="1:4" x14ac:dyDescent="0.35">
      <c r="A6" s="8">
        <v>2020</v>
      </c>
      <c r="B6" s="5">
        <v>34.601999999999997</v>
      </c>
      <c r="C6" s="5">
        <v>44.091000000000001</v>
      </c>
      <c r="D6" s="5">
        <v>7.1890000000000001</v>
      </c>
    </row>
    <row r="7" spans="1:4" x14ac:dyDescent="0.35">
      <c r="A7" s="8">
        <v>2021</v>
      </c>
      <c r="B7" s="5">
        <v>37.982999999999997</v>
      </c>
      <c r="C7" s="5">
        <v>44.387999999999998</v>
      </c>
      <c r="D7" s="5">
        <v>6.4390000000000001</v>
      </c>
    </row>
    <row r="8" spans="1:4" x14ac:dyDescent="0.35">
      <c r="A8" s="8" t="s">
        <v>1</v>
      </c>
      <c r="B8" s="5">
        <v>39.9</v>
      </c>
      <c r="C8" s="5">
        <v>46.7</v>
      </c>
      <c r="D8" s="5">
        <v>5.6</v>
      </c>
    </row>
    <row r="9" spans="1:4" x14ac:dyDescent="0.35">
      <c r="A9" s="8" t="s">
        <v>2</v>
      </c>
      <c r="B9" s="5">
        <v>41.3</v>
      </c>
      <c r="C9" s="5">
        <v>47.9</v>
      </c>
      <c r="D9" s="5">
        <v>7.2</v>
      </c>
    </row>
    <row r="10" spans="1:4" x14ac:dyDescent="0.35">
      <c r="A10" s="8" t="s">
        <v>3</v>
      </c>
      <c r="B10" s="5">
        <v>42.9</v>
      </c>
      <c r="C10" s="5">
        <v>49.3</v>
      </c>
      <c r="D10" s="5">
        <v>7.8</v>
      </c>
    </row>
    <row r="11" spans="1:4" x14ac:dyDescent="0.35">
      <c r="A11" s="8" t="s">
        <v>4</v>
      </c>
      <c r="B11" s="5">
        <v>44.4</v>
      </c>
      <c r="C11" s="5">
        <v>50.7</v>
      </c>
      <c r="D11" s="5">
        <v>8.3000000000000007</v>
      </c>
    </row>
    <row r="12" spans="1:4" x14ac:dyDescent="0.35">
      <c r="A12" s="8" t="s">
        <v>5</v>
      </c>
      <c r="B12" s="5">
        <v>45.7</v>
      </c>
      <c r="C12" s="5">
        <v>52.2</v>
      </c>
      <c r="D12" s="5">
        <v>8.6</v>
      </c>
    </row>
    <row r="13" spans="1:4" x14ac:dyDescent="0.35">
      <c r="A13" s="8"/>
      <c r="B13" s="17"/>
      <c r="C13" s="17"/>
      <c r="D13" s="17"/>
    </row>
    <row r="14" spans="1:4" x14ac:dyDescent="0.35">
      <c r="A14" s="14" t="s">
        <v>232</v>
      </c>
      <c r="B14" s="17"/>
      <c r="C14" s="17"/>
      <c r="D14" s="17"/>
    </row>
    <row r="15" spans="1:4" x14ac:dyDescent="0.35">
      <c r="A15" s="8"/>
      <c r="B15" s="17"/>
      <c r="C15" s="17"/>
      <c r="D15" s="17"/>
    </row>
    <row r="16" spans="1:4" x14ac:dyDescent="0.35">
      <c r="A16" s="8"/>
      <c r="B16" s="17"/>
      <c r="C16" s="17"/>
      <c r="D16" s="17"/>
    </row>
    <row r="17" spans="1:4" x14ac:dyDescent="0.35">
      <c r="A17" s="8"/>
      <c r="B17" s="17"/>
      <c r="C17" s="17"/>
      <c r="D17" s="17"/>
    </row>
    <row r="18" spans="1:4" x14ac:dyDescent="0.35">
      <c r="A18" s="8"/>
      <c r="B18" s="17"/>
      <c r="C18" s="17"/>
      <c r="D18" s="17"/>
    </row>
    <row r="19" spans="1:4" x14ac:dyDescent="0.35">
      <c r="A19" s="8"/>
      <c r="B19" s="17"/>
      <c r="C19" s="17"/>
      <c r="D19" s="17"/>
    </row>
  </sheetData>
  <pageMargins left="0.7" right="0.7" top="0.75" bottom="0.75" header="0.3" footer="0.3"/>
  <pageSetup orientation="portrait" r:id="rId1"/>
  <headerFooter>
    <oddFooter>&amp;L&amp;1#&amp;"Calibri"&amp;11&amp;K000000Classification: Public</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
  <sheetViews>
    <sheetView workbookViewId="0"/>
  </sheetViews>
  <sheetFormatPr defaultRowHeight="14.5" x14ac:dyDescent="0.35"/>
  <cols>
    <col min="1" max="5" width="18.7265625" customWidth="1"/>
  </cols>
  <sheetData>
    <row r="1" spans="1:5" ht="15.5" x14ac:dyDescent="0.35">
      <c r="A1" s="22" t="s">
        <v>238</v>
      </c>
    </row>
    <row r="3" spans="1:5" ht="26" x14ac:dyDescent="0.35">
      <c r="A3" s="4" t="s">
        <v>0</v>
      </c>
      <c r="B3" s="4" t="s">
        <v>268</v>
      </c>
      <c r="C3" s="4" t="s">
        <v>269</v>
      </c>
      <c r="D3" s="4" t="s">
        <v>270</v>
      </c>
      <c r="E3" s="4" t="s">
        <v>271</v>
      </c>
    </row>
    <row r="4" spans="1:5" x14ac:dyDescent="0.35">
      <c r="A4" s="8">
        <v>2011</v>
      </c>
      <c r="B4" s="5">
        <v>3.7</v>
      </c>
      <c r="C4" s="5">
        <v>5.3</v>
      </c>
      <c r="D4" s="5">
        <v>1.9</v>
      </c>
      <c r="E4" s="5">
        <v>10.9</v>
      </c>
    </row>
    <row r="5" spans="1:5" x14ac:dyDescent="0.35">
      <c r="A5" s="8">
        <v>2012</v>
      </c>
      <c r="B5" s="5">
        <v>4.4000000000000004</v>
      </c>
      <c r="C5" s="5">
        <v>-2.1</v>
      </c>
      <c r="D5" s="5">
        <v>2.1</v>
      </c>
      <c r="E5" s="5">
        <v>4.3</v>
      </c>
    </row>
    <row r="6" spans="1:5" x14ac:dyDescent="0.35">
      <c r="A6" s="8">
        <v>2013</v>
      </c>
      <c r="B6" s="5">
        <v>3.7</v>
      </c>
      <c r="C6" s="5">
        <v>3.4</v>
      </c>
      <c r="D6" s="5">
        <v>2.6</v>
      </c>
      <c r="E6" s="5">
        <v>9.6</v>
      </c>
    </row>
    <row r="7" spans="1:5" x14ac:dyDescent="0.35">
      <c r="A7" s="8">
        <v>2014</v>
      </c>
      <c r="B7" s="5">
        <v>3.2</v>
      </c>
      <c r="C7" s="5">
        <v>4.5999999999999996</v>
      </c>
      <c r="D7" s="5">
        <v>2.1</v>
      </c>
      <c r="E7" s="5">
        <v>10</v>
      </c>
    </row>
    <row r="8" spans="1:5" x14ac:dyDescent="0.35">
      <c r="A8" s="8">
        <v>2015</v>
      </c>
      <c r="B8" s="5">
        <v>-0.5</v>
      </c>
      <c r="C8" s="5">
        <v>-15.2</v>
      </c>
      <c r="D8" s="5">
        <v>1.6</v>
      </c>
      <c r="E8" s="5">
        <v>-14</v>
      </c>
    </row>
    <row r="9" spans="1:5" x14ac:dyDescent="0.35">
      <c r="A9" s="8">
        <v>2016</v>
      </c>
      <c r="B9" s="5">
        <v>-5.3</v>
      </c>
      <c r="C9" s="5">
        <v>-1.6</v>
      </c>
      <c r="D9" s="5">
        <v>0.9</v>
      </c>
      <c r="E9" s="5">
        <v>-6.1</v>
      </c>
    </row>
    <row r="10" spans="1:5" x14ac:dyDescent="0.35">
      <c r="A10" s="8">
        <v>2017</v>
      </c>
      <c r="B10" s="5">
        <v>1.4</v>
      </c>
      <c r="C10" s="5">
        <v>8.5</v>
      </c>
      <c r="D10" s="5">
        <v>-0.8</v>
      </c>
      <c r="E10" s="5">
        <v>9.1999999999999993</v>
      </c>
    </row>
    <row r="11" spans="1:5" x14ac:dyDescent="0.35">
      <c r="A11" s="8">
        <v>2018</v>
      </c>
      <c r="B11" s="5">
        <v>1.3</v>
      </c>
      <c r="C11" s="5">
        <v>2.2000000000000002</v>
      </c>
      <c r="D11" s="5">
        <v>0.8</v>
      </c>
      <c r="E11" s="5">
        <v>4.2</v>
      </c>
    </row>
    <row r="12" spans="1:5" x14ac:dyDescent="0.35">
      <c r="A12" s="8">
        <v>2019</v>
      </c>
      <c r="B12" s="5">
        <v>0.9</v>
      </c>
      <c r="C12" s="5">
        <v>0.9</v>
      </c>
      <c r="D12" s="5">
        <v>-0.1</v>
      </c>
      <c r="E12" s="5">
        <v>1.7</v>
      </c>
    </row>
    <row r="13" spans="1:5" x14ac:dyDescent="0.35">
      <c r="A13" s="8">
        <v>2020</v>
      </c>
      <c r="B13" s="5">
        <v>-3</v>
      </c>
      <c r="C13" s="5">
        <v>-8.6999999999999993</v>
      </c>
      <c r="D13" s="5">
        <v>-4.0999999999999996</v>
      </c>
      <c r="E13" s="5">
        <v>-15.7</v>
      </c>
    </row>
    <row r="14" spans="1:5" x14ac:dyDescent="0.35">
      <c r="A14" s="8">
        <v>2021</v>
      </c>
      <c r="B14" s="5">
        <v>3.5</v>
      </c>
      <c r="C14" s="5">
        <v>19</v>
      </c>
      <c r="D14" s="5">
        <v>3.7</v>
      </c>
      <c r="E14" s="5">
        <v>26.2</v>
      </c>
    </row>
    <row r="15" spans="1:5" x14ac:dyDescent="0.35">
      <c r="A15" s="8" t="s">
        <v>1</v>
      </c>
      <c r="B15" s="5">
        <v>3.8</v>
      </c>
      <c r="C15" s="5">
        <v>11.8</v>
      </c>
      <c r="D15" s="5">
        <v>8.3000000000000007</v>
      </c>
      <c r="E15" s="5">
        <v>24</v>
      </c>
    </row>
    <row r="16" spans="1:5" x14ac:dyDescent="0.35">
      <c r="A16" s="8" t="s">
        <v>2</v>
      </c>
      <c r="B16" s="5">
        <v>2.2000000000000002</v>
      </c>
      <c r="C16" s="5">
        <v>-3.2</v>
      </c>
      <c r="D16" s="5">
        <v>-1.3</v>
      </c>
      <c r="E16" s="5">
        <v>-2.2000000000000002</v>
      </c>
    </row>
    <row r="17" spans="1:5" x14ac:dyDescent="0.35">
      <c r="A17" s="8" t="s">
        <v>3</v>
      </c>
      <c r="B17" s="5">
        <v>2.8</v>
      </c>
      <c r="C17" s="5">
        <v>2</v>
      </c>
      <c r="D17" s="5">
        <v>-1.3</v>
      </c>
      <c r="E17" s="5">
        <v>3.5</v>
      </c>
    </row>
    <row r="18" spans="1:5" x14ac:dyDescent="0.35">
      <c r="A18" s="8" t="s">
        <v>4</v>
      </c>
      <c r="B18" s="5">
        <v>2.6</v>
      </c>
      <c r="C18" s="5">
        <v>1.9</v>
      </c>
      <c r="D18" s="5">
        <v>-0.9</v>
      </c>
      <c r="E18" s="5">
        <v>3.6</v>
      </c>
    </row>
    <row r="19" spans="1:5" x14ac:dyDescent="0.35">
      <c r="A19" s="8" t="s">
        <v>5</v>
      </c>
      <c r="B19" s="5">
        <v>2.6</v>
      </c>
      <c r="C19" s="5">
        <v>1.3</v>
      </c>
      <c r="D19" s="5">
        <v>0.3</v>
      </c>
      <c r="E19" s="5">
        <v>4.2</v>
      </c>
    </row>
    <row r="21" spans="1:5" x14ac:dyDescent="0.35">
      <c r="A21" s="14" t="s">
        <v>234</v>
      </c>
    </row>
    <row r="22" spans="1:5" x14ac:dyDescent="0.35">
      <c r="A22" s="14" t="s">
        <v>235</v>
      </c>
    </row>
    <row r="23" spans="1:5" x14ac:dyDescent="0.35">
      <c r="A23" s="14" t="s">
        <v>236</v>
      </c>
    </row>
    <row r="24" spans="1:5" x14ac:dyDescent="0.35">
      <c r="A24" s="14" t="s">
        <v>237</v>
      </c>
    </row>
  </sheetData>
  <pageMargins left="0.7" right="0.7" top="0.75" bottom="0.75" header="0.3" footer="0.3"/>
  <pageSetup orientation="portrait" r:id="rId1"/>
  <headerFooter>
    <oddFooter>&amp;L&amp;1#&amp;"Calibri"&amp;11&amp;K000000Classification: Public</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zoomScaleNormal="100" workbookViewId="0"/>
  </sheetViews>
  <sheetFormatPr defaultRowHeight="14.5" x14ac:dyDescent="0.35"/>
  <cols>
    <col min="1" max="5" width="18.7265625" customWidth="1"/>
  </cols>
  <sheetData>
    <row r="1" spans="1:5" ht="15.5" x14ac:dyDescent="0.35">
      <c r="A1" s="22" t="s">
        <v>239</v>
      </c>
    </row>
    <row r="3" spans="1:5" ht="26" x14ac:dyDescent="0.35">
      <c r="A3" s="4" t="s">
        <v>0</v>
      </c>
      <c r="B3" s="4" t="s">
        <v>262</v>
      </c>
      <c r="C3" s="4" t="s">
        <v>261</v>
      </c>
      <c r="D3" s="4" t="s">
        <v>260</v>
      </c>
      <c r="E3" s="4" t="s">
        <v>259</v>
      </c>
    </row>
    <row r="4" spans="1:5" x14ac:dyDescent="0.35">
      <c r="A4" s="8">
        <v>2005</v>
      </c>
      <c r="B4" s="5">
        <v>22.279</v>
      </c>
      <c r="C4" s="5">
        <v>16.141999999999999</v>
      </c>
      <c r="D4" s="5">
        <v>34.423000000000002</v>
      </c>
      <c r="E4" s="5">
        <v>2.5658696723467802</v>
      </c>
    </row>
    <row r="5" spans="1:5" x14ac:dyDescent="0.35">
      <c r="A5" s="8">
        <v>2006</v>
      </c>
      <c r="B5" s="5">
        <v>23.632999999999999</v>
      </c>
      <c r="C5" s="5">
        <v>21.189</v>
      </c>
      <c r="D5" s="5">
        <v>45.795000000000002</v>
      </c>
      <c r="E5" s="5">
        <v>3.00039015367719</v>
      </c>
    </row>
    <row r="6" spans="1:5" x14ac:dyDescent="0.35">
      <c r="A6" s="8">
        <v>2007</v>
      </c>
      <c r="B6" s="5">
        <v>27.754999999999999</v>
      </c>
      <c r="C6" s="5">
        <v>30.471</v>
      </c>
      <c r="D6" s="5">
        <v>33.808999999999997</v>
      </c>
      <c r="E6" s="5">
        <v>2.7097702308447298</v>
      </c>
    </row>
    <row r="7" spans="1:5" x14ac:dyDescent="0.35">
      <c r="A7" s="8">
        <v>2008</v>
      </c>
      <c r="B7" s="5">
        <v>29.381</v>
      </c>
      <c r="C7" s="5">
        <v>36.332000000000001</v>
      </c>
      <c r="D7" s="5">
        <v>15.317</v>
      </c>
      <c r="E7" s="5">
        <v>2.3251446225783998</v>
      </c>
    </row>
    <row r="8" spans="1:5" x14ac:dyDescent="0.35">
      <c r="A8" s="8">
        <v>2009</v>
      </c>
      <c r="B8" s="5">
        <v>30.268000000000001</v>
      </c>
      <c r="C8" s="5">
        <v>39.01</v>
      </c>
      <c r="D8" s="5">
        <v>13.183999999999999</v>
      </c>
      <c r="E8" s="5">
        <v>2.3121059352766</v>
      </c>
    </row>
    <row r="9" spans="1:5" x14ac:dyDescent="0.35">
      <c r="A9" s="8">
        <v>2010</v>
      </c>
      <c r="B9" s="5">
        <v>30.852</v>
      </c>
      <c r="C9" s="5">
        <v>24.827999999999999</v>
      </c>
      <c r="D9" s="5">
        <v>-3.2709999999999999</v>
      </c>
      <c r="E9" s="5">
        <v>1.44294802168852</v>
      </c>
    </row>
    <row r="10" spans="1:5" x14ac:dyDescent="0.35">
      <c r="A10" s="8">
        <v>2011</v>
      </c>
      <c r="B10" s="5">
        <v>29.535</v>
      </c>
      <c r="C10" s="5">
        <v>19.643999999999998</v>
      </c>
      <c r="D10" s="5">
        <v>8.4429999999999996</v>
      </c>
      <c r="E10" s="5">
        <v>1.5259043075687999</v>
      </c>
    </row>
    <row r="11" spans="1:5" x14ac:dyDescent="0.35">
      <c r="A11" s="8">
        <v>2012</v>
      </c>
      <c r="B11" s="5">
        <v>29.786999999999999</v>
      </c>
      <c r="C11" s="5">
        <v>36.912999999999997</v>
      </c>
      <c r="D11" s="5">
        <v>27.652000000000001</v>
      </c>
      <c r="E11" s="5">
        <v>2.2569892558253599</v>
      </c>
    </row>
    <row r="12" spans="1:5" x14ac:dyDescent="0.35">
      <c r="A12" s="8">
        <v>2013</v>
      </c>
      <c r="B12" s="5">
        <v>30.672000000000001</v>
      </c>
      <c r="C12" s="5">
        <v>46.003999999999998</v>
      </c>
      <c r="D12" s="5">
        <v>38.597999999999999</v>
      </c>
      <c r="E12" s="5">
        <v>2.7477527701295701</v>
      </c>
    </row>
    <row r="13" spans="1:5" x14ac:dyDescent="0.35">
      <c r="A13" s="8">
        <v>2014</v>
      </c>
      <c r="B13" s="5">
        <v>32.034999999999997</v>
      </c>
      <c r="C13" s="5">
        <v>44.03</v>
      </c>
      <c r="D13" s="5">
        <v>35.381999999999998</v>
      </c>
      <c r="E13" s="5">
        <v>2.5781641899507401</v>
      </c>
    </row>
    <row r="14" spans="1:5" x14ac:dyDescent="0.35">
      <c r="A14" s="8">
        <v>2015</v>
      </c>
      <c r="B14" s="5">
        <v>32.204000000000001</v>
      </c>
      <c r="C14" s="5">
        <v>15.855</v>
      </c>
      <c r="D14" s="5">
        <v>21.594000000000001</v>
      </c>
      <c r="E14" s="5">
        <v>1.4899178381682301</v>
      </c>
    </row>
    <row r="15" spans="1:5" x14ac:dyDescent="0.35">
      <c r="A15" s="8">
        <v>2016</v>
      </c>
      <c r="B15" s="5">
        <v>32.953000000000003</v>
      </c>
      <c r="C15" s="5">
        <v>41.304000000000002</v>
      </c>
      <c r="D15" s="5">
        <v>-15.108000000000001</v>
      </c>
      <c r="E15" s="5">
        <v>1.2443023763352401</v>
      </c>
    </row>
    <row r="16" spans="1:5" x14ac:dyDescent="0.35">
      <c r="A16" s="8">
        <v>2017</v>
      </c>
      <c r="B16" s="5">
        <v>29.85</v>
      </c>
      <c r="C16" s="5">
        <v>30.748000000000001</v>
      </c>
      <c r="D16" s="5">
        <v>-15.558999999999999</v>
      </c>
      <c r="E16" s="5">
        <v>1.0733638047683201</v>
      </c>
    </row>
    <row r="17" spans="1:10" x14ac:dyDescent="0.35">
      <c r="A17" s="8">
        <v>2018</v>
      </c>
      <c r="B17" s="5">
        <v>26.879000000000001</v>
      </c>
      <c r="C17" s="5">
        <v>33.542999999999999</v>
      </c>
      <c r="D17" s="5">
        <v>-3.2469999999999999</v>
      </c>
      <c r="E17" s="5">
        <v>1.3481172337365299</v>
      </c>
    </row>
    <row r="18" spans="1:10" x14ac:dyDescent="0.35">
      <c r="A18" s="8">
        <v>2019</v>
      </c>
      <c r="B18" s="5">
        <v>26.571999999999999</v>
      </c>
      <c r="C18" s="5">
        <v>39.761000000000003</v>
      </c>
      <c r="D18" s="5">
        <v>-2.032</v>
      </c>
      <c r="E18" s="5">
        <v>1.4959722214144</v>
      </c>
    </row>
    <row r="19" spans="1:10" x14ac:dyDescent="0.35">
      <c r="A19" s="8">
        <v>2020</v>
      </c>
      <c r="B19" s="5">
        <v>23.643999999999998</v>
      </c>
      <c r="C19" s="5">
        <v>32.838999999999999</v>
      </c>
      <c r="D19" s="5">
        <v>-2.3769999999999998</v>
      </c>
      <c r="E19" s="5">
        <v>1.24023054268854</v>
      </c>
    </row>
    <row r="20" spans="1:10" x14ac:dyDescent="0.35">
      <c r="A20" s="8">
        <v>2021</v>
      </c>
      <c r="B20" s="5">
        <v>18.881</v>
      </c>
      <c r="C20" s="5">
        <v>17.667999999999999</v>
      </c>
      <c r="D20" s="5">
        <v>-9.4580000000000002</v>
      </c>
      <c r="E20" s="5">
        <v>0.61337900260874001</v>
      </c>
    </row>
    <row r="21" spans="1:10" x14ac:dyDescent="0.35">
      <c r="A21" s="8">
        <v>2022</v>
      </c>
      <c r="B21" s="5">
        <v>17.68</v>
      </c>
      <c r="C21" s="5">
        <v>59.997999999999998</v>
      </c>
      <c r="D21" s="5">
        <v>21.66</v>
      </c>
      <c r="E21" s="5">
        <v>2.23544271950884</v>
      </c>
    </row>
    <row r="22" spans="1:10" x14ac:dyDescent="0.35">
      <c r="A22" s="8" t="s">
        <v>2</v>
      </c>
      <c r="B22" s="5">
        <v>18.600000000000001</v>
      </c>
      <c r="C22" s="5">
        <v>81.3</v>
      </c>
      <c r="D22" s="5">
        <v>31</v>
      </c>
      <c r="E22" s="5">
        <v>2.9</v>
      </c>
      <c r="F22" s="23"/>
      <c r="G22" s="23"/>
      <c r="H22" s="23"/>
      <c r="I22" s="23"/>
      <c r="J22" s="23"/>
    </row>
    <row r="23" spans="1:10" x14ac:dyDescent="0.35">
      <c r="A23" s="8" t="s">
        <v>3</v>
      </c>
      <c r="B23" s="5">
        <v>20</v>
      </c>
      <c r="C23" s="5">
        <v>63.1</v>
      </c>
      <c r="D23" s="5">
        <v>20</v>
      </c>
      <c r="E23" s="5">
        <v>2.2000000000000002</v>
      </c>
      <c r="F23" s="23"/>
      <c r="G23" s="23"/>
      <c r="H23" s="23"/>
      <c r="I23" s="23"/>
      <c r="J23" s="23"/>
    </row>
    <row r="24" spans="1:10" x14ac:dyDescent="0.35">
      <c r="A24" s="8" t="s">
        <v>4</v>
      </c>
      <c r="B24" s="5">
        <v>20.9</v>
      </c>
      <c r="C24" s="5">
        <v>60.1</v>
      </c>
      <c r="D24" s="5">
        <v>17</v>
      </c>
      <c r="E24" s="5">
        <v>2.1</v>
      </c>
      <c r="F24" s="23"/>
      <c r="G24" s="23"/>
      <c r="H24" s="23"/>
      <c r="I24" s="23"/>
      <c r="J24" s="23"/>
    </row>
    <row r="25" spans="1:10" x14ac:dyDescent="0.35">
      <c r="A25" s="8" t="s">
        <v>5</v>
      </c>
      <c r="B25" s="5">
        <v>21.7</v>
      </c>
      <c r="C25" s="5">
        <v>45.2</v>
      </c>
      <c r="D25" s="5">
        <v>15</v>
      </c>
      <c r="E25" s="5">
        <v>1.7</v>
      </c>
      <c r="F25" s="23"/>
      <c r="G25" s="23"/>
      <c r="H25" s="23"/>
      <c r="I25" s="23"/>
      <c r="J25" s="23"/>
    </row>
    <row r="27" spans="1:10" x14ac:dyDescent="0.35">
      <c r="A27" s="14" t="s">
        <v>258</v>
      </c>
    </row>
  </sheetData>
  <pageMargins left="0.7" right="0.7" top="0.75" bottom="0.75" header="0.3" footer="0.3"/>
  <pageSetup orientation="portrait" r:id="rId1"/>
  <headerFooter>
    <oddFooter>&amp;L&amp;1#&amp;"Calibri"&amp;11&amp;K000000Classification: Public</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zoomScaleNormal="100" workbookViewId="0"/>
  </sheetViews>
  <sheetFormatPr defaultRowHeight="14.5" x14ac:dyDescent="0.35"/>
  <cols>
    <col min="1" max="3" width="18.7265625" customWidth="1"/>
  </cols>
  <sheetData>
    <row r="1" spans="1:3" ht="15.5" x14ac:dyDescent="0.35">
      <c r="A1" s="22" t="s">
        <v>257</v>
      </c>
    </row>
    <row r="3" spans="1:3" ht="26" x14ac:dyDescent="0.35">
      <c r="A3" s="4" t="s">
        <v>31</v>
      </c>
      <c r="B3" s="4" t="s">
        <v>263</v>
      </c>
      <c r="C3" s="4" t="s">
        <v>264</v>
      </c>
    </row>
    <row r="4" spans="1:3" x14ac:dyDescent="0.35">
      <c r="A4" s="8" t="s">
        <v>220</v>
      </c>
      <c r="B4" s="5">
        <v>42.625</v>
      </c>
      <c r="C4" s="5">
        <v>2.2000000000000002</v>
      </c>
    </row>
    <row r="5" spans="1:3" x14ac:dyDescent="0.35">
      <c r="A5" s="8" t="s">
        <v>221</v>
      </c>
      <c r="B5" s="5">
        <v>50.92</v>
      </c>
      <c r="C5" s="5">
        <v>2.6</v>
      </c>
    </row>
    <row r="6" spans="1:3" x14ac:dyDescent="0.35">
      <c r="A6" s="8" t="s">
        <v>222</v>
      </c>
      <c r="B6" s="5">
        <v>53.634999999999998</v>
      </c>
      <c r="C6" s="5">
        <v>2.7</v>
      </c>
    </row>
    <row r="7" spans="1:3" x14ac:dyDescent="0.35">
      <c r="A7" s="8" t="s">
        <v>7</v>
      </c>
      <c r="B7" s="5">
        <v>51.265000000000001</v>
      </c>
      <c r="C7" s="5">
        <v>2.6</v>
      </c>
    </row>
    <row r="8" spans="1:3" x14ac:dyDescent="0.35">
      <c r="A8" s="8" t="s">
        <v>8</v>
      </c>
      <c r="B8" s="5">
        <v>50.685000000000002</v>
      </c>
      <c r="C8" s="5">
        <v>2.6</v>
      </c>
    </row>
    <row r="9" spans="1:3" x14ac:dyDescent="0.35">
      <c r="A9" s="8" t="s">
        <v>9</v>
      </c>
      <c r="B9" s="5">
        <v>59.83</v>
      </c>
      <c r="C9" s="5">
        <v>3</v>
      </c>
    </row>
    <row r="10" spans="1:3" x14ac:dyDescent="0.35">
      <c r="A10" s="8" t="s">
        <v>10</v>
      </c>
      <c r="B10" s="5">
        <v>58.745000000000005</v>
      </c>
      <c r="C10" s="5">
        <v>2.9</v>
      </c>
    </row>
    <row r="11" spans="1:3" x14ac:dyDescent="0.35">
      <c r="A11" s="8" t="s">
        <v>11</v>
      </c>
      <c r="B11" s="5">
        <v>55.03</v>
      </c>
      <c r="C11" s="5">
        <v>2.7</v>
      </c>
    </row>
    <row r="12" spans="1:3" x14ac:dyDescent="0.35">
      <c r="A12" s="8" t="s">
        <v>12</v>
      </c>
      <c r="B12" s="5">
        <v>49.755000000000003</v>
      </c>
      <c r="C12" s="5">
        <v>2.5</v>
      </c>
    </row>
    <row r="13" spans="1:3" x14ac:dyDescent="0.35">
      <c r="A13" s="8" t="s">
        <v>13</v>
      </c>
      <c r="B13" s="5">
        <v>59.93</v>
      </c>
      <c r="C13" s="5">
        <v>3</v>
      </c>
    </row>
    <row r="14" spans="1:3" x14ac:dyDescent="0.35">
      <c r="A14" s="8" t="s">
        <v>14</v>
      </c>
      <c r="B14" s="5">
        <v>52.89</v>
      </c>
      <c r="C14" s="5">
        <v>2.6</v>
      </c>
    </row>
    <row r="15" spans="1:3" x14ac:dyDescent="0.35">
      <c r="A15" s="8" t="s">
        <v>15</v>
      </c>
      <c r="B15" s="5">
        <v>45.465000000000003</v>
      </c>
      <c r="C15" s="5">
        <v>2.2000000000000002</v>
      </c>
    </row>
    <row r="16" spans="1:3" x14ac:dyDescent="0.35">
      <c r="A16" s="8" t="s">
        <v>16</v>
      </c>
      <c r="B16" s="5">
        <v>48.35</v>
      </c>
      <c r="C16" s="5">
        <v>2.4</v>
      </c>
    </row>
    <row r="17" spans="1:3" x14ac:dyDescent="0.35">
      <c r="A17" s="8" t="s">
        <v>17</v>
      </c>
      <c r="B17" s="5" t="e">
        <v>#N/A</v>
      </c>
      <c r="C17" s="5" t="e">
        <v>#N/A</v>
      </c>
    </row>
    <row r="18" spans="1:3" x14ac:dyDescent="0.35">
      <c r="A18" s="8" t="s">
        <v>18</v>
      </c>
      <c r="B18" s="5" t="e">
        <v>#N/A</v>
      </c>
      <c r="C18" s="5" t="e">
        <v>#N/A</v>
      </c>
    </row>
    <row r="19" spans="1:3" x14ac:dyDescent="0.35">
      <c r="A19" s="8" t="s">
        <v>19</v>
      </c>
      <c r="B19" s="5">
        <v>44.7</v>
      </c>
      <c r="C19" s="5">
        <v>2.4</v>
      </c>
    </row>
    <row r="20" spans="1:3" x14ac:dyDescent="0.35">
      <c r="A20" s="8" t="s">
        <v>20</v>
      </c>
      <c r="B20" s="5">
        <v>50.39</v>
      </c>
      <c r="C20" s="5">
        <v>2.8</v>
      </c>
    </row>
    <row r="21" spans="1:3" x14ac:dyDescent="0.35">
      <c r="A21" s="8" t="s">
        <v>21</v>
      </c>
      <c r="B21" s="5">
        <v>69.05</v>
      </c>
      <c r="C21" s="5">
        <v>3.7</v>
      </c>
    </row>
    <row r="22" spans="1:3" x14ac:dyDescent="0.35">
      <c r="A22" s="8" t="s">
        <v>22</v>
      </c>
      <c r="B22" s="5">
        <v>86.385000000000005</v>
      </c>
      <c r="C22" s="5">
        <v>4.4000000000000004</v>
      </c>
    </row>
    <row r="23" spans="1:3" x14ac:dyDescent="0.35">
      <c r="A23" s="8" t="s">
        <v>23</v>
      </c>
      <c r="B23" s="5">
        <v>85.924999999999997</v>
      </c>
      <c r="C23" s="5">
        <v>4.3</v>
      </c>
    </row>
    <row r="24" spans="1:3" x14ac:dyDescent="0.35">
      <c r="A24" s="8" t="s">
        <v>24</v>
      </c>
      <c r="B24" s="5">
        <v>88.165000000000006</v>
      </c>
      <c r="C24" s="5">
        <v>4.4000000000000004</v>
      </c>
    </row>
    <row r="25" spans="1:3" x14ac:dyDescent="0.35">
      <c r="A25" s="8" t="s">
        <v>25</v>
      </c>
      <c r="B25" s="5">
        <v>107.74000000000001</v>
      </c>
      <c r="C25" s="5">
        <v>5.3</v>
      </c>
    </row>
    <row r="26" spans="1:3" x14ac:dyDescent="0.35">
      <c r="A26" s="8" t="s">
        <v>26</v>
      </c>
      <c r="B26" s="5">
        <v>103.38</v>
      </c>
      <c r="C26" s="5">
        <v>5</v>
      </c>
    </row>
    <row r="28" spans="1:3" x14ac:dyDescent="0.35">
      <c r="A28" s="14" t="s">
        <v>246</v>
      </c>
    </row>
  </sheetData>
  <pageMargins left="0.7" right="0.7" top="0.75" bottom="0.75" header="0.3" footer="0.3"/>
  <pageSetup orientation="portrait" r:id="rId1"/>
  <headerFooter>
    <oddFooter>&amp;L&amp;1#&amp;"Calibri"&amp;11&amp;K000000Classification: Public</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workbookViewId="0"/>
  </sheetViews>
  <sheetFormatPr defaultRowHeight="14.5" x14ac:dyDescent="0.35"/>
  <cols>
    <col min="1" max="4" width="18.7265625" customWidth="1"/>
  </cols>
  <sheetData>
    <row r="1" spans="1:4" ht="15.5" x14ac:dyDescent="0.35">
      <c r="A1" s="22" t="s">
        <v>254</v>
      </c>
    </row>
    <row r="3" spans="1:4" ht="26" x14ac:dyDescent="0.35">
      <c r="A3" s="4" t="s">
        <v>0</v>
      </c>
      <c r="B3" s="4" t="s">
        <v>265</v>
      </c>
      <c r="C3" s="4" t="s">
        <v>266</v>
      </c>
      <c r="D3" s="4" t="s">
        <v>267</v>
      </c>
    </row>
    <row r="4" spans="1:4" x14ac:dyDescent="0.35">
      <c r="A4" s="8">
        <v>2006</v>
      </c>
      <c r="B4" s="5">
        <v>1908.7</v>
      </c>
      <c r="C4" s="5">
        <v>4.8505822896066775</v>
      </c>
      <c r="D4" s="5">
        <v>3.5</v>
      </c>
    </row>
    <row r="5" spans="1:4" x14ac:dyDescent="0.35">
      <c r="A5" s="8">
        <v>2007</v>
      </c>
      <c r="B5" s="5">
        <v>1983.1</v>
      </c>
      <c r="C5" s="5">
        <v>4.0592716268392115</v>
      </c>
      <c r="D5" s="5">
        <v>3.7</v>
      </c>
    </row>
    <row r="6" spans="1:4" x14ac:dyDescent="0.35">
      <c r="A6" s="8">
        <v>2008</v>
      </c>
      <c r="B6" s="5">
        <v>2048.6</v>
      </c>
      <c r="C6" s="5">
        <v>2.8028479743281265</v>
      </c>
      <c r="D6" s="5">
        <v>3.8</v>
      </c>
    </row>
    <row r="7" spans="1:4" x14ac:dyDescent="0.35">
      <c r="A7" s="8">
        <v>2009</v>
      </c>
      <c r="B7" s="5">
        <v>2026.9</v>
      </c>
      <c r="C7" s="5">
        <v>-0.9803443398527123</v>
      </c>
      <c r="D7" s="5">
        <v>6.8</v>
      </c>
    </row>
    <row r="8" spans="1:4" x14ac:dyDescent="0.35">
      <c r="A8" s="8">
        <v>2010</v>
      </c>
      <c r="B8" s="5">
        <v>2021.1</v>
      </c>
      <c r="C8" s="5">
        <v>-5.4181854004542451E-2</v>
      </c>
      <c r="D8" s="5">
        <v>6.6</v>
      </c>
    </row>
    <row r="9" spans="1:4" x14ac:dyDescent="0.35">
      <c r="A9" s="8">
        <v>2011</v>
      </c>
      <c r="B9" s="5">
        <v>2094.6999999999998</v>
      </c>
      <c r="C9" s="5">
        <v>3.651865359026174</v>
      </c>
      <c r="D9" s="5">
        <v>5.5</v>
      </c>
    </row>
    <row r="10" spans="1:4" x14ac:dyDescent="0.35">
      <c r="A10" s="8">
        <v>2012</v>
      </c>
      <c r="B10" s="5">
        <v>2153.9</v>
      </c>
      <c r="C10" s="5">
        <v>3.0144541650817924</v>
      </c>
      <c r="D10" s="5">
        <v>4.7</v>
      </c>
    </row>
    <row r="11" spans="1:4" x14ac:dyDescent="0.35">
      <c r="A11" s="8">
        <v>2013</v>
      </c>
      <c r="B11" s="5">
        <v>2199.1999999999998</v>
      </c>
      <c r="C11" s="5">
        <v>2.0539093510569595</v>
      </c>
      <c r="D11" s="5">
        <v>4.5999999999999996</v>
      </c>
    </row>
    <row r="12" spans="1:4" x14ac:dyDescent="0.35">
      <c r="A12" s="8">
        <v>2014</v>
      </c>
      <c r="B12" s="5">
        <v>2236.8000000000002</v>
      </c>
      <c r="C12" s="5">
        <v>1.6191036135860148</v>
      </c>
      <c r="D12" s="5">
        <v>4.8</v>
      </c>
    </row>
    <row r="13" spans="1:4" x14ac:dyDescent="0.35">
      <c r="A13" s="8">
        <v>2015</v>
      </c>
      <c r="B13" s="5">
        <v>2246.4</v>
      </c>
      <c r="C13" s="5">
        <v>0.83225777738216156</v>
      </c>
      <c r="D13" s="5">
        <v>6.1</v>
      </c>
    </row>
    <row r="14" spans="1:4" x14ac:dyDescent="0.35">
      <c r="A14" s="8">
        <v>2016</v>
      </c>
      <c r="B14" s="5">
        <v>2195.6999999999998</v>
      </c>
      <c r="C14" s="5">
        <v>-2.6924435028248594</v>
      </c>
      <c r="D14" s="5">
        <v>8.1999999999999993</v>
      </c>
    </row>
    <row r="15" spans="1:4" x14ac:dyDescent="0.35">
      <c r="A15" s="8">
        <v>2017</v>
      </c>
      <c r="B15" s="5">
        <v>2220.8000000000002</v>
      </c>
      <c r="C15" s="5">
        <v>0.74843509026580879</v>
      </c>
      <c r="D15" s="5">
        <v>8</v>
      </c>
    </row>
    <row r="16" spans="1:4" x14ac:dyDescent="0.35">
      <c r="A16" s="8">
        <v>2018</v>
      </c>
      <c r="B16" s="5">
        <v>2263.6</v>
      </c>
      <c r="C16" s="5">
        <v>2.656341452433475</v>
      </c>
      <c r="D16" s="5">
        <v>6.5</v>
      </c>
    </row>
    <row r="17" spans="1:4" x14ac:dyDescent="0.35">
      <c r="A17" s="8">
        <v>2019</v>
      </c>
      <c r="B17" s="5">
        <v>2279.3000000000002</v>
      </c>
      <c r="C17" s="5">
        <v>1.2148589974124047</v>
      </c>
      <c r="D17" s="5">
        <v>6.8</v>
      </c>
    </row>
    <row r="18" spans="1:4" x14ac:dyDescent="0.35">
      <c r="A18" s="8">
        <v>2020</v>
      </c>
      <c r="B18" s="5">
        <v>2129.8000000000002</v>
      </c>
      <c r="C18" s="5">
        <v>-7.1106681688188011</v>
      </c>
      <c r="D18" s="5">
        <v>11.3</v>
      </c>
    </row>
    <row r="19" spans="1:4" x14ac:dyDescent="0.35">
      <c r="A19" s="8">
        <v>2021</v>
      </c>
      <c r="B19" s="5">
        <v>2239.1999999999998</v>
      </c>
      <c r="C19" s="5">
        <v>5.406540094229606</v>
      </c>
      <c r="D19" s="5">
        <v>8.6</v>
      </c>
    </row>
    <row r="20" spans="1:4" x14ac:dyDescent="0.35">
      <c r="A20" s="8">
        <v>2022</v>
      </c>
      <c r="B20" s="5">
        <v>2376.1</v>
      </c>
      <c r="C20" s="5">
        <v>5.1557797840325659</v>
      </c>
      <c r="D20" s="5">
        <v>5.8</v>
      </c>
    </row>
    <row r="21" spans="1:4" x14ac:dyDescent="0.35">
      <c r="A21" s="8" t="s">
        <v>2</v>
      </c>
      <c r="B21" s="5">
        <v>2430.6999999999998</v>
      </c>
      <c r="C21" s="5">
        <v>2.2999999999999998</v>
      </c>
      <c r="D21" s="5">
        <v>6.4</v>
      </c>
    </row>
    <row r="22" spans="1:4" x14ac:dyDescent="0.35">
      <c r="A22" s="8" t="s">
        <v>3</v>
      </c>
      <c r="B22" s="5">
        <v>2496.6</v>
      </c>
      <c r="C22" s="5">
        <v>2.7</v>
      </c>
      <c r="D22" s="5">
        <v>6.3</v>
      </c>
    </row>
    <row r="23" spans="1:4" x14ac:dyDescent="0.35">
      <c r="A23" s="8" t="s">
        <v>4</v>
      </c>
      <c r="B23" s="5">
        <v>2559.6999999999998</v>
      </c>
      <c r="C23" s="5">
        <v>2.5</v>
      </c>
      <c r="D23" s="5">
        <v>6.1</v>
      </c>
    </row>
    <row r="24" spans="1:4" x14ac:dyDescent="0.35">
      <c r="A24" s="8" t="s">
        <v>5</v>
      </c>
      <c r="B24" s="5">
        <v>2618.6</v>
      </c>
      <c r="C24" s="5">
        <v>2.2999999999999998</v>
      </c>
      <c r="D24" s="5">
        <v>5.7</v>
      </c>
    </row>
    <row r="26" spans="1:4" x14ac:dyDescent="0.35">
      <c r="A26" s="14" t="s">
        <v>258</v>
      </c>
    </row>
  </sheetData>
  <pageMargins left="0.7" right="0.7" top="0.75" bottom="0.75" header="0.3" footer="0.3"/>
  <pageSetup orientation="portrait" r:id="rId1"/>
  <headerFooter>
    <oddFooter>&amp;L&amp;1#&amp;"Calibri"&amp;11&amp;K000000Classification: Public</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8"/>
  <sheetViews>
    <sheetView zoomScaleNormal="100" workbookViewId="0">
      <selection activeCell="F26" sqref="F26"/>
    </sheetView>
  </sheetViews>
  <sheetFormatPr defaultRowHeight="14.5" x14ac:dyDescent="0.35"/>
  <cols>
    <col min="1" max="1" width="18.7265625" customWidth="1"/>
    <col min="2" max="3" width="18.7265625" style="10" customWidth="1"/>
    <col min="5" max="5" width="18.7265625" customWidth="1"/>
    <col min="6" max="6" width="18.7265625" style="10" customWidth="1"/>
  </cols>
  <sheetData>
    <row r="1" spans="1:6" ht="15.5" x14ac:dyDescent="0.35">
      <c r="A1" s="22" t="s">
        <v>250</v>
      </c>
    </row>
    <row r="3" spans="1:6" x14ac:dyDescent="0.35">
      <c r="A3" s="4" t="s">
        <v>35</v>
      </c>
      <c r="B3" s="18" t="s">
        <v>251</v>
      </c>
      <c r="C3" s="18" t="s">
        <v>252</v>
      </c>
      <c r="E3" s="4" t="s">
        <v>0</v>
      </c>
      <c r="F3" s="18" t="s">
        <v>253</v>
      </c>
    </row>
    <row r="4" spans="1:6" x14ac:dyDescent="0.35">
      <c r="A4" s="8" t="s">
        <v>79</v>
      </c>
      <c r="B4" s="17">
        <v>1817</v>
      </c>
      <c r="C4" s="17">
        <v>809</v>
      </c>
      <c r="E4" s="8">
        <v>2016</v>
      </c>
      <c r="F4" s="17">
        <v>24533</v>
      </c>
    </row>
    <row r="5" spans="1:6" x14ac:dyDescent="0.35">
      <c r="A5" s="8" t="s">
        <v>80</v>
      </c>
      <c r="B5" s="17">
        <v>1859</v>
      </c>
      <c r="C5" s="17">
        <v>908</v>
      </c>
      <c r="E5" s="8">
        <v>2017</v>
      </c>
      <c r="F5" s="17">
        <v>29457</v>
      </c>
    </row>
    <row r="6" spans="1:6" x14ac:dyDescent="0.35">
      <c r="A6" s="8" t="s">
        <v>81</v>
      </c>
      <c r="B6" s="17">
        <v>1892</v>
      </c>
      <c r="C6" s="17">
        <v>948</v>
      </c>
      <c r="E6" s="8">
        <v>2018</v>
      </c>
      <c r="F6" s="17">
        <v>26085</v>
      </c>
    </row>
    <row r="7" spans="1:6" x14ac:dyDescent="0.35">
      <c r="A7" s="8" t="s">
        <v>82</v>
      </c>
      <c r="B7" s="17">
        <v>1877</v>
      </c>
      <c r="C7" s="17">
        <v>1038</v>
      </c>
      <c r="E7" s="8">
        <v>2019</v>
      </c>
      <c r="F7" s="17">
        <v>27325</v>
      </c>
    </row>
    <row r="8" spans="1:6" x14ac:dyDescent="0.35">
      <c r="A8" s="8" t="s">
        <v>83</v>
      </c>
      <c r="B8" s="17">
        <v>1781</v>
      </c>
      <c r="C8" s="17">
        <v>1178</v>
      </c>
      <c r="E8" s="8">
        <v>2020</v>
      </c>
      <c r="F8" s="17">
        <v>24023</v>
      </c>
    </row>
    <row r="9" spans="1:6" x14ac:dyDescent="0.35">
      <c r="A9" s="8" t="s">
        <v>84</v>
      </c>
      <c r="B9" s="17">
        <v>1630</v>
      </c>
      <c r="C9" s="17">
        <v>1371</v>
      </c>
      <c r="E9" s="8">
        <v>2021</v>
      </c>
      <c r="F9" s="17">
        <v>31935</v>
      </c>
    </row>
    <row r="10" spans="1:6" x14ac:dyDescent="0.35">
      <c r="A10" s="8" t="s">
        <v>85</v>
      </c>
      <c r="B10" s="17">
        <v>1590</v>
      </c>
      <c r="C10" s="17">
        <v>1569</v>
      </c>
      <c r="E10" s="8">
        <v>2022</v>
      </c>
      <c r="F10" s="17">
        <v>36544</v>
      </c>
    </row>
    <row r="11" spans="1:6" x14ac:dyDescent="0.35">
      <c r="A11" s="8" t="s">
        <v>86</v>
      </c>
      <c r="B11" s="17">
        <v>1521</v>
      </c>
      <c r="C11" s="17">
        <v>1595</v>
      </c>
      <c r="E11" s="8" t="s">
        <v>2</v>
      </c>
      <c r="F11" s="17">
        <v>38100</v>
      </c>
    </row>
    <row r="12" spans="1:6" x14ac:dyDescent="0.35">
      <c r="A12" s="8" t="s">
        <v>87</v>
      </c>
      <c r="B12" s="17">
        <v>1507</v>
      </c>
      <c r="C12" s="17">
        <v>1818</v>
      </c>
      <c r="E12" s="8" t="s">
        <v>3</v>
      </c>
      <c r="F12" s="17">
        <v>37700</v>
      </c>
    </row>
    <row r="13" spans="1:6" x14ac:dyDescent="0.35">
      <c r="A13" s="8" t="s">
        <v>88</v>
      </c>
      <c r="B13" s="17">
        <v>1579</v>
      </c>
      <c r="C13" s="17">
        <v>1796</v>
      </c>
      <c r="E13" s="8" t="s">
        <v>4</v>
      </c>
      <c r="F13" s="17">
        <v>36400</v>
      </c>
    </row>
    <row r="14" spans="1:6" x14ac:dyDescent="0.35">
      <c r="A14" s="8" t="s">
        <v>89</v>
      </c>
      <c r="B14" s="17">
        <v>1511</v>
      </c>
      <c r="C14" s="17">
        <v>1966</v>
      </c>
      <c r="E14" s="8" t="s">
        <v>5</v>
      </c>
      <c r="F14" s="17">
        <v>36700</v>
      </c>
    </row>
    <row r="15" spans="1:6" x14ac:dyDescent="0.35">
      <c r="A15" s="8" t="s">
        <v>90</v>
      </c>
      <c r="B15" s="17">
        <v>1501</v>
      </c>
      <c r="C15" s="17">
        <v>1958</v>
      </c>
      <c r="F15" s="19"/>
    </row>
    <row r="16" spans="1:6" x14ac:dyDescent="0.35">
      <c r="A16" s="8" t="s">
        <v>91</v>
      </c>
      <c r="B16" s="17">
        <v>1597</v>
      </c>
      <c r="C16" s="17">
        <v>2197</v>
      </c>
    </row>
    <row r="17" spans="1:3" x14ac:dyDescent="0.35">
      <c r="A17" s="8" t="s">
        <v>92</v>
      </c>
      <c r="B17" s="17">
        <v>1626</v>
      </c>
      <c r="C17" s="17">
        <v>2498</v>
      </c>
    </row>
    <row r="18" spans="1:3" x14ac:dyDescent="0.35">
      <c r="A18" s="8" t="s">
        <v>93</v>
      </c>
      <c r="B18" s="17">
        <v>1591</v>
      </c>
      <c r="C18" s="17">
        <v>2506</v>
      </c>
    </row>
    <row r="19" spans="1:3" x14ac:dyDescent="0.35">
      <c r="A19" s="8" t="s">
        <v>94</v>
      </c>
      <c r="B19" s="17">
        <v>1597</v>
      </c>
      <c r="C19" s="17">
        <v>2459</v>
      </c>
    </row>
    <row r="20" spans="1:3" x14ac:dyDescent="0.35">
      <c r="A20" s="8" t="s">
        <v>95</v>
      </c>
      <c r="B20" s="17">
        <v>1677</v>
      </c>
      <c r="C20" s="17">
        <v>2480</v>
      </c>
    </row>
    <row r="21" spans="1:3" x14ac:dyDescent="0.35">
      <c r="A21" s="8" t="s">
        <v>96</v>
      </c>
      <c r="B21" s="17">
        <v>1697</v>
      </c>
      <c r="C21" s="17">
        <v>2436</v>
      </c>
    </row>
    <row r="22" spans="1:3" x14ac:dyDescent="0.35">
      <c r="A22" s="8" t="s">
        <v>97</v>
      </c>
      <c r="B22" s="17">
        <v>1622</v>
      </c>
      <c r="C22" s="17">
        <v>2377</v>
      </c>
    </row>
    <row r="23" spans="1:3" x14ac:dyDescent="0.35">
      <c r="A23" s="8" t="s">
        <v>98</v>
      </c>
      <c r="B23" s="17">
        <v>1581</v>
      </c>
      <c r="C23" s="17">
        <v>2146</v>
      </c>
    </row>
    <row r="24" spans="1:3" x14ac:dyDescent="0.35">
      <c r="A24" s="8" t="s">
        <v>99</v>
      </c>
      <c r="B24" s="17">
        <v>1591</v>
      </c>
      <c r="C24" s="17">
        <v>2215</v>
      </c>
    </row>
    <row r="25" spans="1:3" x14ac:dyDescent="0.35">
      <c r="A25" s="8" t="s">
        <v>100</v>
      </c>
      <c r="B25" s="17">
        <v>1733</v>
      </c>
      <c r="C25" s="17">
        <v>2260</v>
      </c>
    </row>
    <row r="26" spans="1:3" x14ac:dyDescent="0.35">
      <c r="A26" s="8" t="s">
        <v>101</v>
      </c>
      <c r="B26" s="17">
        <v>1740</v>
      </c>
      <c r="C26" s="17">
        <v>2403</v>
      </c>
    </row>
    <row r="27" spans="1:3" x14ac:dyDescent="0.35">
      <c r="A27" s="8" t="s">
        <v>102</v>
      </c>
      <c r="B27" s="17">
        <v>1828</v>
      </c>
      <c r="C27" s="17">
        <v>2326</v>
      </c>
    </row>
    <row r="28" spans="1:3" x14ac:dyDescent="0.35">
      <c r="A28" s="8" t="s">
        <v>103</v>
      </c>
      <c r="B28" s="17">
        <v>1881</v>
      </c>
      <c r="C28" s="17">
        <v>2411</v>
      </c>
    </row>
    <row r="29" spans="1:3" x14ac:dyDescent="0.35">
      <c r="A29" s="8" t="s">
        <v>104</v>
      </c>
      <c r="B29" s="17">
        <v>1940</v>
      </c>
      <c r="C29" s="17">
        <v>2335</v>
      </c>
    </row>
    <row r="30" spans="1:3" x14ac:dyDescent="0.35">
      <c r="A30" s="8" t="s">
        <v>105</v>
      </c>
      <c r="B30" s="17">
        <v>2026</v>
      </c>
      <c r="C30" s="17">
        <v>2141</v>
      </c>
    </row>
    <row r="31" spans="1:3" x14ac:dyDescent="0.35">
      <c r="A31" s="8" t="s">
        <v>106</v>
      </c>
      <c r="B31" s="17">
        <v>2022</v>
      </c>
      <c r="C31" s="17">
        <v>2141</v>
      </c>
    </row>
    <row r="32" spans="1:3" x14ac:dyDescent="0.35">
      <c r="A32" s="8" t="s">
        <v>107</v>
      </c>
      <c r="B32" s="17">
        <v>2070</v>
      </c>
      <c r="C32" s="17">
        <v>2097</v>
      </c>
    </row>
    <row r="33" spans="1:3" x14ac:dyDescent="0.35">
      <c r="A33" s="8" t="s">
        <v>108</v>
      </c>
      <c r="B33" s="17">
        <v>2058</v>
      </c>
      <c r="C33" s="17">
        <v>2078</v>
      </c>
    </row>
    <row r="34" spans="1:3" x14ac:dyDescent="0.35">
      <c r="A34" s="8" t="s">
        <v>109</v>
      </c>
      <c r="B34" s="17">
        <v>2185</v>
      </c>
      <c r="C34" s="17">
        <v>2114</v>
      </c>
    </row>
    <row r="35" spans="1:3" x14ac:dyDescent="0.35">
      <c r="A35" s="8" t="s">
        <v>110</v>
      </c>
      <c r="B35" s="17">
        <v>2212</v>
      </c>
      <c r="C35" s="17">
        <v>2108</v>
      </c>
    </row>
    <row r="36" spans="1:3" x14ac:dyDescent="0.35">
      <c r="A36" s="8" t="s">
        <v>111</v>
      </c>
      <c r="B36" s="17">
        <v>2454</v>
      </c>
      <c r="C36" s="17">
        <v>2061</v>
      </c>
    </row>
    <row r="37" spans="1:3" x14ac:dyDescent="0.35">
      <c r="A37" s="8" t="s">
        <v>112</v>
      </c>
      <c r="B37" s="17">
        <v>2584</v>
      </c>
      <c r="C37" s="17">
        <v>1920</v>
      </c>
    </row>
    <row r="38" spans="1:3" x14ac:dyDescent="0.35">
      <c r="A38" s="8" t="s">
        <v>113</v>
      </c>
      <c r="B38" s="17">
        <v>2707</v>
      </c>
      <c r="C38" s="17">
        <v>1997</v>
      </c>
    </row>
    <row r="39" spans="1:3" x14ac:dyDescent="0.35">
      <c r="A39" s="8" t="s">
        <v>114</v>
      </c>
      <c r="B39" s="17">
        <v>2832</v>
      </c>
      <c r="C39" s="17">
        <v>2142</v>
      </c>
    </row>
    <row r="40" spans="1:3" x14ac:dyDescent="0.35">
      <c r="A40" s="8" t="s">
        <v>115</v>
      </c>
      <c r="B40" s="17">
        <v>2802</v>
      </c>
      <c r="C40" s="17">
        <v>2200</v>
      </c>
    </row>
    <row r="41" spans="1:3" x14ac:dyDescent="0.35">
      <c r="A41" s="8" t="s">
        <v>116</v>
      </c>
      <c r="B41" s="17">
        <v>2804</v>
      </c>
      <c r="C41" s="17">
        <v>2221</v>
      </c>
    </row>
    <row r="42" spans="1:3" x14ac:dyDescent="0.35">
      <c r="A42" s="8" t="s">
        <v>117</v>
      </c>
      <c r="B42" s="17">
        <v>2822</v>
      </c>
      <c r="C42" s="17">
        <v>2260</v>
      </c>
    </row>
    <row r="43" spans="1:3" x14ac:dyDescent="0.35">
      <c r="A43" s="8" t="s">
        <v>118</v>
      </c>
      <c r="B43" s="17">
        <v>2687</v>
      </c>
      <c r="C43" s="17">
        <v>2223</v>
      </c>
    </row>
    <row r="44" spans="1:3" x14ac:dyDescent="0.35">
      <c r="A44" s="8" t="s">
        <v>119</v>
      </c>
      <c r="B44" s="17">
        <v>2691</v>
      </c>
      <c r="C44" s="17">
        <v>2367</v>
      </c>
    </row>
    <row r="45" spans="1:3" x14ac:dyDescent="0.35">
      <c r="A45" s="8" t="s">
        <v>120</v>
      </c>
      <c r="B45" s="17">
        <v>2601</v>
      </c>
      <c r="C45" s="17">
        <v>2446</v>
      </c>
    </row>
    <row r="46" spans="1:3" x14ac:dyDescent="0.35">
      <c r="A46" s="8" t="s">
        <v>121</v>
      </c>
      <c r="B46" s="17">
        <v>2548</v>
      </c>
      <c r="C46" s="17">
        <v>2488</v>
      </c>
    </row>
    <row r="47" spans="1:3" x14ac:dyDescent="0.35">
      <c r="A47" s="8" t="s">
        <v>122</v>
      </c>
      <c r="B47" s="17">
        <v>2509</v>
      </c>
      <c r="C47" s="17">
        <v>2404</v>
      </c>
    </row>
    <row r="48" spans="1:3" x14ac:dyDescent="0.35">
      <c r="A48" s="8" t="s">
        <v>123</v>
      </c>
      <c r="B48" s="17">
        <v>2623</v>
      </c>
      <c r="C48" s="17">
        <v>2363</v>
      </c>
    </row>
    <row r="49" spans="1:3" x14ac:dyDescent="0.35">
      <c r="A49" s="8" t="s">
        <v>124</v>
      </c>
      <c r="B49" s="17">
        <v>2635</v>
      </c>
      <c r="C49" s="17">
        <v>2359</v>
      </c>
    </row>
    <row r="50" spans="1:3" x14ac:dyDescent="0.35">
      <c r="A50" s="8" t="s">
        <v>125</v>
      </c>
      <c r="B50" s="17">
        <v>2616</v>
      </c>
      <c r="C50" s="17">
        <v>2529</v>
      </c>
    </row>
    <row r="51" spans="1:3" x14ac:dyDescent="0.35">
      <c r="A51" s="8" t="s">
        <v>126</v>
      </c>
      <c r="B51" s="17">
        <v>2640</v>
      </c>
      <c r="C51" s="17">
        <v>2564</v>
      </c>
    </row>
    <row r="52" spans="1:3" x14ac:dyDescent="0.35">
      <c r="A52" s="8" t="s">
        <v>127</v>
      </c>
      <c r="B52" s="17">
        <v>2572</v>
      </c>
      <c r="C52" s="17">
        <v>2704</v>
      </c>
    </row>
    <row r="53" spans="1:3" x14ac:dyDescent="0.35">
      <c r="A53" s="8" t="s">
        <v>128</v>
      </c>
      <c r="B53" s="17">
        <v>2517</v>
      </c>
      <c r="C53" s="17">
        <v>2475</v>
      </c>
    </row>
    <row r="54" spans="1:3" x14ac:dyDescent="0.35">
      <c r="A54" s="8" t="s">
        <v>129</v>
      </c>
      <c r="B54" s="17">
        <v>2472</v>
      </c>
      <c r="C54" s="17">
        <v>2543</v>
      </c>
    </row>
    <row r="55" spans="1:3" x14ac:dyDescent="0.35">
      <c r="A55" s="8" t="s">
        <v>130</v>
      </c>
      <c r="B55" s="17">
        <v>2421</v>
      </c>
      <c r="C55" s="17">
        <v>2359</v>
      </c>
    </row>
    <row r="56" spans="1:3" x14ac:dyDescent="0.35">
      <c r="A56" s="8" t="s">
        <v>131</v>
      </c>
      <c r="B56" s="17">
        <v>2411</v>
      </c>
      <c r="C56" s="17">
        <v>2425</v>
      </c>
    </row>
    <row r="57" spans="1:3" x14ac:dyDescent="0.35">
      <c r="A57" s="8" t="s">
        <v>132</v>
      </c>
      <c r="B57" s="17">
        <v>2270</v>
      </c>
      <c r="C57" s="17">
        <v>2324</v>
      </c>
    </row>
    <row r="58" spans="1:3" x14ac:dyDescent="0.35">
      <c r="A58" s="8" t="s">
        <v>133</v>
      </c>
      <c r="B58" s="17">
        <v>2093</v>
      </c>
      <c r="C58" s="17">
        <v>2301</v>
      </c>
    </row>
    <row r="59" spans="1:3" x14ac:dyDescent="0.35">
      <c r="A59" s="8" t="s">
        <v>134</v>
      </c>
      <c r="B59" s="17">
        <v>1998</v>
      </c>
      <c r="C59" s="17">
        <v>2171</v>
      </c>
    </row>
    <row r="60" spans="1:3" x14ac:dyDescent="0.35">
      <c r="A60" s="8" t="s">
        <v>135</v>
      </c>
      <c r="B60" s="17">
        <v>1910</v>
      </c>
      <c r="C60" s="17">
        <v>2148</v>
      </c>
    </row>
    <row r="61" spans="1:3" x14ac:dyDescent="0.35">
      <c r="A61" s="8" t="s">
        <v>136</v>
      </c>
      <c r="B61" s="17">
        <v>1840</v>
      </c>
      <c r="C61" s="17">
        <v>2199</v>
      </c>
    </row>
    <row r="62" spans="1:3" x14ac:dyDescent="0.35">
      <c r="A62" s="8" t="s">
        <v>137</v>
      </c>
      <c r="B62" s="17">
        <v>1707</v>
      </c>
      <c r="C62" s="17">
        <v>2178</v>
      </c>
    </row>
    <row r="63" spans="1:3" x14ac:dyDescent="0.35">
      <c r="A63" s="8" t="s">
        <v>138</v>
      </c>
      <c r="B63" s="17">
        <v>1625</v>
      </c>
      <c r="C63" s="17">
        <v>2432</v>
      </c>
    </row>
    <row r="64" spans="1:3" x14ac:dyDescent="0.35">
      <c r="A64" s="8" t="s">
        <v>139</v>
      </c>
      <c r="B64" s="17">
        <v>1552</v>
      </c>
      <c r="C64" s="17">
        <v>2369</v>
      </c>
    </row>
    <row r="65" spans="1:3" x14ac:dyDescent="0.35">
      <c r="A65" s="8" t="s">
        <v>140</v>
      </c>
      <c r="B65" s="17">
        <v>1479</v>
      </c>
      <c r="C65" s="17">
        <v>2288</v>
      </c>
    </row>
    <row r="66" spans="1:3" x14ac:dyDescent="0.35">
      <c r="A66" s="8" t="s">
        <v>141</v>
      </c>
      <c r="B66" s="17">
        <v>1388</v>
      </c>
      <c r="C66" s="17">
        <v>2205</v>
      </c>
    </row>
    <row r="67" spans="1:3" x14ac:dyDescent="0.35">
      <c r="A67" s="8" t="s">
        <v>142</v>
      </c>
      <c r="B67" s="17">
        <v>1308</v>
      </c>
      <c r="C67" s="17">
        <v>1917</v>
      </c>
    </row>
    <row r="68" spans="1:3" x14ac:dyDescent="0.35">
      <c r="A68" s="8" t="s">
        <v>143</v>
      </c>
      <c r="B68" s="17">
        <v>1285</v>
      </c>
      <c r="C68" s="17">
        <v>1721</v>
      </c>
    </row>
    <row r="69" spans="1:3" x14ac:dyDescent="0.35">
      <c r="A69" s="8" t="s">
        <v>144</v>
      </c>
      <c r="B69" s="17">
        <v>1188</v>
      </c>
      <c r="C69" s="17">
        <v>1606</v>
      </c>
    </row>
    <row r="70" spans="1:3" x14ac:dyDescent="0.35">
      <c r="A70" s="8" t="s">
        <v>145</v>
      </c>
      <c r="B70" s="17">
        <v>1241</v>
      </c>
      <c r="C70" s="17">
        <v>1529</v>
      </c>
    </row>
    <row r="71" spans="1:3" x14ac:dyDescent="0.35">
      <c r="A71" s="8" t="s">
        <v>146</v>
      </c>
      <c r="B71" s="17">
        <v>1299</v>
      </c>
      <c r="C71" s="17">
        <v>1426</v>
      </c>
    </row>
    <row r="72" spans="1:3" x14ac:dyDescent="0.35">
      <c r="A72" s="8" t="s">
        <v>147</v>
      </c>
      <c r="B72" s="17">
        <v>1298</v>
      </c>
      <c r="C72" s="17">
        <v>1446</v>
      </c>
    </row>
    <row r="73" spans="1:3" x14ac:dyDescent="0.35">
      <c r="A73" s="8" t="s">
        <v>148</v>
      </c>
      <c r="B73" s="17">
        <v>1309</v>
      </c>
      <c r="C73" s="17">
        <v>1383</v>
      </c>
    </row>
    <row r="74" spans="1:3" x14ac:dyDescent="0.35">
      <c r="A74" s="8" t="s">
        <v>149</v>
      </c>
      <c r="B74" s="17">
        <v>1319</v>
      </c>
      <c r="C74" s="17">
        <v>1378</v>
      </c>
    </row>
    <row r="75" spans="1:3" x14ac:dyDescent="0.35">
      <c r="A75" s="8" t="s">
        <v>150</v>
      </c>
      <c r="B75" s="17">
        <v>1335</v>
      </c>
      <c r="C75" s="17">
        <v>1079</v>
      </c>
    </row>
    <row r="76" spans="1:3" x14ac:dyDescent="0.35">
      <c r="A76" s="8" t="s">
        <v>151</v>
      </c>
      <c r="B76" s="17">
        <v>1231</v>
      </c>
      <c r="C76" s="17">
        <v>1018</v>
      </c>
    </row>
    <row r="77" spans="1:3" x14ac:dyDescent="0.35">
      <c r="A77" s="8" t="s">
        <v>152</v>
      </c>
      <c r="B77" s="17">
        <v>1140</v>
      </c>
      <c r="C77" s="17">
        <v>933</v>
      </c>
    </row>
    <row r="78" spans="1:3" x14ac:dyDescent="0.35">
      <c r="A78" s="8" t="s">
        <v>153</v>
      </c>
      <c r="B78" s="17">
        <v>1115</v>
      </c>
      <c r="C78" s="17">
        <v>823</v>
      </c>
    </row>
    <row r="79" spans="1:3" x14ac:dyDescent="0.35">
      <c r="A79" s="8" t="s">
        <v>154</v>
      </c>
      <c r="B79" s="17">
        <v>1157</v>
      </c>
      <c r="C79" s="17">
        <v>772</v>
      </c>
    </row>
    <row r="80" spans="1:3" x14ac:dyDescent="0.35">
      <c r="A80" s="8" t="s">
        <v>155</v>
      </c>
      <c r="B80" s="17">
        <v>1192</v>
      </c>
      <c r="C80" s="17">
        <v>645</v>
      </c>
    </row>
    <row r="81" spans="1:3" x14ac:dyDescent="0.35">
      <c r="A81" s="8" t="s">
        <v>156</v>
      </c>
      <c r="B81" s="17">
        <v>1204</v>
      </c>
      <c r="C81" s="17">
        <v>626</v>
      </c>
    </row>
    <row r="82" spans="1:3" x14ac:dyDescent="0.35">
      <c r="A82" s="8" t="s">
        <v>157</v>
      </c>
      <c r="B82" s="17">
        <v>1260</v>
      </c>
      <c r="C82" s="17">
        <v>673</v>
      </c>
    </row>
    <row r="83" spans="1:3" x14ac:dyDescent="0.35">
      <c r="A83" s="8" t="s">
        <v>158</v>
      </c>
      <c r="B83" s="17">
        <v>1378</v>
      </c>
      <c r="C83" s="17">
        <v>657</v>
      </c>
    </row>
    <row r="84" spans="1:3" x14ac:dyDescent="0.35">
      <c r="A84" s="8" t="s">
        <v>159</v>
      </c>
      <c r="B84" s="17">
        <v>1466</v>
      </c>
      <c r="C84" s="17">
        <v>653</v>
      </c>
    </row>
    <row r="85" spans="1:3" x14ac:dyDescent="0.35">
      <c r="A85" s="8" t="s">
        <v>160</v>
      </c>
      <c r="B85" s="17">
        <v>1612</v>
      </c>
      <c r="C85" s="17">
        <v>678</v>
      </c>
    </row>
    <row r="86" spans="1:3" x14ac:dyDescent="0.35">
      <c r="A86" s="8" t="s">
        <v>161</v>
      </c>
      <c r="B86" s="17">
        <v>1701</v>
      </c>
      <c r="C86" s="17">
        <v>690</v>
      </c>
    </row>
    <row r="88" spans="1:3" x14ac:dyDescent="0.35">
      <c r="A88" s="14" t="s">
        <v>361</v>
      </c>
    </row>
  </sheetData>
  <pageMargins left="0.7" right="0.7" top="0.75" bottom="0.75" header="0.3" footer="0.3"/>
  <pageSetup orientation="portrait" r:id="rId1"/>
  <headerFooter>
    <oddFooter>&amp;L&amp;1#&amp;"Calibri"&amp;11&amp;K000000Classification: Public</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3"/>
  <sheetViews>
    <sheetView topLeftCell="A34" zoomScaleNormal="100" workbookViewId="0"/>
  </sheetViews>
  <sheetFormatPr defaultRowHeight="14.5" x14ac:dyDescent="0.35"/>
  <cols>
    <col min="1" max="4" width="18.7265625" customWidth="1"/>
  </cols>
  <sheetData>
    <row r="1" spans="1:4" ht="15.5" x14ac:dyDescent="0.35">
      <c r="A1" s="22" t="s">
        <v>245</v>
      </c>
    </row>
    <row r="3" spans="1:4" ht="39" x14ac:dyDescent="0.35">
      <c r="A3" s="4" t="s">
        <v>35</v>
      </c>
      <c r="B3" s="18" t="s">
        <v>247</v>
      </c>
      <c r="C3" s="18" t="s">
        <v>248</v>
      </c>
      <c r="D3" s="18" t="s">
        <v>249</v>
      </c>
    </row>
    <row r="4" spans="1:4" x14ac:dyDescent="0.35">
      <c r="A4" s="8" t="s">
        <v>114</v>
      </c>
      <c r="B4" s="20">
        <v>99.905190803507949</v>
      </c>
      <c r="C4" s="20">
        <v>100.29807165886004</v>
      </c>
      <c r="D4" s="20">
        <v>1.1519078473722022</v>
      </c>
    </row>
    <row r="5" spans="1:4" x14ac:dyDescent="0.35">
      <c r="A5" s="8" t="s">
        <v>115</v>
      </c>
      <c r="B5" s="20">
        <v>100.97179426404361</v>
      </c>
      <c r="C5" s="20">
        <v>101.1010402092585</v>
      </c>
      <c r="D5" s="20">
        <v>1.6463851109520533</v>
      </c>
    </row>
    <row r="6" spans="1:4" x14ac:dyDescent="0.35">
      <c r="A6" s="8" t="s">
        <v>116</v>
      </c>
      <c r="B6" s="20">
        <v>101.7539701351031</v>
      </c>
      <c r="C6" s="20">
        <v>101.39302877303975</v>
      </c>
      <c r="D6" s="20">
        <v>2.2873481057898326</v>
      </c>
    </row>
    <row r="7" spans="1:4" x14ac:dyDescent="0.35">
      <c r="A7" s="8" t="s">
        <v>117</v>
      </c>
      <c r="B7" s="20">
        <v>102.18061151931737</v>
      </c>
      <c r="C7" s="20">
        <v>101.61202019587567</v>
      </c>
      <c r="D7" s="20">
        <v>2.204836415362732</v>
      </c>
    </row>
    <row r="8" spans="1:4" x14ac:dyDescent="0.35">
      <c r="A8" s="8" t="s">
        <v>118</v>
      </c>
      <c r="B8" s="20">
        <v>102.39393221142453</v>
      </c>
      <c r="C8" s="20">
        <v>101.97700590060224</v>
      </c>
      <c r="D8" s="20">
        <v>2.3454157782516027</v>
      </c>
    </row>
    <row r="9" spans="1:4" x14ac:dyDescent="0.35">
      <c r="A9" s="8" t="s">
        <v>119</v>
      </c>
      <c r="B9" s="20">
        <v>101.46954254562692</v>
      </c>
      <c r="C9" s="20">
        <v>101.97700590060224</v>
      </c>
      <c r="D9" s="20">
        <v>1.4214641080312784</v>
      </c>
    </row>
    <row r="10" spans="1:4" x14ac:dyDescent="0.35">
      <c r="A10" s="8" t="s">
        <v>120</v>
      </c>
      <c r="B10" s="20">
        <v>102.10950462194832</v>
      </c>
      <c r="C10" s="20">
        <v>102.2689944643835</v>
      </c>
      <c r="D10" s="20">
        <v>1.2693935119887145</v>
      </c>
    </row>
    <row r="11" spans="1:4" x14ac:dyDescent="0.35">
      <c r="A11" s="8" t="s">
        <v>121</v>
      </c>
      <c r="B11" s="20">
        <v>101.96729082721025</v>
      </c>
      <c r="C11" s="20">
        <v>102.3419916053288</v>
      </c>
      <c r="D11" s="20">
        <v>1.2711864406779849</v>
      </c>
    </row>
    <row r="12" spans="1:4" x14ac:dyDescent="0.35">
      <c r="A12" s="8" t="s">
        <v>122</v>
      </c>
      <c r="B12" s="20">
        <v>101.61175634036503</v>
      </c>
      <c r="C12" s="20">
        <v>101.90400875965693</v>
      </c>
      <c r="D12" s="20">
        <v>1.2756909992913013</v>
      </c>
    </row>
    <row r="13" spans="1:4" x14ac:dyDescent="0.35">
      <c r="A13" s="8" t="s">
        <v>123</v>
      </c>
      <c r="B13" s="20">
        <v>102.10950462194832</v>
      </c>
      <c r="C13" s="20">
        <v>102.48798588721944</v>
      </c>
      <c r="D13" s="20">
        <v>1.5558698727015541</v>
      </c>
    </row>
    <row r="14" spans="1:4" x14ac:dyDescent="0.35">
      <c r="A14" s="8" t="s">
        <v>124</v>
      </c>
      <c r="B14" s="20">
        <v>102.10950462194832</v>
      </c>
      <c r="C14" s="20">
        <v>102.3419916053288</v>
      </c>
      <c r="D14" s="20">
        <v>2.0611229566453559</v>
      </c>
    </row>
    <row r="15" spans="1:4" x14ac:dyDescent="0.35">
      <c r="A15" s="8" t="s">
        <v>125</v>
      </c>
      <c r="B15" s="20">
        <v>102.18061151931737</v>
      </c>
      <c r="C15" s="20">
        <v>102.05000304154757</v>
      </c>
      <c r="D15" s="20">
        <v>2.2775800711743788</v>
      </c>
    </row>
    <row r="16" spans="1:4" x14ac:dyDescent="0.35">
      <c r="A16" s="8" t="s">
        <v>126</v>
      </c>
      <c r="B16" s="20">
        <v>102.89168049300781</v>
      </c>
      <c r="C16" s="20">
        <v>102.48798588721944</v>
      </c>
      <c r="D16" s="20">
        <v>2.9893238434163694</v>
      </c>
    </row>
    <row r="17" spans="1:4" x14ac:dyDescent="0.35">
      <c r="A17" s="8" t="s">
        <v>127</v>
      </c>
      <c r="B17" s="20">
        <v>103.46053567196019</v>
      </c>
      <c r="C17" s="20">
        <v>103.43694871950851</v>
      </c>
      <c r="D17" s="20">
        <v>2.464788732394374</v>
      </c>
    </row>
    <row r="18" spans="1:4" x14ac:dyDescent="0.35">
      <c r="A18" s="8" t="s">
        <v>128</v>
      </c>
      <c r="B18" s="20">
        <v>102.46503910879356</v>
      </c>
      <c r="C18" s="20">
        <v>103.29095443761787</v>
      </c>
      <c r="D18" s="20">
        <v>0.69881201956674133</v>
      </c>
    </row>
    <row r="19" spans="1:4" x14ac:dyDescent="0.35">
      <c r="A19" s="8" t="s">
        <v>129</v>
      </c>
      <c r="B19" s="20">
        <v>101.68286323773405</v>
      </c>
      <c r="C19" s="20">
        <v>102.92596873289131</v>
      </c>
      <c r="D19" s="20">
        <v>-0.48712595685455051</v>
      </c>
    </row>
    <row r="20" spans="1:4" x14ac:dyDescent="0.35">
      <c r="A20" s="8" t="s">
        <v>130</v>
      </c>
      <c r="B20" s="20">
        <v>102.46503910879356</v>
      </c>
      <c r="C20" s="20">
        <v>102.852971591946</v>
      </c>
      <c r="D20" s="20">
        <v>6.9444444444433095E-2</v>
      </c>
    </row>
    <row r="21" spans="1:4" x14ac:dyDescent="0.35">
      <c r="A21" s="8" t="s">
        <v>131</v>
      </c>
      <c r="B21" s="20">
        <v>103.10500118511496</v>
      </c>
      <c r="C21" s="20">
        <v>103.36395157856317</v>
      </c>
      <c r="D21" s="20">
        <v>1.6117729502452827</v>
      </c>
    </row>
    <row r="22" spans="1:4" x14ac:dyDescent="0.35">
      <c r="A22" s="8" t="s">
        <v>132</v>
      </c>
      <c r="B22" s="20">
        <v>103.03389428774592</v>
      </c>
      <c r="C22" s="20">
        <v>103.14496015572725</v>
      </c>
      <c r="D22" s="20">
        <v>0.90529247910864363</v>
      </c>
    </row>
    <row r="23" spans="1:4" x14ac:dyDescent="0.35">
      <c r="A23" s="8" t="s">
        <v>133</v>
      </c>
      <c r="B23" s="20">
        <v>102.53614600616258</v>
      </c>
      <c r="C23" s="20">
        <v>102.77997445100068</v>
      </c>
      <c r="D23" s="20">
        <v>0.55788005578798483</v>
      </c>
    </row>
    <row r="24" spans="1:4" x14ac:dyDescent="0.35">
      <c r="A24" s="8" t="s">
        <v>134</v>
      </c>
      <c r="B24" s="20">
        <v>103.10500118511496</v>
      </c>
      <c r="C24" s="20">
        <v>102.77997445100068</v>
      </c>
      <c r="D24" s="20">
        <v>1.469559132260323</v>
      </c>
    </row>
    <row r="25" spans="1:4" x14ac:dyDescent="0.35">
      <c r="A25" s="8" t="s">
        <v>135</v>
      </c>
      <c r="B25" s="20">
        <v>103.24721497985306</v>
      </c>
      <c r="C25" s="20">
        <v>103.43694871950851</v>
      </c>
      <c r="D25" s="20">
        <v>1.1142061281337101</v>
      </c>
    </row>
    <row r="26" spans="1:4" x14ac:dyDescent="0.35">
      <c r="A26" s="8" t="s">
        <v>136</v>
      </c>
      <c r="B26" s="20">
        <v>103.38942877459114</v>
      </c>
      <c r="C26" s="20">
        <v>103.36395157856317</v>
      </c>
      <c r="D26" s="20">
        <v>1.2534818941504211</v>
      </c>
    </row>
    <row r="27" spans="1:4" x14ac:dyDescent="0.35">
      <c r="A27" s="8" t="s">
        <v>137</v>
      </c>
      <c r="B27" s="20">
        <v>102.96278739037687</v>
      </c>
      <c r="C27" s="20">
        <v>102.852971591946</v>
      </c>
      <c r="D27" s="20">
        <v>0.76548364648574285</v>
      </c>
    </row>
    <row r="28" spans="1:4" x14ac:dyDescent="0.35">
      <c r="A28" s="8" t="s">
        <v>138</v>
      </c>
      <c r="B28" s="20">
        <v>103.67385636406732</v>
      </c>
      <c r="C28" s="20">
        <v>103.14496015572725</v>
      </c>
      <c r="D28" s="20">
        <v>0.76019350380098771</v>
      </c>
    </row>
    <row r="29" spans="1:4" x14ac:dyDescent="0.35">
      <c r="A29" s="8" t="s">
        <v>139</v>
      </c>
      <c r="B29" s="20">
        <v>104.10049774828158</v>
      </c>
      <c r="C29" s="20">
        <v>103.07196301478191</v>
      </c>
      <c r="D29" s="20">
        <v>0.61855670103092564</v>
      </c>
    </row>
    <row r="30" spans="1:4" x14ac:dyDescent="0.35">
      <c r="A30" s="8" t="s">
        <v>140</v>
      </c>
      <c r="B30" s="20">
        <v>104.45603223512683</v>
      </c>
      <c r="C30" s="20">
        <v>103.14496015572725</v>
      </c>
      <c r="D30" s="20">
        <v>1.9430950728660745</v>
      </c>
    </row>
    <row r="31" spans="1:4" x14ac:dyDescent="0.35">
      <c r="A31" s="8" t="s">
        <v>141</v>
      </c>
      <c r="B31" s="20">
        <v>105.02488741407916</v>
      </c>
      <c r="C31" s="20">
        <v>103.72893728328975</v>
      </c>
      <c r="D31" s="20">
        <v>3.2867132867132831</v>
      </c>
    </row>
    <row r="32" spans="1:4" x14ac:dyDescent="0.35">
      <c r="A32" s="8" t="s">
        <v>142</v>
      </c>
      <c r="B32" s="20">
        <v>105.66484949040058</v>
      </c>
      <c r="C32" s="20">
        <v>104.23991726990695</v>
      </c>
      <c r="D32" s="20">
        <v>3.1228313671061825</v>
      </c>
    </row>
    <row r="33" spans="1:4" x14ac:dyDescent="0.35">
      <c r="A33" s="8" t="s">
        <v>143</v>
      </c>
      <c r="B33" s="20">
        <v>105.87817018250772</v>
      </c>
      <c r="C33" s="20">
        <v>104.38591155179758</v>
      </c>
      <c r="D33" s="20">
        <v>2.6896551724137963</v>
      </c>
    </row>
    <row r="34" spans="1:4" x14ac:dyDescent="0.35">
      <c r="A34" s="8" t="s">
        <v>144</v>
      </c>
      <c r="B34" s="20">
        <v>106.87366674567433</v>
      </c>
      <c r="C34" s="20">
        <v>104.96988867936008</v>
      </c>
      <c r="D34" s="20">
        <v>3.7267080745341685</v>
      </c>
    </row>
    <row r="35" spans="1:4" x14ac:dyDescent="0.35">
      <c r="A35" s="8" t="s">
        <v>145</v>
      </c>
      <c r="B35" s="20">
        <v>107.37141502725764</v>
      </c>
      <c r="C35" s="20">
        <v>105.33487438408665</v>
      </c>
      <c r="D35" s="20">
        <v>4.7156726768377233</v>
      </c>
    </row>
    <row r="36" spans="1:4" x14ac:dyDescent="0.35">
      <c r="A36" s="8" t="s">
        <v>146</v>
      </c>
      <c r="B36" s="20">
        <v>107.22920123251957</v>
      </c>
      <c r="C36" s="20">
        <v>105.26187724314131</v>
      </c>
      <c r="D36" s="20">
        <v>4.0000000000000036</v>
      </c>
    </row>
    <row r="37" spans="1:4" x14ac:dyDescent="0.35">
      <c r="A37" s="8" t="s">
        <v>147</v>
      </c>
      <c r="B37" s="20">
        <v>107.72694951410287</v>
      </c>
      <c r="C37" s="20">
        <v>105.40787152503195</v>
      </c>
      <c r="D37" s="20">
        <v>4.3388429752066138</v>
      </c>
    </row>
    <row r="38" spans="1:4" x14ac:dyDescent="0.35">
      <c r="A38" s="8" t="s">
        <v>148</v>
      </c>
      <c r="B38" s="20">
        <v>107.7980564114719</v>
      </c>
      <c r="C38" s="20">
        <v>105.18888010219601</v>
      </c>
      <c r="D38" s="20">
        <v>4.2640990371389131</v>
      </c>
    </row>
    <row r="39" spans="1:4" x14ac:dyDescent="0.35">
      <c r="A39" s="8" t="s">
        <v>149</v>
      </c>
      <c r="B39" s="20">
        <v>107.86916330884095</v>
      </c>
      <c r="C39" s="20">
        <v>105.18888010219601</v>
      </c>
      <c r="D39" s="20">
        <v>4.7651933701657212</v>
      </c>
    </row>
    <row r="40" spans="1:4" x14ac:dyDescent="0.35">
      <c r="A40" s="8" t="s">
        <v>150</v>
      </c>
      <c r="B40" s="20">
        <v>108.65133917990046</v>
      </c>
      <c r="C40" s="20">
        <v>105.48086866597725</v>
      </c>
      <c r="D40" s="20">
        <v>4.8010973936899903</v>
      </c>
    </row>
    <row r="41" spans="1:4" x14ac:dyDescent="0.35">
      <c r="A41" s="8" t="s">
        <v>151</v>
      </c>
      <c r="B41" s="20">
        <v>109.86015643517422</v>
      </c>
      <c r="C41" s="20">
        <v>106.28383721637572</v>
      </c>
      <c r="D41" s="20">
        <v>5.5327868852458995</v>
      </c>
    </row>
    <row r="42" spans="1:4" x14ac:dyDescent="0.35">
      <c r="A42" s="8" t="s">
        <v>152</v>
      </c>
      <c r="B42" s="20">
        <v>111.28229438255512</v>
      </c>
      <c r="C42" s="20">
        <v>107.59778575339134</v>
      </c>
      <c r="D42" s="20">
        <v>6.535057862491489</v>
      </c>
    </row>
    <row r="43" spans="1:4" x14ac:dyDescent="0.35">
      <c r="A43" s="8" t="s">
        <v>153</v>
      </c>
      <c r="B43" s="20">
        <v>111.63782886940035</v>
      </c>
      <c r="C43" s="20">
        <v>108.18176288095384</v>
      </c>
      <c r="D43" s="20">
        <v>6.2965470548409064</v>
      </c>
    </row>
    <row r="44" spans="1:4" x14ac:dyDescent="0.35">
      <c r="A44" s="8" t="s">
        <v>154</v>
      </c>
      <c r="B44" s="20">
        <v>113.20218061151932</v>
      </c>
      <c r="C44" s="20">
        <v>109.34971713607887</v>
      </c>
      <c r="D44" s="20">
        <v>7.1332436069986516</v>
      </c>
    </row>
    <row r="45" spans="1:4" x14ac:dyDescent="0.35">
      <c r="A45" s="8" t="s">
        <v>155</v>
      </c>
      <c r="B45" s="20">
        <v>114.76653235363831</v>
      </c>
      <c r="C45" s="20">
        <v>109.86069712269604</v>
      </c>
      <c r="D45" s="20">
        <v>8.3948959032907879</v>
      </c>
    </row>
    <row r="46" spans="1:4" x14ac:dyDescent="0.35">
      <c r="A46" s="8" t="s">
        <v>156</v>
      </c>
      <c r="B46" s="20">
        <v>114.76653235363831</v>
      </c>
      <c r="C46" s="20">
        <v>110.44467425025857</v>
      </c>
      <c r="D46" s="20">
        <v>7.385229540918159</v>
      </c>
    </row>
    <row r="47" spans="1:4" x14ac:dyDescent="0.35">
      <c r="A47" s="8" t="s">
        <v>157</v>
      </c>
      <c r="B47" s="20">
        <v>113.77103579047167</v>
      </c>
      <c r="C47" s="20">
        <v>110.51767139120388</v>
      </c>
      <c r="D47" s="20">
        <v>5.9602649006622599</v>
      </c>
    </row>
    <row r="48" spans="1:4" x14ac:dyDescent="0.35">
      <c r="A48" s="8" t="s">
        <v>158</v>
      </c>
      <c r="B48" s="20">
        <v>113.84214268784072</v>
      </c>
      <c r="C48" s="20">
        <v>110.80965995498514</v>
      </c>
      <c r="D48" s="20">
        <v>6.167108753315631</v>
      </c>
    </row>
    <row r="49" spans="1:4" x14ac:dyDescent="0.35">
      <c r="A49" s="8" t="s">
        <v>159</v>
      </c>
      <c r="B49" s="20">
        <v>115.05095994311449</v>
      </c>
      <c r="C49" s="20">
        <v>111.17464565971169</v>
      </c>
      <c r="D49" s="20">
        <v>6.7986798679868121</v>
      </c>
    </row>
    <row r="50" spans="1:4" x14ac:dyDescent="0.35">
      <c r="A50" s="8" t="s">
        <v>160</v>
      </c>
      <c r="B50" s="20">
        <v>114.90874614837638</v>
      </c>
      <c r="C50" s="20">
        <v>111.32063994160231</v>
      </c>
      <c r="D50" s="20">
        <v>6.5963060686015762</v>
      </c>
    </row>
    <row r="51" spans="1:4" x14ac:dyDescent="0.35">
      <c r="A51" s="8" t="s">
        <v>161</v>
      </c>
      <c r="B51" s="20">
        <v>114.33989096942405</v>
      </c>
      <c r="C51" s="20">
        <v>111.17464565971169</v>
      </c>
      <c r="D51" s="20">
        <v>5.9986816084377281</v>
      </c>
    </row>
    <row r="53" spans="1:4" x14ac:dyDescent="0.35">
      <c r="A53" s="14" t="s">
        <v>246</v>
      </c>
    </row>
  </sheetData>
  <pageMargins left="0.7" right="0.7" top="0.75" bottom="0.75" header="0.3" footer="0.3"/>
  <pageSetup orientation="portrait" r:id="rId1"/>
  <headerFooter>
    <oddFooter>&amp;L&amp;1#&amp;"Calibri"&amp;11&amp;K000000Classification: Public</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zoomScaleNormal="100" workbookViewId="0">
      <selection activeCell="G29" sqref="G29"/>
    </sheetView>
  </sheetViews>
  <sheetFormatPr defaultRowHeight="14.5" x14ac:dyDescent="0.35"/>
  <cols>
    <col min="1" max="5" width="18.7265625" customWidth="1"/>
  </cols>
  <sheetData>
    <row r="1" spans="1:13" ht="15.5" x14ac:dyDescent="0.35">
      <c r="A1" s="22" t="s">
        <v>240</v>
      </c>
    </row>
    <row r="3" spans="1:13" ht="39" x14ac:dyDescent="0.35">
      <c r="A3" s="4" t="s">
        <v>0</v>
      </c>
      <c r="B3" s="18" t="s">
        <v>244</v>
      </c>
      <c r="C3" s="18" t="s">
        <v>243</v>
      </c>
      <c r="D3" s="18" t="s">
        <v>242</v>
      </c>
      <c r="E3" s="18" t="s">
        <v>241</v>
      </c>
    </row>
    <row r="4" spans="1:13" x14ac:dyDescent="0.35">
      <c r="A4" s="8">
        <v>2012</v>
      </c>
      <c r="B4" s="20">
        <v>4.2</v>
      </c>
      <c r="C4" s="20">
        <v>1.7</v>
      </c>
      <c r="D4" s="20">
        <v>0.6</v>
      </c>
      <c r="E4" s="20">
        <v>1.9</v>
      </c>
      <c r="G4" s="2"/>
      <c r="H4" s="2"/>
      <c r="I4" s="2"/>
      <c r="J4" s="2"/>
      <c r="K4" s="2"/>
      <c r="L4" s="2"/>
      <c r="M4" s="2"/>
    </row>
    <row r="5" spans="1:13" x14ac:dyDescent="0.35">
      <c r="A5" s="8">
        <v>2013</v>
      </c>
      <c r="B5" s="20">
        <v>4.9000000000000004</v>
      </c>
      <c r="C5" s="20">
        <v>1.5</v>
      </c>
      <c r="D5" s="20">
        <v>1</v>
      </c>
      <c r="E5" s="20">
        <v>2.5</v>
      </c>
      <c r="G5" s="2"/>
      <c r="H5" s="2"/>
      <c r="I5" s="2"/>
      <c r="J5" s="2"/>
      <c r="K5" s="2"/>
      <c r="L5" s="2"/>
      <c r="M5" s="2"/>
    </row>
    <row r="6" spans="1:13" x14ac:dyDescent="0.35">
      <c r="A6" s="8">
        <v>2014</v>
      </c>
      <c r="B6" s="20">
        <v>3.8</v>
      </c>
      <c r="C6" s="20">
        <v>1.1000000000000001</v>
      </c>
      <c r="D6" s="20">
        <v>0.9</v>
      </c>
      <c r="E6" s="20">
        <v>1.8</v>
      </c>
      <c r="G6" s="2"/>
      <c r="H6" s="2"/>
      <c r="I6" s="2"/>
      <c r="J6" s="2"/>
      <c r="K6" s="2"/>
      <c r="L6" s="2"/>
      <c r="M6" s="2"/>
    </row>
    <row r="7" spans="1:13" x14ac:dyDescent="0.35">
      <c r="A7" s="8">
        <v>2015</v>
      </c>
      <c r="B7" s="20">
        <v>0.5</v>
      </c>
      <c r="C7" s="20">
        <v>-0.9</v>
      </c>
      <c r="D7" s="20">
        <v>0.1</v>
      </c>
      <c r="E7" s="20">
        <v>1.4</v>
      </c>
      <c r="G7" s="2"/>
      <c r="H7" s="2"/>
      <c r="I7" s="2"/>
      <c r="J7" s="2"/>
      <c r="K7" s="2"/>
      <c r="L7" s="2"/>
      <c r="M7" s="2"/>
    </row>
    <row r="8" spans="1:13" x14ac:dyDescent="0.35">
      <c r="A8" s="8">
        <v>2016</v>
      </c>
      <c r="B8" s="20">
        <v>-0.4</v>
      </c>
      <c r="C8" s="20">
        <v>-0.7</v>
      </c>
      <c r="D8" s="20">
        <v>-0.1</v>
      </c>
      <c r="E8" s="20">
        <v>0.5</v>
      </c>
      <c r="G8" s="2"/>
      <c r="H8" s="2"/>
      <c r="I8" s="2"/>
      <c r="J8" s="2"/>
      <c r="K8" s="2"/>
      <c r="L8" s="2"/>
      <c r="M8" s="2"/>
    </row>
    <row r="9" spans="1:13" x14ac:dyDescent="0.35">
      <c r="A9" s="8">
        <v>2017</v>
      </c>
      <c r="B9" s="20">
        <v>2.9</v>
      </c>
      <c r="C9" s="20">
        <v>1.1000000000000001</v>
      </c>
      <c r="D9" s="20">
        <v>0.7</v>
      </c>
      <c r="E9" s="20">
        <v>1.1000000000000001</v>
      </c>
      <c r="G9" s="2"/>
      <c r="H9" s="2"/>
      <c r="I9" s="2"/>
      <c r="J9" s="2"/>
      <c r="K9" s="2"/>
      <c r="L9" s="2"/>
      <c r="M9" s="2"/>
    </row>
    <row r="10" spans="1:13" x14ac:dyDescent="0.35">
      <c r="A10" s="8">
        <v>2018</v>
      </c>
      <c r="B10" s="20">
        <v>1.8</v>
      </c>
      <c r="C10" s="20">
        <v>0.1</v>
      </c>
      <c r="D10" s="20">
        <v>0.4</v>
      </c>
      <c r="E10" s="20">
        <v>1.3</v>
      </c>
      <c r="G10" s="2"/>
      <c r="H10" s="2"/>
      <c r="I10" s="2"/>
      <c r="J10" s="2"/>
      <c r="K10" s="2"/>
      <c r="L10" s="2"/>
      <c r="M10" s="2"/>
    </row>
    <row r="11" spans="1:13" x14ac:dyDescent="0.35">
      <c r="A11" s="8">
        <v>2019</v>
      </c>
      <c r="B11" s="20">
        <v>0.4</v>
      </c>
      <c r="C11" s="20">
        <v>-0.3</v>
      </c>
      <c r="D11" s="20">
        <v>0</v>
      </c>
      <c r="E11" s="20">
        <v>0.6</v>
      </c>
      <c r="G11" s="2"/>
      <c r="H11" s="2"/>
      <c r="I11" s="2"/>
      <c r="J11" s="2"/>
      <c r="K11" s="2"/>
      <c r="L11" s="2"/>
      <c r="M11" s="2"/>
    </row>
    <row r="12" spans="1:13" x14ac:dyDescent="0.35">
      <c r="A12" s="8">
        <v>2020</v>
      </c>
      <c r="B12" s="20">
        <v>-6.4</v>
      </c>
      <c r="C12" s="20">
        <v>-1.6</v>
      </c>
      <c r="D12" s="20">
        <v>0.5</v>
      </c>
      <c r="E12" s="20">
        <v>-5.3</v>
      </c>
      <c r="G12" s="2"/>
      <c r="H12" s="2"/>
      <c r="I12" s="2"/>
      <c r="J12" s="2"/>
      <c r="K12" s="2"/>
      <c r="L12" s="2"/>
      <c r="M12" s="2"/>
    </row>
    <row r="13" spans="1:13" x14ac:dyDescent="0.35">
      <c r="A13" s="8">
        <v>2021</v>
      </c>
      <c r="B13" s="20">
        <v>4.5</v>
      </c>
      <c r="C13" s="20">
        <v>2.1</v>
      </c>
      <c r="D13" s="20">
        <v>-0.2</v>
      </c>
      <c r="E13" s="20">
        <v>2.7</v>
      </c>
      <c r="G13" s="2"/>
      <c r="H13" s="2"/>
      <c r="I13" s="2"/>
      <c r="J13" s="2"/>
      <c r="K13" s="2"/>
      <c r="L13" s="2"/>
      <c r="M13" s="2"/>
    </row>
    <row r="14" spans="1:13" x14ac:dyDescent="0.35">
      <c r="A14" s="8" t="s">
        <v>1</v>
      </c>
      <c r="B14" s="20">
        <v>4.2</v>
      </c>
      <c r="C14" s="20">
        <v>0.1</v>
      </c>
      <c r="D14" s="20">
        <v>0</v>
      </c>
      <c r="E14" s="20">
        <v>4.0999999999999996</v>
      </c>
      <c r="G14" s="2"/>
      <c r="H14" s="2"/>
      <c r="I14" s="2"/>
      <c r="J14" s="2"/>
      <c r="K14" s="2"/>
      <c r="L14" s="2"/>
      <c r="M14" s="2"/>
    </row>
    <row r="15" spans="1:13" x14ac:dyDescent="0.35">
      <c r="A15" s="8" t="s">
        <v>2</v>
      </c>
      <c r="B15" s="20">
        <v>2.1</v>
      </c>
      <c r="C15" s="20">
        <v>-0.1</v>
      </c>
      <c r="D15" s="20">
        <v>0.4</v>
      </c>
      <c r="E15" s="20">
        <v>1.8</v>
      </c>
      <c r="G15" s="2"/>
      <c r="H15" s="2"/>
      <c r="I15" s="2"/>
      <c r="J15" s="2"/>
      <c r="K15" s="2"/>
      <c r="L15" s="2"/>
      <c r="M15" s="2"/>
    </row>
    <row r="16" spans="1:13" x14ac:dyDescent="0.35">
      <c r="A16" s="8" t="s">
        <v>3</v>
      </c>
      <c r="B16" s="20">
        <v>3</v>
      </c>
      <c r="C16" s="20">
        <v>0.4</v>
      </c>
      <c r="D16" s="20">
        <v>0.5</v>
      </c>
      <c r="E16" s="20">
        <v>2</v>
      </c>
      <c r="G16" s="2"/>
      <c r="H16" s="2"/>
      <c r="I16" s="2"/>
      <c r="J16" s="2"/>
      <c r="K16" s="2"/>
      <c r="L16" s="2"/>
      <c r="M16" s="2"/>
    </row>
    <row r="17" spans="1:13" x14ac:dyDescent="0.35">
      <c r="A17" s="8" t="s">
        <v>4</v>
      </c>
      <c r="B17" s="20">
        <v>3.1</v>
      </c>
      <c r="C17" s="20">
        <v>0.5</v>
      </c>
      <c r="D17" s="20">
        <v>0.6</v>
      </c>
      <c r="E17" s="20">
        <v>2</v>
      </c>
      <c r="G17" s="2"/>
      <c r="H17" s="2"/>
      <c r="I17" s="2"/>
      <c r="J17" s="2"/>
      <c r="K17" s="2"/>
      <c r="L17" s="2"/>
      <c r="M17" s="2"/>
    </row>
    <row r="18" spans="1:13" x14ac:dyDescent="0.35">
      <c r="A18" s="8" t="s">
        <v>5</v>
      </c>
      <c r="B18" s="20">
        <v>3.1</v>
      </c>
      <c r="C18" s="20">
        <v>0.5</v>
      </c>
      <c r="D18" s="20">
        <v>0.6</v>
      </c>
      <c r="E18" s="20">
        <v>2</v>
      </c>
      <c r="G18" s="2"/>
      <c r="H18" s="2"/>
      <c r="I18" s="2"/>
      <c r="J18" s="2"/>
      <c r="K18" s="2"/>
      <c r="L18" s="2"/>
      <c r="M18" s="2"/>
    </row>
    <row r="20" spans="1:13" x14ac:dyDescent="0.35">
      <c r="A20" s="14" t="s">
        <v>234</v>
      </c>
    </row>
    <row r="21" spans="1:13" x14ac:dyDescent="0.35">
      <c r="A21" s="14" t="s">
        <v>237</v>
      </c>
    </row>
  </sheetData>
  <pageMargins left="0.7" right="0.7" top="0.75" bottom="0.75" header="0.3" footer="0.3"/>
  <pageSetup orientation="portrait" r:id="rId1"/>
  <headerFooter>
    <oddFooter>&amp;L&amp;1#&amp;"Calibri"&amp;11&amp;K000000Classification: 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Cover</vt:lpstr>
      <vt:lpstr>Key Assumptions</vt:lpstr>
      <vt:lpstr>Fiscal Sensitivities</vt:lpstr>
      <vt:lpstr>Scenarios</vt:lpstr>
      <vt:lpstr>C1. Nom GDP </vt:lpstr>
      <vt:lpstr>C2. Real GDP</vt:lpstr>
      <vt:lpstr>C3. Core Inflation</vt:lpstr>
      <vt:lpstr>C4. BoC Rate</vt:lpstr>
      <vt:lpstr>C5. IMF</vt:lpstr>
      <vt:lpstr>C6. SD bal</vt:lpstr>
      <vt:lpstr>C7. WTI-WCS</vt:lpstr>
      <vt:lpstr>C8. Oil Inv</vt:lpstr>
      <vt:lpstr>C9. Other Inv</vt:lpstr>
      <vt:lpstr>C10. Exports</vt:lpstr>
      <vt:lpstr>C11. Income</vt:lpstr>
      <vt:lpstr>C12. Population</vt:lpstr>
      <vt:lpstr>C13. Job Vacancies</vt:lpstr>
      <vt:lpstr>C14. Labour Market</vt:lpstr>
      <vt:lpstr>C15. Housing</vt:lpstr>
      <vt:lpstr>C16. Inflation</vt:lpstr>
      <vt:lpstr>C17. Cons Spending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2023-26 Fiscal Plan – Economic Outlook – Data File (Alberta Budget 2023)</dc:title>
  <dc:subject>2023-26 Fiscal Plan – Economic Outlook – Data File (Alberta Budget 2023)</dc:subject>
  <dc:creator>Government of Alberta</dc:creator>
  <cp:keywords>Security Classification: Public</cp:keywords>
  <cp:lastPrinted>2023-02-28T17:55:07Z</cp:lastPrinted>
  <dcterms:created xsi:type="dcterms:W3CDTF">2023-02-23T17:17:20Z</dcterms:created>
  <dcterms:modified xsi:type="dcterms:W3CDTF">2023-02-28T19:06:18Z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0c3ebf9-3c2f-4745-a75f-55836bdb736f_Enabled">
    <vt:lpwstr>true</vt:lpwstr>
  </property>
  <property fmtid="{D5CDD505-2E9C-101B-9397-08002B2CF9AE}" pid="3" name="MSIP_Label_60c3ebf9-3c2f-4745-a75f-55836bdb736f_SetDate">
    <vt:lpwstr>2023-02-28T19:06:18Z</vt:lpwstr>
  </property>
  <property fmtid="{D5CDD505-2E9C-101B-9397-08002B2CF9AE}" pid="4" name="MSIP_Label_60c3ebf9-3c2f-4745-a75f-55836bdb736f_Method">
    <vt:lpwstr>Privileged</vt:lpwstr>
  </property>
  <property fmtid="{D5CDD505-2E9C-101B-9397-08002B2CF9AE}" pid="5" name="MSIP_Label_60c3ebf9-3c2f-4745-a75f-55836bdb736f_Name">
    <vt:lpwstr>Public</vt:lpwstr>
  </property>
  <property fmtid="{D5CDD505-2E9C-101B-9397-08002B2CF9AE}" pid="6" name="MSIP_Label_60c3ebf9-3c2f-4745-a75f-55836bdb736f_SiteId">
    <vt:lpwstr>2bb51c06-af9b-42c5-8bf5-3c3b7b10850b</vt:lpwstr>
  </property>
  <property fmtid="{D5CDD505-2E9C-101B-9397-08002B2CF9AE}" pid="7" name="MSIP_Label_60c3ebf9-3c2f-4745-a75f-55836bdb736f_ActionId">
    <vt:lpwstr>eca260b5-8d1a-40ce-a7d5-335afe113386</vt:lpwstr>
  </property>
  <property fmtid="{D5CDD505-2E9C-101B-9397-08002B2CF9AE}" pid="8" name="MSIP_Label_60c3ebf9-3c2f-4745-a75f-55836bdb736f_ContentBits">
    <vt:lpwstr>2</vt:lpwstr>
  </property>
</Properties>
</file>