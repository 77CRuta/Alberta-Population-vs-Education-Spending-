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CPE\Outreach (612316)\01 Projects\Budget\Embargo\Budget-2025\Public\Final web versions\Budget Excel files\"/>
    </mc:Choice>
  </mc:AlternateContent>
  <xr:revisionPtr revIDLastSave="0" documentId="8_{F868FEB0-7317-4902-982F-FED5F5E3D490}" xr6:coauthVersionLast="47" xr6:coauthVersionMax="47" xr10:uidLastSave="{00000000-0000-0000-0000-000000000000}"/>
  <bookViews>
    <workbookView xWindow="26205" yWindow="780" windowWidth="23895" windowHeight="13950" tabRatio="921" firstSheet="1" activeTab="1" xr2:uid="{00000000-000D-0000-FFFF-FFFF00000000}"/>
  </bookViews>
  <sheets>
    <sheet name="Updates" sheetId="33" state="hidden" r:id="rId1"/>
    <sheet name="Cover" sheetId="34" r:id="rId2"/>
    <sheet name="Summary p1 st ops" sheetId="1" r:id="rId3"/>
    <sheet name="Summary p1 st finp" sheetId="2" r:id="rId4"/>
    <sheet name="Sch 1 Cons Fisc Summ" sheetId="3" r:id="rId5"/>
    <sheet name="Sch 2 Balance Sheet" sheetId="4" r:id="rId6"/>
    <sheet name="Sch 3 St of Ops" sheetId="6" r:id="rId7"/>
    <sheet name="Sch 4 Revenue" sheetId="7" r:id="rId8"/>
    <sheet name="Sch 5 Oper Exp" sheetId="9" r:id="rId9"/>
    <sheet name="Sch 6 Cap Amort" sheetId="11" r:id="rId10"/>
    <sheet name="Sch 7 Inv Consump" sheetId="12" r:id="rId11"/>
    <sheet name="Sch 8 Inv Acquis" sheetId="13" r:id="rId12"/>
    <sheet name="Sch 9 Debt Serv Costs" sheetId="8" r:id="rId13"/>
    <sheet name="Sch 10 Disaster-emerg" sheetId="10" r:id="rId14"/>
    <sheet name="Sch 11 Pension Liab" sheetId="21" r:id="rId15"/>
    <sheet name="Sch 12 Cash Adj" sheetId="22" r:id="rId16"/>
    <sheet name="Sch 13 Capital Plan" sheetId="14" r:id="rId17"/>
    <sheet name="Sch 14 Capital Grants" sheetId="15" r:id="rId18"/>
    <sheet name="Sch 15 Capital Invest" sheetId="16" r:id="rId19"/>
    <sheet name="Sch 16 Capital assets" sheetId="32" r:id="rId20"/>
    <sheet name="Sch 17 Capital Funding Source" sheetId="17" r:id="rId21"/>
    <sheet name="Sch 18 Annual Debt Maturities" sheetId="18" r:id="rId22"/>
    <sheet name="Sch 19 Borrowing Reqt" sheetId="19" r:id="rId23"/>
    <sheet name="Sch 20 Borrowing Sources" sheetId="20" r:id="rId24"/>
    <sheet name="Alloc Gaming Rev" sheetId="24" state="hidden" r:id="rId25"/>
    <sheet name="Sch 21 Changes to Fees" sheetId="27" r:id="rId26"/>
    <sheet name="Sch 22 FTEs" sheetId="23" r:id="rId27"/>
    <sheet name="Sch 23 Exp by Object" sheetId="26" r:id="rId28"/>
    <sheet name="Sch 24 Exp by Function" sheetId="25" r:id="rId29"/>
    <sheet name="Sch 25 Historical" sheetId="30" r:id="rId30"/>
    <sheet name="END" sheetId="28" r:id="rId31"/>
    <sheet name="Alberta Fund" sheetId="31" state="hidden" r:id="rId32"/>
  </sheets>
  <definedNames>
    <definedName name="___she1" localSheetId="31">#REF!</definedName>
    <definedName name="___she1" localSheetId="0">#REF!</definedName>
    <definedName name="___she1">#REF!</definedName>
    <definedName name="_housingandurbanaffairs" localSheetId="4">#REF!</definedName>
    <definedName name="_housingandurbanaffairs" localSheetId="20">#REF!</definedName>
    <definedName name="_housingandurbanaffairs" localSheetId="23">#REF!</definedName>
    <definedName name="_housingandurbanaffairs" localSheetId="3">#REF!</definedName>
    <definedName name="_housingandurbanaffairs" localSheetId="2">#REF!</definedName>
    <definedName name="_housingandurbanaffairs">#REF!</definedName>
    <definedName name="_new2" localSheetId="4">#REF!</definedName>
    <definedName name="_new2" localSheetId="20">#REF!</definedName>
    <definedName name="_new2" localSheetId="23">#REF!</definedName>
    <definedName name="_new2" localSheetId="3">#REF!</definedName>
    <definedName name="_new2" localSheetId="2">#REF!</definedName>
    <definedName name="_new2">#REF!</definedName>
    <definedName name="_Order1" hidden="1">255</definedName>
    <definedName name="_Order2" hidden="1">255</definedName>
    <definedName name="_she1" localSheetId="4">#REF!</definedName>
    <definedName name="_she1" localSheetId="20">#REF!</definedName>
    <definedName name="_she1" localSheetId="23">#REF!</definedName>
    <definedName name="_she1" localSheetId="3">#REF!</definedName>
    <definedName name="_she1" localSheetId="2">#REF!</definedName>
    <definedName name="_she1">#REF!</definedName>
    <definedName name="AFLASAF_REV" localSheetId="4">#REF!</definedName>
    <definedName name="AFLASAF_REV" localSheetId="20">#REF!</definedName>
    <definedName name="AFLASAF_REV" localSheetId="23">#REF!</definedName>
    <definedName name="AFLASAF_REV" localSheetId="3">#REF!</definedName>
    <definedName name="AFLASAF_REV" localSheetId="2">#REF!</definedName>
    <definedName name="AFLASAF_REV">#REF!</definedName>
    <definedName name="AFSC_REV" localSheetId="4">#REF!</definedName>
    <definedName name="AFSC_REV" localSheetId="20">#REF!</definedName>
    <definedName name="AFSC_REV" localSheetId="23">#REF!</definedName>
    <definedName name="AFSC_REV" localSheetId="3">#REF!</definedName>
    <definedName name="AFSC_REV" localSheetId="2">#REF!</definedName>
    <definedName name="AFSC_REV">#REF!</definedName>
    <definedName name="Amend" localSheetId="4">#REF!</definedName>
    <definedName name="Amend" localSheetId="20">#REF!</definedName>
    <definedName name="Amend" localSheetId="23">#REF!</definedName>
    <definedName name="Amend" localSheetId="2">#REF!</definedName>
    <definedName name="Amend">#REF!</definedName>
    <definedName name="AOC_REV" localSheetId="4">#REF!</definedName>
    <definedName name="AOC_REV" localSheetId="20">#REF!</definedName>
    <definedName name="AOC_REV" localSheetId="23">#REF!</definedName>
    <definedName name="AOC_REV" localSheetId="2">#REF!</definedName>
    <definedName name="AOC_REV">#REF!</definedName>
    <definedName name="ASD" localSheetId="4">#REF!</definedName>
    <definedName name="ASD" localSheetId="20">#REF!</definedName>
    <definedName name="ASD" localSheetId="23">#REF!</definedName>
    <definedName name="ASD" localSheetId="2">#REF!</definedName>
    <definedName name="ASD">#REF!</definedName>
    <definedName name="ASFF_REV" localSheetId="4">#REF!</definedName>
    <definedName name="ASFF_REV" localSheetId="20">#REF!</definedName>
    <definedName name="ASFF_REV" localSheetId="23">#REF!</definedName>
    <definedName name="ASFF_REV" localSheetId="2">#REF!</definedName>
    <definedName name="ASFF_REV">#REF!</definedName>
    <definedName name="Authority_Name" localSheetId="29">#REF!</definedName>
    <definedName name="Authority_Name">#REF!</definedName>
    <definedName name="backend1">#REF!</definedName>
    <definedName name="BLPH90" localSheetId="4" hidden="1">#REF!</definedName>
    <definedName name="BLPH90" localSheetId="14" hidden="1">#REF!</definedName>
    <definedName name="BLPH90" hidden="1">#REF!</definedName>
    <definedName name="BLPH91" localSheetId="4" hidden="1">#REF!</definedName>
    <definedName name="BLPH91" localSheetId="14" hidden="1">#REF!</definedName>
    <definedName name="BLPH91" hidden="1">#REF!</definedName>
    <definedName name="BLPH92" localSheetId="4" hidden="1">#REF!</definedName>
    <definedName name="BLPH92" localSheetId="14" hidden="1">#REF!</definedName>
    <definedName name="BLPH92" hidden="1">#REF!</definedName>
    <definedName name="BLPH93" localSheetId="4" hidden="1">#REF!</definedName>
    <definedName name="BLPH93" localSheetId="14" hidden="1">#REF!</definedName>
    <definedName name="BLPH93" hidden="1">#REF!</definedName>
    <definedName name="capcode" localSheetId="4">#REF!</definedName>
    <definedName name="capcode" localSheetId="20">#REF!</definedName>
    <definedName name="capcode" localSheetId="23">#REF!</definedName>
    <definedName name="capcode" localSheetId="3">#REF!</definedName>
    <definedName name="capcode" localSheetId="2">#REF!</definedName>
    <definedName name="capcode">#REF!</definedName>
    <definedName name="Capital_Investment_in_Government_Owned_Capital" localSheetId="4">#REF!</definedName>
    <definedName name="Capital_Investment_in_Government_Owned_Capital" localSheetId="20">#REF!</definedName>
    <definedName name="Capital_Investment_in_Government_Owned_Capital" localSheetId="23">#REF!</definedName>
    <definedName name="Capital_Investment_in_Government_Owned_Capital" localSheetId="3">#REF!</definedName>
    <definedName name="Capital_Investment_in_Government_Owned_Capital" localSheetId="2">#REF!</definedName>
    <definedName name="Capital_Investment_in_Government_Owned_Capital">#REF!</definedName>
    <definedName name="catcode" localSheetId="4">#REF!</definedName>
    <definedName name="catcode" localSheetId="20">#REF!</definedName>
    <definedName name="catcode" localSheetId="23">#REF!</definedName>
    <definedName name="catcode" localSheetId="3">#REF!</definedName>
    <definedName name="catcode" localSheetId="2">#REF!</definedName>
    <definedName name="catcode">#REF!</definedName>
    <definedName name="Category" localSheetId="4">#REF!</definedName>
    <definedName name="Category" localSheetId="20">#REF!</definedName>
    <definedName name="Category" localSheetId="23">#REF!</definedName>
    <definedName name="Category" localSheetId="2">#REF!</definedName>
    <definedName name="Category">#REF!</definedName>
    <definedName name="category0">#REF!</definedName>
    <definedName name="category1">#REF!</definedName>
    <definedName name="category10" localSheetId="4">#REF!</definedName>
    <definedName name="category10" localSheetId="20">#REF!</definedName>
    <definedName name="category10" localSheetId="23">#REF!</definedName>
    <definedName name="category10" localSheetId="3">#REF!</definedName>
    <definedName name="category10" localSheetId="2">#REF!</definedName>
    <definedName name="category10">#REF!</definedName>
    <definedName name="category11" localSheetId="4">#REF!</definedName>
    <definedName name="category11" localSheetId="20">#REF!</definedName>
    <definedName name="category11" localSheetId="23">#REF!</definedName>
    <definedName name="category11" localSheetId="3">#REF!</definedName>
    <definedName name="category11" localSheetId="2">#REF!</definedName>
    <definedName name="category11">#REF!</definedName>
    <definedName name="category12" localSheetId="4">#REF!</definedName>
    <definedName name="category12" localSheetId="20">#REF!</definedName>
    <definedName name="category12" localSheetId="23">#REF!</definedName>
    <definedName name="category12" localSheetId="3">#REF!</definedName>
    <definedName name="category12" localSheetId="2">#REF!</definedName>
    <definedName name="category12">#REF!</definedName>
    <definedName name="category13" localSheetId="4">#REF!</definedName>
    <definedName name="category13" localSheetId="20">#REF!</definedName>
    <definedName name="category13" localSheetId="23">#REF!</definedName>
    <definedName name="category13" localSheetId="2">#REF!</definedName>
    <definedName name="category13">#REF!</definedName>
    <definedName name="category14" localSheetId="4">#REF!</definedName>
    <definedName name="category14" localSheetId="20">#REF!</definedName>
    <definedName name="category14" localSheetId="23">#REF!</definedName>
    <definedName name="category14" localSheetId="2">#REF!</definedName>
    <definedName name="category14">#REF!</definedName>
    <definedName name="category15" localSheetId="4">#REF!</definedName>
    <definedName name="category15" localSheetId="20">#REF!</definedName>
    <definedName name="category15" localSheetId="23">#REF!</definedName>
    <definedName name="category15" localSheetId="2">#REF!</definedName>
    <definedName name="category15">#REF!</definedName>
    <definedName name="category16" localSheetId="4">#REF!</definedName>
    <definedName name="category16" localSheetId="20">#REF!</definedName>
    <definedName name="category16" localSheetId="23">#REF!</definedName>
    <definedName name="category16" localSheetId="2">#REF!</definedName>
    <definedName name="category16">#REF!</definedName>
    <definedName name="category17" localSheetId="4">#REF!</definedName>
    <definedName name="category17" localSheetId="20">#REF!</definedName>
    <definedName name="category17" localSheetId="23">#REF!</definedName>
    <definedName name="category17" localSheetId="2">#REF!</definedName>
    <definedName name="category17">#REF!</definedName>
    <definedName name="category18" localSheetId="4">#REF!</definedName>
    <definedName name="category18" localSheetId="20">#REF!</definedName>
    <definedName name="category18" localSheetId="23">#REF!</definedName>
    <definedName name="category18" localSheetId="2">#REF!</definedName>
    <definedName name="category18">#REF!</definedName>
    <definedName name="category19" localSheetId="4">#REF!</definedName>
    <definedName name="category19" localSheetId="20">#REF!</definedName>
    <definedName name="category19" localSheetId="23">#REF!</definedName>
    <definedName name="category19" localSheetId="2">#REF!</definedName>
    <definedName name="category19">#REF!</definedName>
    <definedName name="category2">#REF!</definedName>
    <definedName name="category20" localSheetId="4">#REF!</definedName>
    <definedName name="category20" localSheetId="20">#REF!</definedName>
    <definedName name="category20" localSheetId="23">#REF!</definedName>
    <definedName name="category20" localSheetId="3">#REF!</definedName>
    <definedName name="category20" localSheetId="2">#REF!</definedName>
    <definedName name="category20">#REF!</definedName>
    <definedName name="category21" localSheetId="4">#REF!</definedName>
    <definedName name="category21" localSheetId="20">#REF!</definedName>
    <definedName name="category21" localSheetId="23">#REF!</definedName>
    <definedName name="category21" localSheetId="3">#REF!</definedName>
    <definedName name="category21" localSheetId="2">#REF!</definedName>
    <definedName name="category21">#REF!</definedName>
    <definedName name="category3">#REF!</definedName>
    <definedName name="category4">#REF!</definedName>
    <definedName name="category5" localSheetId="4">#REF!</definedName>
    <definedName name="category5" localSheetId="20">#REF!</definedName>
    <definedName name="category5" localSheetId="23">#REF!</definedName>
    <definedName name="category5" localSheetId="3">#REF!</definedName>
    <definedName name="category5" localSheetId="2">#REF!</definedName>
    <definedName name="category5">#REF!</definedName>
    <definedName name="category6" localSheetId="4">#REF!</definedName>
    <definedName name="category6" localSheetId="20">#REF!</definedName>
    <definedName name="category6" localSheetId="23">#REF!</definedName>
    <definedName name="category6" localSheetId="3">#REF!</definedName>
    <definedName name="category6" localSheetId="2">#REF!</definedName>
    <definedName name="category6">#REF!</definedName>
    <definedName name="category7" localSheetId="4">#REF!</definedName>
    <definedName name="category7" localSheetId="20">#REF!</definedName>
    <definedName name="category7" localSheetId="23">#REF!</definedName>
    <definedName name="category7" localSheetId="3">#REF!</definedName>
    <definedName name="category7" localSheetId="2">#REF!</definedName>
    <definedName name="category7">#REF!</definedName>
    <definedName name="category8" localSheetId="4">#REF!</definedName>
    <definedName name="category8" localSheetId="20">#REF!</definedName>
    <definedName name="category8" localSheetId="23">#REF!</definedName>
    <definedName name="category8" localSheetId="2">#REF!</definedName>
    <definedName name="category8">#REF!</definedName>
    <definedName name="category9" localSheetId="4">#REF!</definedName>
    <definedName name="category9" localSheetId="20">#REF!</definedName>
    <definedName name="category9" localSheetId="23">#REF!</definedName>
    <definedName name="category9" localSheetId="2">#REF!</definedName>
    <definedName name="category9">#REF!</definedName>
    <definedName name="ConstituencyName" localSheetId="4">#REF!</definedName>
    <definedName name="ConstituencyName" localSheetId="20">#REF!</definedName>
    <definedName name="ConstituencyName" localSheetId="23">#REF!</definedName>
    <definedName name="ConstituencyName" localSheetId="2">#REF!</definedName>
    <definedName name="ConstituencyName">#REF!</definedName>
    <definedName name="DAIRY_REV" localSheetId="4">#REF!</definedName>
    <definedName name="DAIRY_REV" localSheetId="20">#REF!</definedName>
    <definedName name="DAIRY_REV" localSheetId="23">#REF!</definedName>
    <definedName name="DAIRY_REV" localSheetId="3">#REF!</definedName>
    <definedName name="DAIRY_REV" localSheetId="2">#REF!</definedName>
    <definedName name="DAIRY_REV">#REF!</definedName>
    <definedName name="DATE">#REF!</definedName>
    <definedName name="DEPT_REV">#REF!</definedName>
    <definedName name="Deptname" localSheetId="4">#REF!</definedName>
    <definedName name="Deptname" localSheetId="20">#REF!</definedName>
    <definedName name="Deptname" localSheetId="23">#REF!</definedName>
    <definedName name="Deptname" localSheetId="3">#REF!</definedName>
    <definedName name="Deptname" localSheetId="2">#REF!</definedName>
    <definedName name="Deptname">#REF!</definedName>
    <definedName name="EnvelopeName" localSheetId="4">#REF!</definedName>
    <definedName name="EnvelopeName" localSheetId="20">#REF!</definedName>
    <definedName name="EnvelopeName" localSheetId="23">#REF!</definedName>
    <definedName name="EnvelopeName" localSheetId="3">#REF!</definedName>
    <definedName name="EnvelopeName" localSheetId="2">#REF!</definedName>
    <definedName name="EnvelopeName">#REF!</definedName>
    <definedName name="EPC_REV" localSheetId="4">#REF!</definedName>
    <definedName name="EPC_REV" localSheetId="20">#REF!</definedName>
    <definedName name="EPC_REV" localSheetId="23">#REF!</definedName>
    <definedName name="EPC_REV" localSheetId="3">#REF!</definedName>
    <definedName name="EPC_REV" localSheetId="2">#REF!</definedName>
    <definedName name="EPC_REV">#REF!</definedName>
    <definedName name="EXP_INTER" localSheetId="4">#REF!</definedName>
    <definedName name="EXP_INTER" localSheetId="20">#REF!</definedName>
    <definedName name="EXP_INTER" localSheetId="23">#REF!</definedName>
    <definedName name="EXP_INTER" localSheetId="2">#REF!</definedName>
    <definedName name="EXP_INTER">#REF!</definedName>
    <definedName name="expcode" localSheetId="4">#REF!</definedName>
    <definedName name="expcode" localSheetId="20">#REF!</definedName>
    <definedName name="expcode" localSheetId="23">#REF!</definedName>
    <definedName name="expcode" localSheetId="2">#REF!</definedName>
    <definedName name="expcode">#REF!</definedName>
    <definedName name="fdex_56a" localSheetId="4">#REF!</definedName>
    <definedName name="fdex_56a" localSheetId="20">#REF!</definedName>
    <definedName name="fdex_56a" localSheetId="23">#REF!</definedName>
    <definedName name="fdex_56a" localSheetId="2">#REF!</definedName>
    <definedName name="fdex_56a">#REF!</definedName>
    <definedName name="fdex_67b" localSheetId="4">#REF!</definedName>
    <definedName name="fdex_67b" localSheetId="20">#REF!</definedName>
    <definedName name="fdex_67b" localSheetId="23">#REF!</definedName>
    <definedName name="fdex_67b" localSheetId="2">#REF!</definedName>
    <definedName name="fdex_67b">#REF!</definedName>
    <definedName name="fdex_67f" localSheetId="4">#REF!</definedName>
    <definedName name="fdex_67f" localSheetId="20">#REF!</definedName>
    <definedName name="fdex_67f" localSheetId="23">#REF!</definedName>
    <definedName name="fdex_67f" localSheetId="2">#REF!</definedName>
    <definedName name="fdex_67f">#REF!</definedName>
    <definedName name="fdex_68f" localSheetId="4">#REF!</definedName>
    <definedName name="fdex_68f" localSheetId="20">#REF!</definedName>
    <definedName name="fdex_68f" localSheetId="23">#REF!</definedName>
    <definedName name="fdex_68f" localSheetId="2">#REF!</definedName>
    <definedName name="fdex_68f">#REF!</definedName>
    <definedName name="fdex_78" localSheetId="4">#REF!</definedName>
    <definedName name="fdex_78" localSheetId="20">#REF!</definedName>
    <definedName name="fdex_78" localSheetId="23">#REF!</definedName>
    <definedName name="fdex_78" localSheetId="2">#REF!</definedName>
    <definedName name="fdex_78">#REF!</definedName>
    <definedName name="FifthYCapital" localSheetId="4">#REF!</definedName>
    <definedName name="FifthYCapital" localSheetId="20">#REF!</definedName>
    <definedName name="FifthYCapital" localSheetId="23">#REF!</definedName>
    <definedName name="FifthYCapital" localSheetId="2">#REF!</definedName>
    <definedName name="FifthYCapital">#REF!</definedName>
    <definedName name="FifthYIncrease" localSheetId="4">#REF!</definedName>
    <definedName name="FifthYIncrease" localSheetId="20">#REF!</definedName>
    <definedName name="FifthYIncrease" localSheetId="23">#REF!</definedName>
    <definedName name="FifthYIncrease" localSheetId="2">#REF!</definedName>
    <definedName name="FifthYIncrease">#REF!</definedName>
    <definedName name="FifthYTotal" localSheetId="4">#REF!</definedName>
    <definedName name="FifthYTotal" localSheetId="20">#REF!</definedName>
    <definedName name="FifthYTotal" localSheetId="23">#REF!</definedName>
    <definedName name="FifthYTotal" localSheetId="2">#REF!</definedName>
    <definedName name="FifthYTotal">#REF!</definedName>
    <definedName name="Fin_Summary" localSheetId="4">#REF!</definedName>
    <definedName name="Fin_Summary" localSheetId="20">#REF!</definedName>
    <definedName name="Fin_Summary" localSheetId="23">#REF!</definedName>
    <definedName name="Fin_Summary" localSheetId="2">#REF!</definedName>
    <definedName name="Fin_Summary">#REF!</definedName>
    <definedName name="Financing_Summary" localSheetId="4">#REF!</definedName>
    <definedName name="Financing_Summary" localSheetId="20">#REF!</definedName>
    <definedName name="Financing_Summary" localSheetId="23">#REF!</definedName>
    <definedName name="Financing_Summary" localSheetId="2">#REF!</definedName>
    <definedName name="Financing_Summary">#REF!</definedName>
    <definedName name="FirstYCapital" localSheetId="4">#REF!</definedName>
    <definedName name="FirstYCapital" localSheetId="20">#REF!</definedName>
    <definedName name="FirstYCapital" localSheetId="23">#REF!</definedName>
    <definedName name="FirstYCapital" localSheetId="2">#REF!</definedName>
    <definedName name="FirstYCapital">#REF!</definedName>
    <definedName name="FirstYIncrease" localSheetId="4">#REF!</definedName>
    <definedName name="FirstYIncrease" localSheetId="20">#REF!</definedName>
    <definedName name="FirstYIncrease" localSheetId="23">#REF!</definedName>
    <definedName name="FirstYIncrease" localSheetId="2">#REF!</definedName>
    <definedName name="FirstYIncrease">#REF!</definedName>
    <definedName name="FirstYTotal" localSheetId="4">#REF!</definedName>
    <definedName name="FirstYTotal" localSheetId="20">#REF!</definedName>
    <definedName name="FirstYTotal" localSheetId="23">#REF!</definedName>
    <definedName name="FirstYTotal" localSheetId="2">#REF!</definedName>
    <definedName name="FirstYTotal">#REF!</definedName>
    <definedName name="FourthYCapital" localSheetId="4">#REF!</definedName>
    <definedName name="FourthYCapital" localSheetId="20">#REF!</definedName>
    <definedName name="FourthYCapital" localSheetId="23">#REF!</definedName>
    <definedName name="FourthYCapital" localSheetId="2">#REF!</definedName>
    <definedName name="FourthYCapital">#REF!</definedName>
    <definedName name="FourthYIncrease" localSheetId="4">#REF!</definedName>
    <definedName name="FourthYIncrease" localSheetId="20">#REF!</definedName>
    <definedName name="FourthYIncrease" localSheetId="23">#REF!</definedName>
    <definedName name="FourthYIncrease" localSheetId="2">#REF!</definedName>
    <definedName name="FourthYIncrease">#REF!</definedName>
    <definedName name="FourthYTotal" localSheetId="4">#REF!</definedName>
    <definedName name="FourthYTotal" localSheetId="20">#REF!</definedName>
    <definedName name="FourthYTotal" localSheetId="23">#REF!</definedName>
    <definedName name="FourthYTotal" localSheetId="2">#REF!</definedName>
    <definedName name="FourthYTotal">#REF!</definedName>
    <definedName name="Function">#REF!</definedName>
    <definedName name="GAMGLI" localSheetId="4">#REF!</definedName>
    <definedName name="GAMGLI" localSheetId="20">#REF!</definedName>
    <definedName name="GAMGLI" localSheetId="23">#REF!</definedName>
    <definedName name="GAMGLI" localSheetId="3">#REF!</definedName>
    <definedName name="GAMGLI" localSheetId="2">#REF!</definedName>
    <definedName name="GAMGLI">#REF!</definedName>
    <definedName name="Grants_for_Capital_Purposes_and_Other_Infrastructure_Support" localSheetId="4">#REF!</definedName>
    <definedName name="Grants_for_Capital_Purposes_and_Other_Infrastructure_Support" localSheetId="20">#REF!</definedName>
    <definedName name="Grants_for_Capital_Purposes_and_Other_Infrastructure_Support" localSheetId="23">#REF!</definedName>
    <definedName name="Grants_for_Capital_Purposes_and_Other_Infrastructure_Support" localSheetId="3">#REF!</definedName>
    <definedName name="Grants_for_Capital_Purposes_and_Other_Infrastructure_Support" localSheetId="2">#REF!</definedName>
    <definedName name="Grants_for_Capital_Purposes_and_Other_Infrastructure_Support">#REF!</definedName>
    <definedName name="housing" localSheetId="4">#REF!</definedName>
    <definedName name="housing" localSheetId="20">#REF!</definedName>
    <definedName name="housing" localSheetId="23">#REF!</definedName>
    <definedName name="housing" localSheetId="3">#REF!</definedName>
    <definedName name="housing" localSheetId="2">#REF!</definedName>
    <definedName name="housing">#REF!</definedName>
    <definedName name="IFN" localSheetId="4">#REF!</definedName>
    <definedName name="IFN" localSheetId="20">#REF!</definedName>
    <definedName name="IFN" localSheetId="23">#REF!</definedName>
    <definedName name="IFN" localSheetId="2">#REF!</definedName>
    <definedName name="IFN">#REF!</definedName>
    <definedName name="Incr3Y" localSheetId="4">#REF!</definedName>
    <definedName name="Incr3Y" localSheetId="20">#REF!</definedName>
    <definedName name="Incr3Y" localSheetId="23">#REF!</definedName>
    <definedName name="Incr3Y" localSheetId="2">#REF!</definedName>
    <definedName name="Incr3Y">#REF!</definedName>
    <definedName name="InvCat">#REF!</definedName>
    <definedName name="ITA_REV">#REF!</definedName>
    <definedName name="ITR_REV" localSheetId="4">#REF!</definedName>
    <definedName name="ITR_REV" localSheetId="20">#REF!</definedName>
    <definedName name="ITR_REV" localSheetId="23">#REF!</definedName>
    <definedName name="ITR_REV" localSheetId="3">#REF!</definedName>
    <definedName name="ITR_REV" localSheetId="2">#REF!</definedName>
    <definedName name="ITR_REV">#REF!</definedName>
    <definedName name="Location" localSheetId="4">#REF!</definedName>
    <definedName name="Location" localSheetId="20">#REF!</definedName>
    <definedName name="Location" localSheetId="23">#REF!</definedName>
    <definedName name="Location" localSheetId="3">#REF!</definedName>
    <definedName name="Location" localSheetId="2">#REF!</definedName>
    <definedName name="Location">#REF!</definedName>
    <definedName name="LYN" localSheetId="4">#REF!</definedName>
    <definedName name="LYN" localSheetId="20">#REF!</definedName>
    <definedName name="LYN" localSheetId="23">#REF!</definedName>
    <definedName name="LYN" localSheetId="3">#REF!</definedName>
    <definedName name="LYN" localSheetId="2">#REF!</definedName>
    <definedName name="LYN">#REF!</definedName>
    <definedName name="Ministry">#REF!</definedName>
    <definedName name="mm" localSheetId="4">#REF!</definedName>
    <definedName name="mm" localSheetId="20">#REF!</definedName>
    <definedName name="mm" localSheetId="23">#REF!</definedName>
    <definedName name="mm" localSheetId="3">#REF!</definedName>
    <definedName name="mm" localSheetId="2">#REF!</definedName>
    <definedName name="mm">#REF!</definedName>
    <definedName name="mmmm" localSheetId="4">#REF!</definedName>
    <definedName name="mmmm" localSheetId="20">#REF!</definedName>
    <definedName name="mmmm" localSheetId="23">#REF!</definedName>
    <definedName name="mmmm" localSheetId="3">#REF!</definedName>
    <definedName name="mmmm" localSheetId="2">#REF!</definedName>
    <definedName name="mmmm">#REF!</definedName>
    <definedName name="mmmmm" localSheetId="4">#REF!</definedName>
    <definedName name="mmmmm" localSheetId="20">#REF!</definedName>
    <definedName name="mmmmm" localSheetId="23">#REF!</definedName>
    <definedName name="mmmmm" localSheetId="3">#REF!</definedName>
    <definedName name="mmmmm" localSheetId="2">#REF!</definedName>
    <definedName name="mmmmm">#REF!</definedName>
    <definedName name="new" localSheetId="4">#REF!</definedName>
    <definedName name="new" localSheetId="20">#REF!</definedName>
    <definedName name="new" localSheetId="23">#REF!</definedName>
    <definedName name="new" localSheetId="2">#REF!</definedName>
    <definedName name="new">#REF!</definedName>
    <definedName name="NvsASD">"V2010-03-31"</definedName>
    <definedName name="NvsAutoDrillOk">"VN"</definedName>
    <definedName name="NvsElapsedTime">0.0000231481462833472</definedName>
    <definedName name="NvsEndTime">40282.4011458333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"V169"</definedName>
    <definedName name="NvsPanelEffdt">"V2009-10-13"</definedName>
    <definedName name="NvsPanelSetid">"V169"</definedName>
    <definedName name="NvsReqBU">"V169"</definedName>
    <definedName name="NvsReqBUOnly">"VY"</definedName>
    <definedName name="NvsTransLed">"VN"</definedName>
    <definedName name="NvsTreeASD">"V2010-03-31"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"DEPT_TBL"</definedName>
    <definedName name="NvsValTbl.FUND_CODE">"FUND_TBL"</definedName>
    <definedName name="NvsValTbl.PROGRAM_CODE">"PROGRAM_TBL"</definedName>
    <definedName name="NvsValTbl.PROJECT_ID">"PROJECT"</definedName>
    <definedName name="NvsValTbl.SCENARIO">"BD_SCENARIO_TBL"</definedName>
    <definedName name="o" hidden="1">#REF!</definedName>
    <definedName name="OPR" localSheetId="4">#REF!</definedName>
    <definedName name="OPR" localSheetId="20">#REF!</definedName>
    <definedName name="OPR" localSheetId="23">#REF!</definedName>
    <definedName name="OPR" localSheetId="3">#REF!</definedName>
    <definedName name="OPR" localSheetId="2">#REF!</definedName>
    <definedName name="OPR">#REF!</definedName>
    <definedName name="OtherFund" localSheetId="4">#REF!</definedName>
    <definedName name="OtherFund" localSheetId="20">#REF!</definedName>
    <definedName name="OtherFund" localSheetId="23">#REF!</definedName>
    <definedName name="OtherFund" localSheetId="3">#REF!</definedName>
    <definedName name="OtherFund" localSheetId="2">#REF!</definedName>
    <definedName name="OtherFund">#REF!</definedName>
    <definedName name="PivotTable" localSheetId="4">#REF!</definedName>
    <definedName name="PivotTable" localSheetId="20">#REF!</definedName>
    <definedName name="PivotTable" localSheetId="23">#REF!</definedName>
    <definedName name="PivotTable" localSheetId="3">#REF!</definedName>
    <definedName name="PivotTable" localSheetId="2">#REF!</definedName>
    <definedName name="PivotTable">#REF!</definedName>
    <definedName name="_xlnm.Print_Area" localSheetId="24">'Alloc Gaming Rev'!$A$1:$E$37</definedName>
    <definedName name="_xlnm.Print_Area" localSheetId="4">'Sch 1 Cons Fisc Summ'!$A$1:$H$59</definedName>
    <definedName name="_xlnm.Print_Area" localSheetId="13">'Sch 10 Disaster-emerg'!$A$1:$G$12</definedName>
    <definedName name="_xlnm.Print_Area" localSheetId="14">'Sch 11 Pension Liab'!$A$1:$F$15</definedName>
    <definedName name="_xlnm.Print_Area" localSheetId="15">'Sch 12 Cash Adj'!$A$1:$G$41</definedName>
    <definedName name="_xlnm.Print_Area" localSheetId="16">'Sch 13 Capital Plan'!$A$1:$G$30</definedName>
    <definedName name="_xlnm.Print_Area" localSheetId="17">'Sch 14 Capital Grants'!$A$1:$G$25</definedName>
    <definedName name="_xlnm.Print_Area" localSheetId="18">'Sch 15 Capital Invest'!$A$1:$G$30</definedName>
    <definedName name="_xlnm.Print_Area" localSheetId="19">'Sch 16 Capital assets'!$A$1:$F$16</definedName>
    <definedName name="_xlnm.Print_Area" localSheetId="20">'Sch 17 Capital Funding Source'!$A$1:$G$19</definedName>
    <definedName name="_xlnm.Print_Area" localSheetId="21">'Sch 18 Annual Debt Maturities'!$A$1:$F$7</definedName>
    <definedName name="_xlnm.Print_Area" localSheetId="22">'Sch 19 Borrowing Reqt'!$A$1:$G$10</definedName>
    <definedName name="_xlnm.Print_Area" localSheetId="5">'Sch 2 Balance Sheet'!$A$1:$F$50</definedName>
    <definedName name="_xlnm.Print_Area" localSheetId="23">'Sch 20 Borrowing Sources'!$A$1:$G$8</definedName>
    <definedName name="_xlnm.Print_Area" localSheetId="25">'Sch 21 Changes to Fees'!$A$1:$C$70</definedName>
    <definedName name="_xlnm.Print_Area" localSheetId="26">'Sch 22 FTEs'!$A$1:$D$62</definedName>
    <definedName name="_xlnm.Print_Area" localSheetId="27">'Sch 23 Exp by Object'!$A$1:$K$41</definedName>
    <definedName name="_xlnm.Print_Area" localSheetId="28">'Sch 24 Exp by Function'!$A$1:$N$41</definedName>
    <definedName name="_xlnm.Print_Area" localSheetId="29">'Sch 25 Historical'!$A$1:$Q$47</definedName>
    <definedName name="_xlnm.Print_Area" localSheetId="6">'Sch 3 St of Ops'!$A$1:$G$56</definedName>
    <definedName name="_xlnm.Print_Area" localSheetId="7">'Sch 4 Revenue'!$A$1:$G$67</definedName>
    <definedName name="_xlnm.Print_Area" localSheetId="8">'Sch 5 Oper Exp'!$A$1:$G$33</definedName>
    <definedName name="_xlnm.Print_Area" localSheetId="9">'Sch 6 Cap Amort'!$A$1:$G$27</definedName>
    <definedName name="_xlnm.Print_Area" localSheetId="10">'Sch 7 Inv Consump'!$A$1:$G$18</definedName>
    <definedName name="_xlnm.Print_Area" localSheetId="11">'Sch 8 Inv Acquis'!$A$1:$G$15</definedName>
    <definedName name="_xlnm.Print_Area" localSheetId="12">'Sch 9 Debt Serv Costs'!$A$1:$G$25</definedName>
    <definedName name="_xlnm.Print_Area" localSheetId="3">'Summary p1 st finp'!$A$1:$F$25</definedName>
    <definedName name="_xlnm.Print_Area" localSheetId="2">'Summary p1 st ops'!$A$1:$G$26</definedName>
    <definedName name="ProjectName" localSheetId="4">#REF!</definedName>
    <definedName name="ProjectName" localSheetId="20">#REF!</definedName>
    <definedName name="ProjectName" localSheetId="23">#REF!</definedName>
    <definedName name="ProjectName" localSheetId="3">#REF!</definedName>
    <definedName name="ProjectName" localSheetId="2">#REF!</definedName>
    <definedName name="ProjectName">#REF!</definedName>
    <definedName name="ProjectNum" localSheetId="4">#REF!</definedName>
    <definedName name="ProjectNum" localSheetId="20">#REF!</definedName>
    <definedName name="ProjectNum" localSheetId="23">#REF!</definedName>
    <definedName name="ProjectNum" localSheetId="3">#REF!</definedName>
    <definedName name="ProjectNum" localSheetId="2">#REF!</definedName>
    <definedName name="ProjectNum">#REF!</definedName>
    <definedName name="ProjectStatus" localSheetId="4">#REF!</definedName>
    <definedName name="ProjectStatus" localSheetId="20">#REF!</definedName>
    <definedName name="ProjectStatus" localSheetId="23">#REF!</definedName>
    <definedName name="ProjectStatus" localSheetId="3">#REF!</definedName>
    <definedName name="ProjectStatus" localSheetId="2">#REF!</definedName>
    <definedName name="ProjectStatus">#REF!</definedName>
    <definedName name="RBN" localSheetId="4">#REF!</definedName>
    <definedName name="RBN" localSheetId="20">#REF!</definedName>
    <definedName name="RBN" localSheetId="23">#REF!</definedName>
    <definedName name="RBN" localSheetId="2">#REF!</definedName>
    <definedName name="RBN">#REF!</definedName>
    <definedName name="Rec" localSheetId="4">#REF!</definedName>
    <definedName name="Rec" localSheetId="20">#REF!</definedName>
    <definedName name="Rec" localSheetId="23">#REF!</definedName>
    <definedName name="Rec" localSheetId="2">#REF!</definedName>
    <definedName name="Rec">#REF!</definedName>
    <definedName name="recon" localSheetId="4">#REF!</definedName>
    <definedName name="recon" localSheetId="20">#REF!</definedName>
    <definedName name="recon" localSheetId="23">#REF!</definedName>
    <definedName name="recon" localSheetId="2">#REF!</definedName>
    <definedName name="recon">#REF!</definedName>
    <definedName name="ReconE" localSheetId="4">#REF!</definedName>
    <definedName name="ReconE" localSheetId="20">#REF!</definedName>
    <definedName name="ReconE" localSheetId="23">#REF!</definedName>
    <definedName name="ReconE" localSheetId="2">#REF!</definedName>
    <definedName name="ReconE">#REF!</definedName>
    <definedName name="ReconO" localSheetId="4">#REF!</definedName>
    <definedName name="ReconO" localSheetId="20">#REF!</definedName>
    <definedName name="ReconO" localSheetId="23">#REF!</definedName>
    <definedName name="ReconO" localSheetId="2">#REF!</definedName>
    <definedName name="ReconO">#REF!</definedName>
    <definedName name="ReconR" localSheetId="4">#REF!</definedName>
    <definedName name="ReconR" localSheetId="20">#REF!</definedName>
    <definedName name="ReconR" localSheetId="23">#REF!</definedName>
    <definedName name="ReconR" localSheetId="2">#REF!</definedName>
    <definedName name="ReconR">#REF!</definedName>
    <definedName name="REINS_REV" localSheetId="4">#REF!</definedName>
    <definedName name="REINS_REV" localSheetId="20">#REF!</definedName>
    <definedName name="REINS_REV" localSheetId="23">#REF!</definedName>
    <definedName name="REINS_REV" localSheetId="2">#REF!</definedName>
    <definedName name="REINS_REV">#REF!</definedName>
    <definedName name="RESRCH_REV" localSheetId="4">#REF!</definedName>
    <definedName name="RESRCH_REV" localSheetId="20">#REF!</definedName>
    <definedName name="RESRCH_REV" localSheetId="23">#REF!</definedName>
    <definedName name="RESRCH_REV" localSheetId="2">#REF!</definedName>
    <definedName name="RESRCH_REV">#REF!</definedName>
    <definedName name="REV_INTER" localSheetId="4">#REF!</definedName>
    <definedName name="REV_INTER" localSheetId="20">#REF!</definedName>
    <definedName name="REV_INTER" localSheetId="23">#REF!</definedName>
    <definedName name="REV_INTER" localSheetId="2">#REF!</definedName>
    <definedName name="REV_INTER">#REF!</definedName>
    <definedName name="revcode" localSheetId="4">#REF!</definedName>
    <definedName name="revcode" localSheetId="20">#REF!</definedName>
    <definedName name="revcode" localSheetId="23">#REF!</definedName>
    <definedName name="revcode" localSheetId="2">#REF!</definedName>
    <definedName name="revcode">#REF!</definedName>
    <definedName name="REVFD_REV" localSheetId="4">#REF!</definedName>
    <definedName name="REVFD_REV" localSheetId="20">#REF!</definedName>
    <definedName name="REVFD_REV" localSheetId="23">#REF!</definedName>
    <definedName name="REVFD_REV" localSheetId="2">#REF!</definedName>
    <definedName name="REVFD_REV">#REF!</definedName>
    <definedName name="RID" localSheetId="4">#REF!</definedName>
    <definedName name="RID" localSheetId="20">#REF!</definedName>
    <definedName name="RID" localSheetId="23">#REF!</definedName>
    <definedName name="RID" localSheetId="2">#REF!</definedName>
    <definedName name="RID">#REF!</definedName>
    <definedName name="rr" localSheetId="4">#REF!</definedName>
    <definedName name="rr" localSheetId="20">#REF!</definedName>
    <definedName name="rr" localSheetId="23">#REF!</definedName>
    <definedName name="rr" localSheetId="2">#REF!</definedName>
    <definedName name="rr">#REF!</definedName>
    <definedName name="RTT" localSheetId="4">#REF!</definedName>
    <definedName name="RTT" localSheetId="20">#REF!</definedName>
    <definedName name="RTT" localSheetId="23">#REF!</definedName>
    <definedName name="RTT" localSheetId="2">#REF!</definedName>
    <definedName name="RTT">#REF!</definedName>
    <definedName name="SCN" localSheetId="4">#REF!</definedName>
    <definedName name="SCN" localSheetId="20">#REF!</definedName>
    <definedName name="SCN" localSheetId="23">#REF!</definedName>
    <definedName name="SCN" localSheetId="2">#REF!</definedName>
    <definedName name="SCN">#REF!</definedName>
    <definedName name="Sec" localSheetId="4">#REF!</definedName>
    <definedName name="Sec" localSheetId="20">#REF!</definedName>
    <definedName name="Sec" localSheetId="23">#REF!</definedName>
    <definedName name="Sec" localSheetId="2">#REF!</definedName>
    <definedName name="Sec">#REF!</definedName>
    <definedName name="SecondYCapital" localSheetId="4">#REF!</definedName>
    <definedName name="SecondYCapital" localSheetId="20">#REF!</definedName>
    <definedName name="SecondYCapital" localSheetId="23">#REF!</definedName>
    <definedName name="SecondYCapital" localSheetId="2">#REF!</definedName>
    <definedName name="SecondYCapital">#REF!</definedName>
    <definedName name="SecondYIncrease" localSheetId="4">#REF!</definedName>
    <definedName name="SecondYIncrease" localSheetId="20">#REF!</definedName>
    <definedName name="SecondYIncrease" localSheetId="23">#REF!</definedName>
    <definedName name="SecondYIncrease" localSheetId="2">#REF!</definedName>
    <definedName name="SecondYIncrease">#REF!</definedName>
    <definedName name="SecondYTotal" localSheetId="4">#REF!</definedName>
    <definedName name="SecondYTotal" localSheetId="20">#REF!</definedName>
    <definedName name="SecondYTotal" localSheetId="23">#REF!</definedName>
    <definedName name="SecondYTotal" localSheetId="2">#REF!</definedName>
    <definedName name="SecondYTotal">#REF!</definedName>
    <definedName name="Sheet1" localSheetId="4">#REF!</definedName>
    <definedName name="Sheet1" localSheetId="20">#REF!</definedName>
    <definedName name="Sheet1" localSheetId="23">#REF!</definedName>
    <definedName name="Sheet1" localSheetId="2">#REF!</definedName>
    <definedName name="Sheet1">#REF!</definedName>
    <definedName name="TenYr" localSheetId="4">#REF!</definedName>
    <definedName name="TenYr" localSheetId="20">#REF!</definedName>
    <definedName name="TenYr" localSheetId="23">#REF!</definedName>
    <definedName name="TenYr" localSheetId="2">#REF!</definedName>
    <definedName name="TenYr">#REF!</definedName>
    <definedName name="Th" localSheetId="4">#REF!</definedName>
    <definedName name="Th" localSheetId="20">#REF!</definedName>
    <definedName name="Th" localSheetId="23">#REF!</definedName>
    <definedName name="Th" localSheetId="2">#REF!</definedName>
    <definedName name="Th">#REF!</definedName>
    <definedName name="thir" localSheetId="4">#REF!</definedName>
    <definedName name="thir" localSheetId="20">#REF!</definedName>
    <definedName name="thir" localSheetId="23">#REF!</definedName>
    <definedName name="thir" localSheetId="2">#REF!</definedName>
    <definedName name="thir">#REF!</definedName>
    <definedName name="third" localSheetId="4">#REF!</definedName>
    <definedName name="third" localSheetId="20">#REF!</definedName>
    <definedName name="third" localSheetId="23">#REF!</definedName>
    <definedName name="third" localSheetId="2">#REF!</definedName>
    <definedName name="third">#REF!</definedName>
    <definedName name="ThirdYCapital" localSheetId="4">#REF!</definedName>
    <definedName name="ThirdYCapital" localSheetId="20">#REF!</definedName>
    <definedName name="ThirdYCapital" localSheetId="23">#REF!</definedName>
    <definedName name="ThirdYCapital" localSheetId="2">#REF!</definedName>
    <definedName name="ThirdYCapital">#REF!</definedName>
    <definedName name="ThirdYIncrease" localSheetId="4">#REF!</definedName>
    <definedName name="ThirdYIncrease" localSheetId="20">#REF!</definedName>
    <definedName name="ThirdYIncrease" localSheetId="23">#REF!</definedName>
    <definedName name="ThirdYIncrease" localSheetId="2">#REF!</definedName>
    <definedName name="ThirdYIncrease">#REF!</definedName>
    <definedName name="ThirdYTotal" localSheetId="4">#REF!</definedName>
    <definedName name="ThirdYTotal" localSheetId="20">#REF!</definedName>
    <definedName name="ThirdYTotal" localSheetId="23">#REF!</definedName>
    <definedName name="ThirdYTotal" localSheetId="2">#REF!</definedName>
    <definedName name="ThirdYTotal">#REF!</definedName>
    <definedName name="title_be">#REF!</definedName>
    <definedName name="title_ca">#REF!</definedName>
    <definedName name="title_cfb">#REF!</definedName>
    <definedName name="Total" localSheetId="4">#REF!</definedName>
    <definedName name="Total" localSheetId="20">#REF!</definedName>
    <definedName name="Total" localSheetId="23">#REF!</definedName>
    <definedName name="Total" localSheetId="3">#REF!</definedName>
    <definedName name="Total" localSheetId="2">#REF!</definedName>
    <definedName name="Total">#REF!</definedName>
    <definedName name="Total10YCapital" localSheetId="4">#REF!</definedName>
    <definedName name="Total10YCapital" localSheetId="20">#REF!</definedName>
    <definedName name="Total10YCapital" localSheetId="23">#REF!</definedName>
    <definedName name="Total10YCapital" localSheetId="3">#REF!</definedName>
    <definedName name="Total10YCapital" localSheetId="2">#REF!</definedName>
    <definedName name="Total10YCapital">#REF!</definedName>
    <definedName name="Total10YIncrease" localSheetId="4">#REF!</definedName>
    <definedName name="Total10YIncrease" localSheetId="20">#REF!</definedName>
    <definedName name="Total10YIncrease" localSheetId="23">#REF!</definedName>
    <definedName name="Total10YIncrease" localSheetId="3">#REF!</definedName>
    <definedName name="Total10YIncrease" localSheetId="2">#REF!</definedName>
    <definedName name="Total10YIncrease">#REF!</definedName>
    <definedName name="Total10YTotal" localSheetId="4">#REF!</definedName>
    <definedName name="Total10YTotal" localSheetId="20">#REF!</definedName>
    <definedName name="Total10YTotal" localSheetId="23">#REF!</definedName>
    <definedName name="Total10YTotal" localSheetId="2">#REF!</definedName>
    <definedName name="Total10YTotal">#REF!</definedName>
    <definedName name="Total3Y" localSheetId="4">#REF!</definedName>
    <definedName name="Total3Y" localSheetId="20">#REF!</definedName>
    <definedName name="Total3Y" localSheetId="23">#REF!</definedName>
    <definedName name="Total3Y" localSheetId="2">#REF!</definedName>
    <definedName name="Total3Y">#REF!</definedName>
    <definedName name="Total3YCapital" localSheetId="4">#REF!</definedName>
    <definedName name="Total3YCapital" localSheetId="20">#REF!</definedName>
    <definedName name="Total3YCapital" localSheetId="23">#REF!</definedName>
    <definedName name="Total3YCapital" localSheetId="2">#REF!</definedName>
    <definedName name="Total3YCapital">#REF!</definedName>
    <definedName name="Total3YIncrease" localSheetId="4">#REF!</definedName>
    <definedName name="Total3YIncrease" localSheetId="20">#REF!</definedName>
    <definedName name="Total3YIncrease" localSheetId="23">#REF!</definedName>
    <definedName name="Total3YIncrease" localSheetId="2">#REF!</definedName>
    <definedName name="Total3YIncrease">#REF!</definedName>
    <definedName name="Total3Yr" localSheetId="4">#REF!</definedName>
    <definedName name="Total3Yr" localSheetId="20">#REF!</definedName>
    <definedName name="Total3Yr" localSheetId="23">#REF!</definedName>
    <definedName name="Total3Yr" localSheetId="2">#REF!</definedName>
    <definedName name="Total3Yr">#REF!</definedName>
    <definedName name="Total3YTotal" localSheetId="4">#REF!</definedName>
    <definedName name="Total3YTotal" localSheetId="20">#REF!</definedName>
    <definedName name="Total3YTotal" localSheetId="23">#REF!</definedName>
    <definedName name="Total3YTotal" localSheetId="2">#REF!</definedName>
    <definedName name="Total3YTotal">#REF!</definedName>
    <definedName name="Total5YCapital" localSheetId="4">#REF!</definedName>
    <definedName name="Total5YCapital" localSheetId="20">#REF!</definedName>
    <definedName name="Total5YCapital" localSheetId="23">#REF!</definedName>
    <definedName name="Total5YCapital" localSheetId="2">#REF!</definedName>
    <definedName name="Total5YCapital">#REF!</definedName>
    <definedName name="Total5YIncrease" localSheetId="4">#REF!</definedName>
    <definedName name="Total5YIncrease" localSheetId="20">#REF!</definedName>
    <definedName name="Total5YIncrease" localSheetId="23">#REF!</definedName>
    <definedName name="Total5YIncrease" localSheetId="2">#REF!</definedName>
    <definedName name="Total5YIncrease">#REF!</definedName>
    <definedName name="Total5YTotal" localSheetId="4">#REF!</definedName>
    <definedName name="Total5YTotal" localSheetId="20">#REF!</definedName>
    <definedName name="Total5YTotal" localSheetId="23">#REF!</definedName>
    <definedName name="Total5YTotal" localSheetId="2">#REF!</definedName>
    <definedName name="Total5YTotal">#REF!</definedName>
    <definedName name="TotalIn" localSheetId="4">#REF!</definedName>
    <definedName name="TotalIn" localSheetId="20">#REF!</definedName>
    <definedName name="TotalIn" localSheetId="23">#REF!</definedName>
    <definedName name="TotalIn" localSheetId="2">#REF!</definedName>
    <definedName name="TotalIn">#REF!</definedName>
    <definedName name="TPC" localSheetId="4">#REF!</definedName>
    <definedName name="TPC" localSheetId="20">#REF!</definedName>
    <definedName name="TPC" localSheetId="23">#REF!</definedName>
    <definedName name="TPC" localSheetId="2">#REF!</definedName>
    <definedName name="TPC">#REF!</definedName>
    <definedName name="TPS" localSheetId="4">#REF!</definedName>
    <definedName name="TPS" localSheetId="20">#REF!</definedName>
    <definedName name="TPS" localSheetId="23">#REF!</definedName>
    <definedName name="TPS" localSheetId="2">#REF!</definedName>
    <definedName name="TPS">#REF!</definedName>
    <definedName name="Type">#REF!</definedName>
    <definedName name="Units_not_covered_by_MO" localSheetId="4">#REF!</definedName>
    <definedName name="Units_not_covered_by_MO" localSheetId="20">#REF!</definedName>
    <definedName name="Units_not_covered_by_MO" localSheetId="23">#REF!</definedName>
    <definedName name="Units_not_covered_by_MO" localSheetId="3">#REF!</definedName>
    <definedName name="Units_not_covered_by_MO" localSheetId="2">#REF!</definedName>
    <definedName name="Units_not_covered_by_MO">#REF!</definedName>
    <definedName name="ValidMin">#REF!</definedName>
    <definedName name="Vote" localSheetId="4">#REF!</definedName>
    <definedName name="Vote" localSheetId="20">#REF!</definedName>
    <definedName name="Vote" localSheetId="23">#REF!</definedName>
    <definedName name="Vote" localSheetId="3">#REF!</definedName>
    <definedName name="Vote" localSheetId="2">#REF!</definedName>
    <definedName name="Vo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3" l="1"/>
  <c r="E32" i="24" l="1"/>
  <c r="B4" i="24" l="1"/>
  <c r="E34" i="24" s="1"/>
  <c r="E13" i="31" l="1"/>
  <c r="D13" i="31"/>
  <c r="B13" i="31"/>
  <c r="A26" i="30" l="1"/>
  <c r="A27" i="30" s="1"/>
  <c r="A28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4" i="30" s="1"/>
  <c r="A45" i="30" s="1"/>
  <c r="A46" i="30" s="1"/>
  <c r="A47" i="30" s="1"/>
  <c r="D4" i="30"/>
  <c r="E4" i="30" s="1"/>
  <c r="F4" i="30" s="1"/>
  <c r="G4" i="30" s="1"/>
  <c r="H4" i="30" s="1"/>
  <c r="I4" i="30" s="1"/>
  <c r="J4" i="30" s="1"/>
  <c r="K4" i="30" s="1"/>
  <c r="L4" i="30" s="1"/>
  <c r="M4" i="30" s="1"/>
  <c r="N4" i="30" s="1"/>
  <c r="O4" i="30" s="1"/>
  <c r="P4" i="30" s="1"/>
  <c r="Q4" i="30" s="1"/>
  <c r="A9" i="3" l="1"/>
  <c r="A10" i="3" s="1"/>
  <c r="A11" i="3" s="1"/>
  <c r="A12" i="3" l="1"/>
  <c r="A13" i="3" s="1"/>
  <c r="A14" i="3" s="1"/>
  <c r="A15" i="3" s="1"/>
  <c r="A16" i="3" s="1"/>
  <c r="A17" i="3" s="1"/>
  <c r="A18" i="3" s="1"/>
  <c r="A19" i="3" s="1"/>
  <c r="A21" i="3" l="1"/>
  <c r="A25" i="3" s="1"/>
  <c r="A26" i="3" s="1"/>
  <c r="A28" i="3" s="1"/>
  <c r="A32" i="3" s="1"/>
  <c r="A33" i="3" l="1"/>
  <c r="A34" i="3" s="1"/>
  <c r="A36" i="3" s="1"/>
  <c r="A37" i="3" l="1"/>
  <c r="A38" i="3" s="1"/>
  <c r="A39" i="3" s="1"/>
  <c r="A40" i="3" s="1"/>
  <c r="A41" i="3" s="1"/>
  <c r="A42" i="3" s="1"/>
  <c r="A44" i="3" l="1"/>
  <c r="A49" i="3" s="1"/>
  <c r="A50" i="3" s="1"/>
  <c r="A51" i="3" s="1"/>
  <c r="A52" i="3" s="1"/>
  <c r="A53" i="3" s="1"/>
  <c r="A55" i="3" s="1"/>
  <c r="A56" i="3" s="1"/>
  <c r="A57" i="3" s="1"/>
  <c r="A59" i="3" s="1"/>
  <c r="A43" i="3"/>
  <c r="B7" i="31" l="1"/>
  <c r="B8" i="31" s="1"/>
  <c r="B15" i="31" s="1"/>
  <c r="C5" i="31" s="1"/>
  <c r="C12" i="31" s="1"/>
  <c r="C13" i="31" s="1"/>
  <c r="C8" i="31" l="1"/>
  <c r="C15" i="31" s="1"/>
  <c r="D5" i="31" s="1"/>
  <c r="D8" i="31" s="1"/>
  <c r="D15" i="31" s="1"/>
  <c r="E5" i="31" s="1"/>
  <c r="E8" i="31" s="1"/>
  <c r="E15" i="31" s="1"/>
</calcChain>
</file>

<file path=xl/sharedStrings.xml><?xml version="1.0" encoding="utf-8"?>
<sst xmlns="http://schemas.openxmlformats.org/spreadsheetml/2006/main" count="1130" uniqueCount="544">
  <si>
    <t>Summary Statement of Operations</t>
  </si>
  <si>
    <t>(millions of dollars)</t>
  </si>
  <si>
    <t>2019-20</t>
  </si>
  <si>
    <t>2020-21</t>
  </si>
  <si>
    <t>2021-22</t>
  </si>
  <si>
    <t>2022-23</t>
  </si>
  <si>
    <t>2023-24</t>
  </si>
  <si>
    <t>Actual</t>
  </si>
  <si>
    <t>Budget</t>
  </si>
  <si>
    <t>Forecast</t>
  </si>
  <si>
    <t>Estimate</t>
  </si>
  <si>
    <t>Target</t>
  </si>
  <si>
    <t>Revenue</t>
  </si>
  <si>
    <t>Tax revenue</t>
  </si>
  <si>
    <t>Non-renewable resource revenue</t>
  </si>
  <si>
    <t>Federal transfers</t>
  </si>
  <si>
    <t>Investment income</t>
  </si>
  <si>
    <t xml:space="preserve">Other </t>
  </si>
  <si>
    <t>Total Revenue</t>
  </si>
  <si>
    <t>Operating expense</t>
  </si>
  <si>
    <t>Capital grants</t>
  </si>
  <si>
    <t>Amortization / inventory consumption / loss on disposals</t>
  </si>
  <si>
    <t>Debt servicing costs</t>
  </si>
  <si>
    <t>Pension provisions</t>
  </si>
  <si>
    <t>Total Expense</t>
  </si>
  <si>
    <t>Surplus / (deficit)</t>
  </si>
  <si>
    <t>Summary Statement of Financial Position</t>
  </si>
  <si>
    <t>At March 31</t>
  </si>
  <si>
    <t>2024</t>
  </si>
  <si>
    <t>Financial Assets</t>
  </si>
  <si>
    <t>Liabilities</t>
  </si>
  <si>
    <t>Net Financial Assets / (Debt)</t>
  </si>
  <si>
    <t>Capital / Other Non-financial Assets</t>
  </si>
  <si>
    <t>Deferred capital contributions</t>
  </si>
  <si>
    <t>Net Assets</t>
  </si>
  <si>
    <t>Net assets at the beginning of the year</t>
  </si>
  <si>
    <t>Surplus / (Deficit)</t>
  </si>
  <si>
    <r>
      <t xml:space="preserve">Adjustment to net assets </t>
    </r>
    <r>
      <rPr>
        <vertAlign val="superscript"/>
        <sz val="8"/>
        <rFont val="Arial"/>
        <family val="2"/>
      </rPr>
      <t>a</t>
    </r>
  </si>
  <si>
    <t>Net assets at end of year</t>
  </si>
  <si>
    <t>Net debt to GDP</t>
  </si>
  <si>
    <t>Consolidated Fiscal Summary</t>
  </si>
  <si>
    <t>Statement of Operations</t>
  </si>
  <si>
    <t>Expense</t>
  </si>
  <si>
    <t>% change from prior year</t>
  </si>
  <si>
    <t>Capital Plan</t>
  </si>
  <si>
    <t>Capital investment</t>
  </si>
  <si>
    <t>Total Capital Plan</t>
  </si>
  <si>
    <t>Cash adjustments / borrowing requirements</t>
  </si>
  <si>
    <t>(at March 31)</t>
  </si>
  <si>
    <t>Other cash adjustments</t>
  </si>
  <si>
    <t>Capital cash adjustments</t>
  </si>
  <si>
    <t>Cash at end of year</t>
  </si>
  <si>
    <t>Taxpayer-supported Liabilities / Borrowing</t>
  </si>
  <si>
    <t>Liabilities for Capital Projects</t>
  </si>
  <si>
    <t>Opening balance</t>
  </si>
  <si>
    <t>Alternative financing (P3s – public-private partnerships)</t>
  </si>
  <si>
    <t>Total Liabilities for Capital Projects</t>
  </si>
  <si>
    <t>Total Borrowing for the Fiscal Plan / Other</t>
  </si>
  <si>
    <t>Alberta Heritage Savings Trust Fund</t>
  </si>
  <si>
    <t>Endowment funds:</t>
  </si>
  <si>
    <t>Alberta Heritage Foundation for Medical Research</t>
  </si>
  <si>
    <t xml:space="preserve">Alberta Heritage Science and Engineering Research </t>
  </si>
  <si>
    <t xml:space="preserve">Alberta Heritage Scholarship </t>
  </si>
  <si>
    <t>Alberta Enterprise Corporation</t>
  </si>
  <si>
    <t>Self-supporting lending organizations / activities:</t>
  </si>
  <si>
    <t>Agriculture Financial Services Corporation</t>
  </si>
  <si>
    <t xml:space="preserve">Equity in commercial enterprises </t>
  </si>
  <si>
    <t>Student loans</t>
  </si>
  <si>
    <t>Other financial assets (including SUCH sector / Alberta Innovates Corp.)</t>
  </si>
  <si>
    <t>Total Financial Assets</t>
  </si>
  <si>
    <t>Taxpayer-supported debt:</t>
  </si>
  <si>
    <t>Direct borrowing for the Capital Plan</t>
  </si>
  <si>
    <t>Alternative financing (P3s - public-private partnerships - Capital Plan)</t>
  </si>
  <si>
    <t xml:space="preserve">Debt issued to reduce pre-1992 TPP unfunded liability </t>
  </si>
  <si>
    <t>Direct borrowing for the Fiscal Plan</t>
  </si>
  <si>
    <t>Total taxpayer-supported debt</t>
  </si>
  <si>
    <t>Self-supporting lending organization / activities debt:</t>
  </si>
  <si>
    <t>Total debt</t>
  </si>
  <si>
    <t>Coal phase-out liabilities</t>
  </si>
  <si>
    <t>Pension liabilities</t>
  </si>
  <si>
    <t>Other liabilities (including SUCH sector / Alberta Innovates Corp.)</t>
  </si>
  <si>
    <t>Total Liabilities</t>
  </si>
  <si>
    <t>Capital Assets</t>
  </si>
  <si>
    <t>Net book value at start of the year</t>
  </si>
  <si>
    <t>Additions (capital investment)</t>
  </si>
  <si>
    <t>Amortization</t>
  </si>
  <si>
    <t>Net book value of capital asset disposals / adjustments</t>
  </si>
  <si>
    <t>Net Book Value at End of Year</t>
  </si>
  <si>
    <t>Personal income tax</t>
  </si>
  <si>
    <t>Corporate income tax</t>
  </si>
  <si>
    <t>Other taxes</t>
  </si>
  <si>
    <t>Transfers from Government of Canada</t>
  </si>
  <si>
    <t>Net income from govt. business enterprises</t>
  </si>
  <si>
    <t>Premiums, fees and licences</t>
  </si>
  <si>
    <t>Other</t>
  </si>
  <si>
    <t>Advanced Education</t>
  </si>
  <si>
    <t>Education</t>
  </si>
  <si>
    <t>Executive Council</t>
  </si>
  <si>
    <t>Health</t>
  </si>
  <si>
    <t>Indigenous Relations</t>
  </si>
  <si>
    <t>Infrastructure</t>
  </si>
  <si>
    <t>Municipal Affairs</t>
  </si>
  <si>
    <t>Transportation</t>
  </si>
  <si>
    <t>Treasury Board and Finance</t>
  </si>
  <si>
    <t xml:space="preserve">Legislative Assembly </t>
  </si>
  <si>
    <t>Beginning net assets (+ adjustments)</t>
  </si>
  <si>
    <t>Income Taxes</t>
  </si>
  <si>
    <t>Other Taxes</t>
  </si>
  <si>
    <t>Tobacco / vaping taxes</t>
  </si>
  <si>
    <t>Insurance taxes</t>
  </si>
  <si>
    <t>Tourism levy</t>
  </si>
  <si>
    <t>Cannabis tax</t>
  </si>
  <si>
    <t>Non-Renewable Resource Revenue</t>
  </si>
  <si>
    <t>Bitumen royalty</t>
  </si>
  <si>
    <t>Crude oil royalty</t>
  </si>
  <si>
    <t>Natural gas and by-products royalty</t>
  </si>
  <si>
    <t>Bonuses and sales of Crown leases</t>
  </si>
  <si>
    <t>Rentals and fees / coal royalty</t>
  </si>
  <si>
    <t>Canada Health Transfer</t>
  </si>
  <si>
    <t>Canada Social Transfer</t>
  </si>
  <si>
    <t>Direct transfers to SUCH sector / Alberta Innovates Corporation</t>
  </si>
  <si>
    <t>Infrastructure support</t>
  </si>
  <si>
    <t>Agriculture support programs</t>
  </si>
  <si>
    <t>Labour market agreements</t>
  </si>
  <si>
    <t>Investment Income</t>
  </si>
  <si>
    <t>Endowment funds</t>
  </si>
  <si>
    <t>Other (includes SUCH sector)</t>
  </si>
  <si>
    <t>Net Income from Government Business Enterprises</t>
  </si>
  <si>
    <t xml:space="preserve">AGLC – Gaming / lottery </t>
  </si>
  <si>
    <t>AGLC – Liquor</t>
  </si>
  <si>
    <t>AGLC – Cannabis</t>
  </si>
  <si>
    <t>ATB Financial</t>
  </si>
  <si>
    <t>Balancing Pool</t>
  </si>
  <si>
    <t>Other (CUDGCo / APMC / PSIs)</t>
  </si>
  <si>
    <t>Premiums, Fees and Licences</t>
  </si>
  <si>
    <t>Post-secondary institution tuition fees</t>
  </si>
  <si>
    <t>Health / school board fees and charges</t>
  </si>
  <si>
    <t>Motor vehicle licences</t>
  </si>
  <si>
    <t>Crop, hail and livestock insurance premiums</t>
  </si>
  <si>
    <t>Energy industry levies</t>
  </si>
  <si>
    <t>SUCH sector sales, rentals and services</t>
  </si>
  <si>
    <t>SUCH sector fundraising, donations, gifts and contributions</t>
  </si>
  <si>
    <t>AIMCo investment management charges</t>
  </si>
  <si>
    <t>Fines and penalties</t>
  </si>
  <si>
    <t>Refunds of expense</t>
  </si>
  <si>
    <t>Technology Innovation and Emissions Reduction Fund</t>
  </si>
  <si>
    <t xml:space="preserve">Debt Servicing Costs </t>
  </si>
  <si>
    <t>Taxpayer-supported general debt servicing costs</t>
  </si>
  <si>
    <t>Education – school boards</t>
  </si>
  <si>
    <t>Total</t>
  </si>
  <si>
    <t>Taxpayer-supported Capital Plan debt servicing costs</t>
  </si>
  <si>
    <t>Education – Alberta Schools Alternative Procurement P3s</t>
  </si>
  <si>
    <t>Transportation – ring road P3s</t>
  </si>
  <si>
    <t>Treasury Board and Finance – direct borrowing</t>
  </si>
  <si>
    <t>Total taxpayer-supported debt servicing costs</t>
  </si>
  <si>
    <t>Self-supported debt servicing costs</t>
  </si>
  <si>
    <t>Treasury Board and Finance – for loans to local authorities</t>
  </si>
  <si>
    <t>Treasury Board and Finance – Ag. Financial Services Corp.</t>
  </si>
  <si>
    <t>Total Debt Servicing Costs</t>
  </si>
  <si>
    <t>Operating Expense</t>
  </si>
  <si>
    <t xml:space="preserve">Total Operating Expense </t>
  </si>
  <si>
    <t>Capital Amortization</t>
  </si>
  <si>
    <t xml:space="preserve">Total Amortization Expense </t>
  </si>
  <si>
    <t xml:space="preserve">Inventory Consumption </t>
  </si>
  <si>
    <t xml:space="preserve">Health </t>
  </si>
  <si>
    <t xml:space="preserve">Total Inventory Consumption </t>
  </si>
  <si>
    <t>Inventory Acquisition</t>
  </si>
  <si>
    <t>Total Inventory Acquisition</t>
  </si>
  <si>
    <r>
      <t>Capital Plan</t>
    </r>
    <r>
      <rPr>
        <b/>
        <vertAlign val="superscript"/>
        <sz val="12"/>
        <rFont val="Arial"/>
        <family val="2"/>
      </rPr>
      <t>a</t>
    </r>
  </si>
  <si>
    <t>Legislative Assembly</t>
  </si>
  <si>
    <t>Capital Grants</t>
  </si>
  <si>
    <t>Total Capital Grants</t>
  </si>
  <si>
    <t>Capital Investment</t>
  </si>
  <si>
    <t>Total Capital Investment</t>
  </si>
  <si>
    <t>Capital Plan Funding Sources</t>
  </si>
  <si>
    <t>Capital Plan, less</t>
  </si>
  <si>
    <t>Capital Plan funding requirements</t>
  </si>
  <si>
    <t>Source of funding:</t>
  </si>
  <si>
    <t>SUCH sector self-financed</t>
  </si>
  <si>
    <t>Total Capital Plan Funding Sources</t>
  </si>
  <si>
    <t xml:space="preserve"> </t>
  </si>
  <si>
    <t>Borrowing Requirements</t>
  </si>
  <si>
    <t>Government business enterprises</t>
  </si>
  <si>
    <t>Total Borrowing Requirements</t>
  </si>
  <si>
    <t>Change</t>
  </si>
  <si>
    <t>Alberta Petroleum Marketing Commission</t>
  </si>
  <si>
    <t>Money market (net change)</t>
  </si>
  <si>
    <t>Public-private partnerships (P3s)</t>
  </si>
  <si>
    <t>Term debt</t>
  </si>
  <si>
    <t xml:space="preserve">Total Borrowing Sources </t>
  </si>
  <si>
    <r>
      <t xml:space="preserve">Pension Liabilities </t>
    </r>
    <r>
      <rPr>
        <b/>
        <vertAlign val="superscript"/>
        <sz val="12"/>
        <rFont val="Arial"/>
        <family val="2"/>
      </rPr>
      <t>a</t>
    </r>
  </si>
  <si>
    <t>Teachers' Pension Plan (pre-1992)</t>
  </si>
  <si>
    <r>
      <t xml:space="preserve">Public Service Management Pension Plan (pre-1992; closed) </t>
    </r>
    <r>
      <rPr>
        <vertAlign val="superscript"/>
        <sz val="8"/>
        <rFont val="Arial"/>
        <family val="2"/>
      </rPr>
      <t>b</t>
    </r>
  </si>
  <si>
    <t>Universities Academic Pension Plan (pre-1992)</t>
  </si>
  <si>
    <t>Special Forces Pension Plan (pre-1992)</t>
  </si>
  <si>
    <r>
      <t xml:space="preserve">Members of the Legislative Assembly Pension Plan (closed) </t>
    </r>
    <r>
      <rPr>
        <vertAlign val="superscript"/>
        <sz val="8"/>
        <rFont val="Arial"/>
        <family val="2"/>
      </rPr>
      <t>b</t>
    </r>
  </si>
  <si>
    <t>Public Service Supplementary Retirement Plan</t>
  </si>
  <si>
    <t>Provincial Judges and Masters in Chambers Pension Plan</t>
  </si>
  <si>
    <t>SUCH sector – Universities Academic / Supp. Exec. Retirement Plans</t>
  </si>
  <si>
    <t xml:space="preserve">Total Pension Liabilities </t>
  </si>
  <si>
    <t>Annual Non-cash Change in Pension Liabilities</t>
  </si>
  <si>
    <r>
      <t>Cash Adjustments</t>
    </r>
    <r>
      <rPr>
        <b/>
        <vertAlign val="superscript"/>
        <sz val="12"/>
        <rFont val="Arial"/>
        <family val="2"/>
      </rPr>
      <t>a</t>
    </r>
  </si>
  <si>
    <t>Retained Income of Funds and Agencies</t>
  </si>
  <si>
    <t>Heritage Foundation for Medical Research Endowment Fund</t>
  </si>
  <si>
    <t>Heritage Science and Engineering Research Endowment Fund</t>
  </si>
  <si>
    <t>Heritage Scholarship Fund</t>
  </si>
  <si>
    <t>Alberta Social Housing Corporation</t>
  </si>
  <si>
    <t>Credit Union Deposit Guarantee Corporation</t>
  </si>
  <si>
    <t xml:space="preserve">Technology Innovation and Emissions Reduction Fund </t>
  </si>
  <si>
    <t xml:space="preserve">Total Retained Income of Funds and Agencies </t>
  </si>
  <si>
    <t>Other Cash Adjustments</t>
  </si>
  <si>
    <t>SUCH sector own-source revenue</t>
  </si>
  <si>
    <t>SUCH sector own-source expense</t>
  </si>
  <si>
    <t>Net deferred capital contribution cash adjustment</t>
  </si>
  <si>
    <t>Energy royalties (difference between accrued revenue &amp; cash)</t>
  </si>
  <si>
    <t>2013 Alberta flood assistance revenue / expense</t>
  </si>
  <si>
    <t>Wood Buffalo wildfire revenue / expense</t>
  </si>
  <si>
    <t>Pension provisions (non-cash expense)</t>
  </si>
  <si>
    <t>Total Other Cash Adjustments</t>
  </si>
  <si>
    <t>Capital investment (excluding SUCH sector self-financed)</t>
  </si>
  <si>
    <t>Current principal repayments (P3s – public-private partnerships)</t>
  </si>
  <si>
    <t>Book value of asset disposals (net non-cash expense / revenue)</t>
  </si>
  <si>
    <t>Total Capital Cash Adjustments</t>
  </si>
  <si>
    <r>
      <t xml:space="preserve">Full-Time Equivalents </t>
    </r>
    <r>
      <rPr>
        <b/>
        <vertAlign val="superscript"/>
        <sz val="12"/>
        <rFont val="Arial"/>
        <family val="2"/>
      </rPr>
      <t>a</t>
    </r>
  </si>
  <si>
    <t>Departments</t>
  </si>
  <si>
    <t>Treasury Board and Finance – department</t>
  </si>
  <si>
    <t>Treasury Board and Finance – Communications and Public Engagement</t>
  </si>
  <si>
    <t>Treasury Board and Finance – Public Service Commission</t>
  </si>
  <si>
    <t xml:space="preserve"> Agencies / SUCH sector / other operationally-independent entities </t>
  </si>
  <si>
    <t>Advanced Education – post-secondary institutions</t>
  </si>
  <si>
    <t>Education –  school boards (including Francophone / charter)</t>
  </si>
  <si>
    <t xml:space="preserve">   Certificated Staff</t>
  </si>
  <si>
    <t xml:space="preserve">   Non-certificated Staff</t>
  </si>
  <si>
    <t xml:space="preserve">Health – Health Quality Council of Alberta </t>
  </si>
  <si>
    <t>Indigenous Relations – Alberta Indigenous Opportunities Corporation</t>
  </si>
  <si>
    <t>Municipal Affairs – Safety Codes Council</t>
  </si>
  <si>
    <t>Treasury Board and Finance – Alberta Insurance Council</t>
  </si>
  <si>
    <t>Treasury Board and Finance – Alberta Investment Management Corporation</t>
  </si>
  <si>
    <t>Treasury Board and Finance – Alberta Pensions Services Corporation</t>
  </si>
  <si>
    <t>Treasury Board and Finance – Alberta Securities Commission</t>
  </si>
  <si>
    <t>Agencies / SUCH sector / other operationally-independent entities</t>
  </si>
  <si>
    <t>Total Full-Time Equivalents</t>
  </si>
  <si>
    <t>(thousands of dollars)</t>
  </si>
  <si>
    <t>Net gaming / lottery revenue</t>
  </si>
  <si>
    <t>Resource Management</t>
  </si>
  <si>
    <t>Family and Community Safety</t>
  </si>
  <si>
    <t>Continuing Care</t>
  </si>
  <si>
    <t>Family and Community Support Services</t>
  </si>
  <si>
    <t>Fetal Alcohol Spectrum Disorder Initiatives</t>
  </si>
  <si>
    <t>First Nations and Métis Relations</t>
  </si>
  <si>
    <t>First Nations Development Fund</t>
  </si>
  <si>
    <t>Assistance - Alberta Foundation for Arts</t>
  </si>
  <si>
    <t>Settlement and Integration</t>
  </si>
  <si>
    <t>Skills and Training Support</t>
  </si>
  <si>
    <t>Community Facility Enhancement Program</t>
  </si>
  <si>
    <t>Community Initiatives Program</t>
  </si>
  <si>
    <t>Provincial Highway Maintenance</t>
  </si>
  <si>
    <t>Heritage Preservation Partnership</t>
  </si>
  <si>
    <t>Other Initiatives</t>
  </si>
  <si>
    <t xml:space="preserve">  Gaming Research</t>
  </si>
  <si>
    <t xml:space="preserve">  Horse Racing and Breeding Renewal Program</t>
  </si>
  <si>
    <t>Operations and Maintenance</t>
  </si>
  <si>
    <t>Total Allocation</t>
  </si>
  <si>
    <t>Ministry Expense by Function</t>
  </si>
  <si>
    <t>Social Services</t>
  </si>
  <si>
    <t>Agriculture, Resource Management and Economic Development</t>
  </si>
  <si>
    <t>Protection of Persons and Property (includes contingency and disaster assistance)</t>
  </si>
  <si>
    <t>Transportation, Communications and Utilities</t>
  </si>
  <si>
    <t>Regional Planning and Development</t>
  </si>
  <si>
    <t>Environment</t>
  </si>
  <si>
    <t>Recreation and Culture</t>
  </si>
  <si>
    <t>Housing</t>
  </si>
  <si>
    <t>General Government (includes pension provisions)</t>
  </si>
  <si>
    <t>Debt Servicing Costs</t>
  </si>
  <si>
    <t>Ministry Expense by Object</t>
  </si>
  <si>
    <t>Salaries, Wages and    Employee Benefits</t>
  </si>
  <si>
    <t>Supplies and Services</t>
  </si>
  <si>
    <t>Grants to Others</t>
  </si>
  <si>
    <t>Amortization of Capital Assets</t>
  </si>
  <si>
    <t>Consumption of Inventory</t>
  </si>
  <si>
    <t>Pension Provisions</t>
  </si>
  <si>
    <t>Other / contingency and disaster assistance</t>
  </si>
  <si>
    <t xml:space="preserve">Changes to Fees </t>
  </si>
  <si>
    <t>(dollars)</t>
  </si>
  <si>
    <t>Ministry / Description</t>
  </si>
  <si>
    <t>2024-25</t>
  </si>
  <si>
    <t>2013-14</t>
  </si>
  <si>
    <t>2014-15</t>
  </si>
  <si>
    <t>2015-16</t>
  </si>
  <si>
    <t>2016-17</t>
  </si>
  <si>
    <t>2017-18</t>
  </si>
  <si>
    <t>2018-19</t>
  </si>
  <si>
    <t>Other tax revenue</t>
  </si>
  <si>
    <t>Resource revenue</t>
  </si>
  <si>
    <t>Other own-source revenue</t>
  </si>
  <si>
    <t>Total own-source revenue</t>
  </si>
  <si>
    <t>Expense by Function</t>
  </si>
  <si>
    <t>Basic / advanced education</t>
  </si>
  <si>
    <t>Social services</t>
  </si>
  <si>
    <t>Other program expense</t>
  </si>
  <si>
    <t>Total program expense</t>
  </si>
  <si>
    <t>Debt servicing costs </t>
  </si>
  <si>
    <r>
      <t>Capital Plan</t>
    </r>
    <r>
      <rPr>
        <b/>
        <vertAlign val="superscript"/>
        <sz val="9"/>
        <color theme="1"/>
        <rFont val="Arial Narrow"/>
        <family val="2"/>
      </rPr>
      <t> b</t>
    </r>
  </si>
  <si>
    <t>Statement of Financial Position (at March 31)</t>
  </si>
  <si>
    <t>Heritage / endowment funds</t>
  </si>
  <si>
    <t>Contingency Account</t>
  </si>
  <si>
    <t>Other financial assets</t>
  </si>
  <si>
    <t>Taxpayer-supported Capital Plan liabilities</t>
  </si>
  <si>
    <t>Self-supported debt</t>
  </si>
  <si>
    <t>Other liabilities</t>
  </si>
  <si>
    <r>
      <t>Net Financial Assets / (Debt)</t>
    </r>
    <r>
      <rPr>
        <b/>
        <vertAlign val="superscript"/>
        <sz val="8"/>
        <color theme="1"/>
        <rFont val="Arial Narrow"/>
        <family val="2"/>
      </rPr>
      <t xml:space="preserve"> </t>
    </r>
  </si>
  <si>
    <t>2025</t>
  </si>
  <si>
    <t>Income from local authority loans</t>
  </si>
  <si>
    <r>
      <t xml:space="preserve">Total Debt </t>
    </r>
    <r>
      <rPr>
        <b/>
        <vertAlign val="superscript"/>
        <sz val="8"/>
        <color theme="1"/>
        <rFont val="Arial Narrow"/>
        <family val="2"/>
      </rPr>
      <t>c</t>
    </r>
  </si>
  <si>
    <r>
      <t xml:space="preserve">Net Assets </t>
    </r>
    <r>
      <rPr>
        <b/>
        <vertAlign val="superscript"/>
        <sz val="8"/>
        <color theme="1"/>
        <rFont val="Arial Narrow"/>
        <family val="2"/>
      </rPr>
      <t>d</t>
    </r>
  </si>
  <si>
    <t>Energy prices and exchange rate</t>
  </si>
  <si>
    <t>Oil price (WTI US$/bbl)</t>
  </si>
  <si>
    <t>Heavy oil price (WCS @ Hardisty; Cdn$/bbl)</t>
  </si>
  <si>
    <t>Natural gas price (ARP; Cdn$/GJ)</t>
  </si>
  <si>
    <t>Exchange rate (US¢/Cdn$)</t>
  </si>
  <si>
    <t>Net financial debt / GDP (calendar year, nominal)</t>
  </si>
  <si>
    <t xml:space="preserve">  Airport Entertainment Centres</t>
  </si>
  <si>
    <t>Local authority loans</t>
  </si>
  <si>
    <t>Debt issued to finance local authority loans</t>
  </si>
  <si>
    <t>Assistance - Provincial Heritage Organizations</t>
  </si>
  <si>
    <t>2025-26</t>
  </si>
  <si>
    <t>2026</t>
  </si>
  <si>
    <t>Affordability and Utilities</t>
  </si>
  <si>
    <t>Agriculture and Irrigation</t>
  </si>
  <si>
    <t>Seniors, Community and Social Services</t>
  </si>
  <si>
    <t>Environment and Protected Areas</t>
  </si>
  <si>
    <t>Justice</t>
  </si>
  <si>
    <t>Mental Health and Addiction</t>
  </si>
  <si>
    <t>Public Safety and Emergency Services</t>
  </si>
  <si>
    <t>Service Alberta and Red Tape Reduction</t>
  </si>
  <si>
    <t>Technology and Innovation</t>
  </si>
  <si>
    <t>Transportation and Economic Corridors</t>
  </si>
  <si>
    <t>Early learning child care agreements</t>
  </si>
  <si>
    <t>Public Safety and Emergency Services – wildfire / flood support</t>
  </si>
  <si>
    <t>Inventory consumption (excluding SUCH sector; non-cash expense)</t>
  </si>
  <si>
    <t xml:space="preserve">Inventory acquisition (excluding SUCH sector; non-cash expense) </t>
  </si>
  <si>
    <t>Amortization (excluding SUCH sector; non-cash expense)</t>
  </si>
  <si>
    <t xml:space="preserve">P3 principal repayments </t>
  </si>
  <si>
    <t>Net borrowing / principal repay. / amort. issue costs</t>
  </si>
  <si>
    <t>Borrowing for the Fiscal Plan</t>
  </si>
  <si>
    <t>Total Taxpayer-supported Debt - Capital Projects / Fiscal Plan</t>
  </si>
  <si>
    <t>Direct borrowing required</t>
  </si>
  <si>
    <t>Taxpayer-supported general / pre-1992 TPP debt</t>
  </si>
  <si>
    <t>Capital / non-financial assets</t>
  </si>
  <si>
    <t>Taxpayer-supported debt servicing costs</t>
  </si>
  <si>
    <t>Total Program Expense</t>
  </si>
  <si>
    <t>Expense before contingency</t>
  </si>
  <si>
    <t>Surplus / (deficit) before contingency</t>
  </si>
  <si>
    <t>Affordability and Utilities – Alberta Utilities Commission</t>
  </si>
  <si>
    <t>Agriculture and Irrigation – Agriculture Financial Services Corporation</t>
  </si>
  <si>
    <t>Environment and Protected Areas – Natural Resources Conservation Board</t>
  </si>
  <si>
    <t>Public Safety and Emergency Services – Victims of Crime and Public Safety Fund</t>
  </si>
  <si>
    <t>Technology and Innovation – Alberta Enterprise Corporation</t>
  </si>
  <si>
    <t>Technology and Innovation – Alberta Innovates Corporation</t>
  </si>
  <si>
    <t>Taxpayer-supported debt</t>
  </si>
  <si>
    <t xml:space="preserve">Annual Debt Maturities </t>
  </si>
  <si>
    <t>Total Annual Debt Maturities</t>
  </si>
  <si>
    <t>Short-term debt maturities</t>
  </si>
  <si>
    <t>Long-term debt maturities</t>
  </si>
  <si>
    <t>2026-27</t>
  </si>
  <si>
    <t>2027-28</t>
  </si>
  <si>
    <t>Other (includes Fiscal Stabilization payment in 2023-24)</t>
  </si>
  <si>
    <t>Contingency (voted in TBF)</t>
  </si>
  <si>
    <t>Primary Agriculture</t>
  </si>
  <si>
    <t>Rural programming and Agricultural Societies</t>
  </si>
  <si>
    <t>Arts, Culture, and Status of Women</t>
  </si>
  <si>
    <t>Children and Family Services</t>
  </si>
  <si>
    <t>Energy and Minerals</t>
  </si>
  <si>
    <t>Forestry and Parks</t>
  </si>
  <si>
    <t>Immigration and Multiculturalism</t>
  </si>
  <si>
    <t>Jobs, Economy and Trade</t>
  </si>
  <si>
    <t>Tourism and Sport</t>
  </si>
  <si>
    <t>Energy and Minerals – Alberta Energy Regulator</t>
  </si>
  <si>
    <t>2027</t>
  </si>
  <si>
    <t>Arts, Culture and Status of Women</t>
  </si>
  <si>
    <t>Disaster and Emergency Assistance</t>
  </si>
  <si>
    <t>Agriculture and Irrigation – agriculture support</t>
  </si>
  <si>
    <t>Forestry and Parks - wildfire fighting</t>
  </si>
  <si>
    <t>Health - wildfire supports</t>
  </si>
  <si>
    <t>Seniors, Community and Social Services - wildfire supports</t>
  </si>
  <si>
    <t>Miscellaneous</t>
  </si>
  <si>
    <t>Education property tax</t>
  </si>
  <si>
    <t>Non-cash adjustments</t>
  </si>
  <si>
    <t>Cash received / assets donated / book value of disposals</t>
  </si>
  <si>
    <t>Retained income of funds and agencies</t>
  </si>
  <si>
    <t>Total Cash Adjustments</t>
  </si>
  <si>
    <t>Disaster and emergency assistance</t>
  </si>
  <si>
    <t>Contingency (forecast un-allocated)</t>
  </si>
  <si>
    <t>Total Disaster and Emergency Assistance Expense</t>
  </si>
  <si>
    <t>Fuel tax / electric vehicle tax</t>
  </si>
  <si>
    <t>ATB Financial dividend</t>
  </si>
  <si>
    <t>General Revenue Fund cash</t>
  </si>
  <si>
    <t>Alberta Fund</t>
  </si>
  <si>
    <t>Asset retirement obligations</t>
  </si>
  <si>
    <t>Net Assets - operating</t>
  </si>
  <si>
    <t>Accumulated remeasurement gains</t>
  </si>
  <si>
    <t>Alberta Fund Allocation</t>
  </si>
  <si>
    <t>Allocation:</t>
  </si>
  <si>
    <t>Total allocation</t>
  </si>
  <si>
    <t>Change in Net Assets - statement of operations (before adjustments)</t>
  </si>
  <si>
    <t>Accumulated remeasurement gains / losses at the beginning of the year</t>
  </si>
  <si>
    <t>Adjustments to remeasurement gains and losses</t>
  </si>
  <si>
    <t>Net - Operating assets at end of year</t>
  </si>
  <si>
    <t>Alberta Fund at start of year</t>
  </si>
  <si>
    <t>Surplus cash added to Alberta Fund</t>
  </si>
  <si>
    <t>Total Alberta Fund available for allocation</t>
  </si>
  <si>
    <t>Heritage Fund</t>
  </si>
  <si>
    <t>Alberta Fund Unallocated</t>
  </si>
  <si>
    <t>Less: Taxpayer-supported debt repayment</t>
  </si>
  <si>
    <t>Less: Allocation to Alberta Fund</t>
  </si>
  <si>
    <t>Prepaid</t>
  </si>
  <si>
    <t>Inventory</t>
  </si>
  <si>
    <t>Total capital and inventory assets</t>
  </si>
  <si>
    <t>Executive Council – Invest Alberta Corporation</t>
  </si>
  <si>
    <t>Tourism and Sport – Travel Alberta Corporation</t>
  </si>
  <si>
    <t>Cash at start of year / Alberta Fund</t>
  </si>
  <si>
    <t>Alberta Fund allocation - Heritage Fund</t>
  </si>
  <si>
    <t>Debt repayment</t>
  </si>
  <si>
    <t>Support for Sport, Phys. Activity and Recreat.</t>
  </si>
  <si>
    <t>International Qualification Assessment Services</t>
  </si>
  <si>
    <t>General revenue fund cash / direct borrowing</t>
  </si>
  <si>
    <t>Subtotal borrowing requirements</t>
  </si>
  <si>
    <t>Borrowing for future debt requirement</t>
  </si>
  <si>
    <t>General Revenue Fund cash - debt retirement</t>
  </si>
  <si>
    <t>pdf named: B25_FP_TBS_17_aolfr2.pdf</t>
  </si>
  <si>
    <t>Update pdf named from B24 to B25</t>
  </si>
  <si>
    <t>Done</t>
  </si>
  <si>
    <t>Compare all tables to Q2 versions to ensure changes &amp; updates are captured.</t>
  </si>
  <si>
    <t>Need to Do for B2025</t>
  </si>
  <si>
    <t>Add red variance checks</t>
  </si>
  <si>
    <t>Allocation of 2025-26 net gaming / lottery revenue</t>
  </si>
  <si>
    <t>Total 2025-26 Expense</t>
  </si>
  <si>
    <t>Update column headers - all tables (using Find All - Replace. Don't use Replace All as this might affect footnotes and row names)</t>
  </si>
  <si>
    <t>Remove any +1 /-1 from sum formulas</t>
  </si>
  <si>
    <t>Variance Check</t>
  </si>
  <si>
    <t>Mental Health and Addiction - Canadian Centre of Recovery Excellence</t>
  </si>
  <si>
    <t>Park Operations</t>
  </si>
  <si>
    <t>Update with B2025 numbers</t>
  </si>
  <si>
    <t>Municipal Affairs - wildfire support</t>
  </si>
  <si>
    <t>2028</t>
  </si>
  <si>
    <t>Summary st of Ops was a linked table, replaced by hard code copy</t>
  </si>
  <si>
    <t xml:space="preserve"> (millions of dollars)</t>
  </si>
  <si>
    <r>
      <t>Borrowing Sources</t>
    </r>
    <r>
      <rPr>
        <b/>
        <vertAlign val="superscript"/>
        <sz val="12"/>
        <rFont val="Arial"/>
        <family val="2"/>
      </rPr>
      <t>a</t>
    </r>
  </si>
  <si>
    <r>
      <t>Estimate</t>
    </r>
    <r>
      <rPr>
        <b/>
        <vertAlign val="superscript"/>
        <sz val="8"/>
        <color rgb="FF000000"/>
        <rFont val="Arial"/>
        <family val="2"/>
      </rPr>
      <t>a</t>
    </r>
  </si>
  <si>
    <r>
      <t>Self-supported debt</t>
    </r>
    <r>
      <rPr>
        <vertAlign val="superscript"/>
        <sz val="8"/>
        <rFont val="Arial"/>
        <family val="2"/>
      </rPr>
      <t>b</t>
    </r>
  </si>
  <si>
    <t>formula</t>
  </si>
  <si>
    <t>Licensed Institutions Inspection and Change Fees</t>
  </si>
  <si>
    <t xml:space="preserve">$200 - $2000 </t>
  </si>
  <si>
    <t>STP Apprenticeship and Training Fees - per application/exam</t>
  </si>
  <si>
    <t>$0 - $60</t>
  </si>
  <si>
    <t>Private Career College Application and Annual Licence Fees</t>
  </si>
  <si>
    <t>Licensed and New Schools Program Application</t>
  </si>
  <si>
    <t xml:space="preserve">$100 - $300 </t>
  </si>
  <si>
    <t xml:space="preserve">$250 - $500 </t>
  </si>
  <si>
    <t>New School Registration Fee</t>
  </si>
  <si>
    <t>Fee Per Program</t>
  </si>
  <si>
    <t>Fee Per Institution - Annual Tuition Revenue under $300,000 - per year</t>
  </si>
  <si>
    <r>
      <t xml:space="preserve">$800 </t>
    </r>
    <r>
      <rPr>
        <vertAlign val="superscript"/>
        <sz val="8"/>
        <rFont val="Arial"/>
        <family val="2"/>
      </rPr>
      <t>a</t>
    </r>
  </si>
  <si>
    <t>Fee Per Institution - Annual Tuition Revenue from $300,000 to $1 million - per year</t>
  </si>
  <si>
    <t>Fee Per Institution - Annual Tuition Revenue from $1 million to $5 million - per year</t>
  </si>
  <si>
    <t>Fee Per Institution - Annual Tuition Revenue over $5 million - per year</t>
  </si>
  <si>
    <r>
      <rPr>
        <i/>
        <sz val="8"/>
        <rFont val="Arial"/>
        <family val="2"/>
      </rPr>
      <t>Historical Resources Act</t>
    </r>
    <r>
      <rPr>
        <sz val="8"/>
        <rFont val="Arial"/>
        <family val="2"/>
      </rPr>
      <t xml:space="preserve"> Regulatory Fee - per application</t>
    </r>
  </si>
  <si>
    <t xml:space="preserve">$375 - $750 </t>
  </si>
  <si>
    <t>Bow Habitat Station Fee</t>
  </si>
  <si>
    <t xml:space="preserve">variable rate </t>
  </si>
  <si>
    <r>
      <rPr>
        <i/>
        <sz val="8"/>
        <rFont val="Arial"/>
        <family val="2"/>
      </rPr>
      <t xml:space="preserve">Wildlife Act </t>
    </r>
    <r>
      <rPr>
        <sz val="8"/>
        <rFont val="Arial"/>
        <family val="2"/>
      </rPr>
      <t>&amp; Regulation Modernization</t>
    </r>
  </si>
  <si>
    <t>Wildlife Responder Application Fee - Grizzly Bear</t>
  </si>
  <si>
    <t>Wildlife Responder Application Fee - Elk</t>
  </si>
  <si>
    <t xml:space="preserve">Black Bear Partner License Fee </t>
  </si>
  <si>
    <t xml:space="preserve">Rush Service Fee </t>
  </si>
  <si>
    <t xml:space="preserve">Educational Program Pre-Assessment Fee </t>
  </si>
  <si>
    <t xml:space="preserve">Administration Fee </t>
  </si>
  <si>
    <t>Court Fees - per claim/application/search</t>
  </si>
  <si>
    <t xml:space="preserve">$10 - $250 </t>
  </si>
  <si>
    <t xml:space="preserve">$25 - $300 </t>
  </si>
  <si>
    <t>Official Documents and Appointments Service Charges - per appointment/document</t>
  </si>
  <si>
    <t xml:space="preserve">$10 - $75 </t>
  </si>
  <si>
    <t xml:space="preserve">$25 - $100 </t>
  </si>
  <si>
    <t>Transcript Management Services Fees</t>
  </si>
  <si>
    <t>Copies of Court Audio Recordings</t>
  </si>
  <si>
    <t>Appeal Record Preparation</t>
  </si>
  <si>
    <t xml:space="preserve">variable per page </t>
  </si>
  <si>
    <t xml:space="preserve">$40 per hour </t>
  </si>
  <si>
    <t>Fire Investigation and Inspection Services</t>
  </si>
  <si>
    <t>Land and Property Rights Tribunal Certification Training</t>
  </si>
  <si>
    <t>Accreditation and Certification Services</t>
  </si>
  <si>
    <t>Security Services and Investigator Fees  - per license/application</t>
  </si>
  <si>
    <t xml:space="preserve">$50 - $1,000 </t>
  </si>
  <si>
    <t xml:space="preserve">$63 - $1,274 </t>
  </si>
  <si>
    <t>Licencing and Registration Fees for Businesses and Charities</t>
  </si>
  <si>
    <t xml:space="preserve">30% increase </t>
  </si>
  <si>
    <t>Corporate Registries Fees</t>
  </si>
  <si>
    <t xml:space="preserve">$25 - $275 </t>
  </si>
  <si>
    <t xml:space="preserve">3% increase </t>
  </si>
  <si>
    <t>Motor Vehicles Fees</t>
  </si>
  <si>
    <t xml:space="preserve">$15 - $80 </t>
  </si>
  <si>
    <t xml:space="preserve">$16 - $85 </t>
  </si>
  <si>
    <t>Motor Vehicle Accident Claims Fee</t>
  </si>
  <si>
    <t>Credit Union Deposit Guarantee Corporation - late regulatory filing fee</t>
  </si>
  <si>
    <t xml:space="preserve">$100 - $1,000 </t>
  </si>
  <si>
    <t>Updated Feb 12, 2025</t>
  </si>
  <si>
    <t>Public Lands Rents &amp; Royalties</t>
  </si>
  <si>
    <t>Rental Rates - Non-Agriculture Public Lands Dispositions</t>
  </si>
  <si>
    <t xml:space="preserve">15% increase </t>
  </si>
  <si>
    <t>Surface Materials Royalties</t>
  </si>
  <si>
    <t xml:space="preserve">10% increase </t>
  </si>
  <si>
    <t>Rent Formula for Industrial Work Camps</t>
  </si>
  <si>
    <t>Rental Calculation Methodology for Farm Development Leases (FDLs)</t>
  </si>
  <si>
    <t>row hidden, but included due to rounding issues.</t>
  </si>
  <si>
    <r>
      <t>Budget</t>
    </r>
    <r>
      <rPr>
        <b/>
        <vertAlign val="superscript"/>
        <sz val="8"/>
        <color rgb="FF000000"/>
        <rFont val="Arial"/>
        <family val="2"/>
      </rPr>
      <t>a</t>
    </r>
  </si>
  <si>
    <r>
      <t>Surplus cash (cash at start of year + surplus +/- net 
cash adjustments)</t>
    </r>
    <r>
      <rPr>
        <b/>
        <vertAlign val="superscript"/>
        <sz val="8"/>
        <rFont val="Arial"/>
        <family val="2"/>
      </rPr>
      <t>b</t>
    </r>
  </si>
  <si>
    <t>Statement of Financial Position</t>
  </si>
  <si>
    <t>Health – Primary Care</t>
  </si>
  <si>
    <t>Mental Health and Addiction - Recovery Alberta</t>
  </si>
  <si>
    <r>
      <t xml:space="preserve">Historical Fiscal Summary, 2013-14 to 2027-28 </t>
    </r>
    <r>
      <rPr>
        <b/>
        <vertAlign val="superscript"/>
        <sz val="10"/>
        <color theme="1"/>
        <rFont val="Arial"/>
        <family val="2"/>
      </rPr>
      <t>a</t>
    </r>
    <r>
      <rPr>
        <b/>
        <sz val="10"/>
        <color theme="1"/>
        <rFont val="Arial"/>
        <family val="2"/>
      </rPr>
      <t> </t>
    </r>
  </si>
  <si>
    <t>Permit Fees (static)</t>
  </si>
  <si>
    <t>$15 - 300</t>
  </si>
  <si>
    <t>$18.75 - 375</t>
  </si>
  <si>
    <t>Single Trip Overweight Fee (per km / tonne)</t>
  </si>
  <si>
    <t>$0.03 - 1.58</t>
  </si>
  <si>
    <t>$0.04 - 1.98</t>
  </si>
  <si>
    <t>Annual Overweight Fee (fee per month - kg)</t>
  </si>
  <si>
    <t>$1.75 - 140</t>
  </si>
  <si>
    <t>$2.19 - 175</t>
  </si>
  <si>
    <r>
      <t>revised calculation</t>
    </r>
    <r>
      <rPr>
        <vertAlign val="superscript"/>
        <sz val="8"/>
        <rFont val="Arial"/>
        <family val="2"/>
      </rPr>
      <t xml:space="preserve"> b</t>
    </r>
  </si>
  <si>
    <t>rate introduced</t>
  </si>
  <si>
    <t>$10 using search fee</t>
  </si>
  <si>
    <t>$25 for first day, $10 for additional days</t>
  </si>
  <si>
    <t>2 Business Days to 30 Calendar Days</t>
  </si>
  <si>
    <t>$0.0040/character - $0.0072/character</t>
  </si>
  <si>
    <t>$0.0048/character - $0.0078/character</t>
  </si>
  <si>
    <r>
      <t xml:space="preserve">Justice </t>
    </r>
    <r>
      <rPr>
        <b/>
        <vertAlign val="superscript"/>
        <sz val="8"/>
        <rFont val="Arial"/>
        <family val="2"/>
      </rPr>
      <t>c</t>
    </r>
  </si>
  <si>
    <r>
      <t xml:space="preserve">Service Alberta and Red Tape Reduction </t>
    </r>
    <r>
      <rPr>
        <b/>
        <vertAlign val="superscript"/>
        <sz val="8"/>
        <rFont val="Arial"/>
        <family val="2"/>
      </rPr>
      <t>c</t>
    </r>
  </si>
  <si>
    <t>Health – Alberta Health Services</t>
  </si>
  <si>
    <t>Alberta Advantage Immigration Program - Application Fee</t>
  </si>
  <si>
    <t>Cash requirement adjustment</t>
  </si>
  <si>
    <r>
      <t>Cash adjustments</t>
    </r>
    <r>
      <rPr>
        <sz val="8"/>
        <rFont val="Arial"/>
        <family val="2"/>
      </rPr>
      <t xml:space="preserve"> (for details, see table on page 149)</t>
    </r>
  </si>
  <si>
    <t>This document contains information licensed under the</t>
  </si>
  <si>
    <t>Open Government Licence –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</si>
</sst>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%"/>
    <numFmt numFmtId="167" formatCode="0.0_);\(0.0\)"/>
    <numFmt numFmtId="168" formatCode="_(* #,##0_);_(* \(#,##0\);_(* &quot;-&quot;??_);_(@_)"/>
    <numFmt numFmtId="169" formatCode="_(* #,##0.0_);_(* \(#,##0.0\);_(* &quot;-&quot;??_);_(@_)"/>
    <numFmt numFmtId="170" formatCode="_(* #,##0.00_);_(* \(#,##0.00\);_(* &quot;-&quot;_);_(@_)"/>
    <numFmt numFmtId="171" formatCode="_(* #,##0_);_(* \(#,##0\);_(* &quot;-&quot;?_);_(@_)"/>
    <numFmt numFmtId="172" formatCode="_-* #,##0_-;\-* #,##0_-;_-* &quot;-&quot;??_-;_-@_-"/>
  </numFmts>
  <fonts count="49"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color rgb="FFC0000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u/>
      <sz val="8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vertAlign val="superscript"/>
      <sz val="12"/>
      <name val="Arial"/>
      <family val="2"/>
    </font>
    <font>
      <sz val="8"/>
      <color rgb="FF000000"/>
      <name val="Arial"/>
      <family val="2"/>
    </font>
    <font>
      <b/>
      <sz val="10"/>
      <color rgb="FFFF0000"/>
      <name val="Arial"/>
      <family val="2"/>
    </font>
    <font>
      <sz val="9"/>
      <name val="MyriaMM_400 RG 600 NO"/>
      <family val="2"/>
    </font>
    <font>
      <sz val="8"/>
      <color indexed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b/>
      <sz val="7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1"/>
      <name val="Arial Narrow"/>
      <family val="2"/>
    </font>
    <font>
      <b/>
      <u/>
      <sz val="9"/>
      <color theme="1"/>
      <name val="Arial Narrow"/>
      <family val="2"/>
    </font>
    <font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vertAlign val="superscript"/>
      <sz val="9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b/>
      <i/>
      <sz val="8"/>
      <color rgb="FF0070C0"/>
      <name val="Arial"/>
      <family val="2"/>
    </font>
    <font>
      <i/>
      <sz val="8"/>
      <color rgb="FFFF0000"/>
      <name val="Arial"/>
      <family val="2"/>
    </font>
    <font>
      <b/>
      <vertAlign val="superscript"/>
      <sz val="8"/>
      <color rgb="FF000000"/>
      <name val="Arial"/>
      <family val="2"/>
    </font>
    <font>
      <sz val="11"/>
      <color theme="1"/>
      <name val="Arial Narrow"/>
      <family val="2"/>
    </font>
    <font>
      <sz val="11"/>
      <color rgb="FF2F75B5"/>
      <name val="Arial Narrow"/>
      <family val="2"/>
    </font>
    <font>
      <b/>
      <vertAlign val="superscript"/>
      <sz val="8"/>
      <name val="Arial"/>
      <family val="2"/>
    </font>
    <font>
      <u/>
      <sz val="9"/>
      <color theme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4.9989318521683403E-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499984740745262"/>
      </top>
      <bottom style="thin">
        <color auto="1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medium">
        <color theme="0" tint="-0.499984740745262"/>
      </bottom>
      <diagonal/>
    </border>
    <border>
      <left/>
      <right style="thin">
        <color theme="0" tint="-4.9989318521683403E-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499984740745262"/>
      </top>
      <bottom/>
      <diagonal/>
    </border>
    <border>
      <left/>
      <right style="thin">
        <color theme="0" tint="-0.14999847407452621"/>
      </right>
      <top/>
      <bottom style="medium">
        <color theme="0" tint="-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</borders>
  <cellStyleXfs count="26">
    <xf numFmtId="0" fontId="0" fillId="0" borderId="0"/>
    <xf numFmtId="0" fontId="11" fillId="0" borderId="0"/>
    <xf numFmtId="43" fontId="3" fillId="0" borderId="0" applyFill="0" applyBorder="0" applyAlignment="0" applyProtection="0"/>
    <xf numFmtId="0" fontId="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3" fillId="0" borderId="0"/>
    <xf numFmtId="0" fontId="3" fillId="0" borderId="0"/>
    <xf numFmtId="0" fontId="13" fillId="0" borderId="0"/>
    <xf numFmtId="0" fontId="23" fillId="0" borderId="0" applyAlignment="0"/>
    <xf numFmtId="43" fontId="13" fillId="0" borderId="0" applyFont="0" applyFill="0" applyBorder="0" applyAlignment="0" applyProtection="0"/>
    <xf numFmtId="43" fontId="3" fillId="0" borderId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667">
    <xf numFmtId="0" fontId="0" fillId="0" borderId="0" xfId="0"/>
    <xf numFmtId="0" fontId="4" fillId="0" borderId="0" xfId="0" applyFont="1" applyAlignment="1">
      <alignment horizontal="left"/>
    </xf>
    <xf numFmtId="41" fontId="5" fillId="0" borderId="0" xfId="0" applyNumberFormat="1" applyFont="1"/>
    <xf numFmtId="0" fontId="6" fillId="0" borderId="0" xfId="0" applyFont="1"/>
    <xf numFmtId="49" fontId="7" fillId="0" borderId="0" xfId="0" applyNumberFormat="1" applyFont="1" applyAlignment="1">
      <alignment horizontal="left"/>
    </xf>
    <xf numFmtId="41" fontId="3" fillId="0" borderId="0" xfId="0" applyNumberFormat="1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41" fontId="10" fillId="2" borderId="0" xfId="0" applyNumberFormat="1" applyFont="1" applyFill="1" applyAlignment="1">
      <alignment horizontal="right" vertical="center"/>
    </xf>
    <xf numFmtId="49" fontId="10" fillId="3" borderId="1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right" vertical="top"/>
    </xf>
    <xf numFmtId="0" fontId="9" fillId="2" borderId="1" xfId="0" applyFont="1" applyFill="1" applyBorder="1" applyAlignment="1">
      <alignment horizontal="right" vertical="top"/>
    </xf>
    <xf numFmtId="49" fontId="10" fillId="3" borderId="0" xfId="0" applyNumberFormat="1" applyFont="1" applyFill="1" applyAlignment="1">
      <alignment horizontal="left" vertical="top"/>
    </xf>
    <xf numFmtId="49" fontId="10" fillId="0" borderId="0" xfId="0" applyNumberFormat="1" applyFont="1" applyAlignment="1">
      <alignment horizontal="right" vertical="center"/>
    </xf>
    <xf numFmtId="49" fontId="10" fillId="0" borderId="2" xfId="0" applyNumberFormat="1" applyFont="1" applyBorder="1" applyAlignment="1">
      <alignment horizontal="right" vertical="center"/>
    </xf>
    <xf numFmtId="41" fontId="5" fillId="2" borderId="0" xfId="0" applyNumberFormat="1" applyFont="1" applyFill="1"/>
    <xf numFmtId="0" fontId="10" fillId="0" borderId="0" xfId="1" applyFont="1" applyAlignment="1">
      <alignment horizontal="left" vertical="center"/>
    </xf>
    <xf numFmtId="41" fontId="8" fillId="0" borderId="0" xfId="0" applyNumberFormat="1" applyFont="1" applyAlignment="1">
      <alignment vertical="center"/>
    </xf>
    <xf numFmtId="41" fontId="10" fillId="2" borderId="0" xfId="0" applyNumberFormat="1" applyFont="1" applyFill="1" applyAlignment="1">
      <alignment vertical="center"/>
    </xf>
    <xf numFmtId="0" fontId="8" fillId="0" borderId="0" xfId="1" applyFont="1" applyAlignment="1">
      <alignment horizontal="left" vertical="center" indent="1"/>
    </xf>
    <xf numFmtId="41" fontId="8" fillId="0" borderId="1" xfId="0" applyNumberFormat="1" applyFont="1" applyBorder="1" applyAlignment="1">
      <alignment vertical="center"/>
    </xf>
    <xf numFmtId="0" fontId="10" fillId="0" borderId="3" xfId="1" applyFont="1" applyBorder="1" applyAlignment="1">
      <alignment horizontal="left" vertical="center"/>
    </xf>
    <xf numFmtId="41" fontId="10" fillId="0" borderId="0" xfId="0" applyNumberFormat="1" applyFont="1" applyAlignment="1">
      <alignment vertical="center"/>
    </xf>
    <xf numFmtId="41" fontId="10" fillId="2" borderId="0" xfId="0" applyNumberFormat="1" applyFont="1" applyFill="1"/>
    <xf numFmtId="41" fontId="8" fillId="2" borderId="0" xfId="0" applyNumberFormat="1" applyFont="1" applyFill="1" applyAlignment="1">
      <alignment vertical="center"/>
    </xf>
    <xf numFmtId="0" fontId="8" fillId="0" borderId="0" xfId="1" applyFont="1" applyAlignment="1">
      <alignment horizontal="left" vertical="center"/>
    </xf>
    <xf numFmtId="41" fontId="8" fillId="0" borderId="3" xfId="0" applyNumberFormat="1" applyFont="1" applyBorder="1" applyAlignment="1">
      <alignment vertical="center"/>
    </xf>
    <xf numFmtId="41" fontId="10" fillId="2" borderId="3" xfId="0" applyNumberFormat="1" applyFont="1" applyFill="1" applyBorder="1" applyAlignment="1">
      <alignment vertical="center"/>
    </xf>
    <xf numFmtId="41" fontId="10" fillId="0" borderId="3" xfId="0" applyNumberFormat="1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41" fontId="10" fillId="0" borderId="4" xfId="0" applyNumberFormat="1" applyFont="1" applyBorder="1" applyAlignment="1">
      <alignment vertical="center"/>
    </xf>
    <xf numFmtId="41" fontId="10" fillId="2" borderId="4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41" fontId="10" fillId="3" borderId="0" xfId="0" applyNumberFormat="1" applyFont="1" applyFill="1" applyAlignment="1">
      <alignment vertical="center"/>
    </xf>
    <xf numFmtId="0" fontId="8" fillId="0" borderId="0" xfId="0" applyFont="1" applyAlignment="1">
      <alignment horizontal="left" vertical="center"/>
    </xf>
    <xf numFmtId="41" fontId="0" fillId="0" borderId="0" xfId="0" applyNumberFormat="1"/>
    <xf numFmtId="49" fontId="4" fillId="0" borderId="0" xfId="0" applyNumberFormat="1" applyFont="1" applyAlignment="1">
      <alignment horizontal="left"/>
    </xf>
    <xf numFmtId="41" fontId="10" fillId="0" borderId="0" xfId="0" applyNumberFormat="1" applyFont="1"/>
    <xf numFmtId="41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9" fillId="2" borderId="0" xfId="0" applyFont="1" applyFill="1" applyAlignment="1">
      <alignment horizontal="right" vertical="top"/>
    </xf>
    <xf numFmtId="0" fontId="9" fillId="0" borderId="0" xfId="0" applyFont="1" applyAlignment="1">
      <alignment horizontal="right" vertical="top"/>
    </xf>
    <xf numFmtId="41" fontId="8" fillId="0" borderId="0" xfId="2" applyNumberFormat="1" applyFont="1" applyAlignment="1">
      <alignment vertical="center"/>
    </xf>
    <xf numFmtId="41" fontId="10" fillId="2" borderId="0" xfId="2" applyNumberFormat="1" applyFont="1" applyFill="1" applyAlignment="1">
      <alignment vertical="center"/>
    </xf>
    <xf numFmtId="0" fontId="10" fillId="0" borderId="0" xfId="0" applyFont="1" applyAlignment="1">
      <alignment horizontal="left"/>
    </xf>
    <xf numFmtId="41" fontId="10" fillId="0" borderId="5" xfId="0" applyNumberFormat="1" applyFont="1" applyBorder="1" applyAlignment="1">
      <alignment vertical="center"/>
    </xf>
    <xf numFmtId="41" fontId="10" fillId="2" borderId="5" xfId="0" applyNumberFormat="1" applyFont="1" applyFill="1" applyBorder="1" applyAlignment="1">
      <alignment vertical="center"/>
    </xf>
    <xf numFmtId="41" fontId="8" fillId="0" borderId="0" xfId="2" applyNumberFormat="1" applyFont="1" applyBorder="1" applyAlignment="1">
      <alignment vertical="center"/>
    </xf>
    <xf numFmtId="41" fontId="10" fillId="2" borderId="0" xfId="2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41" fontId="10" fillId="0" borderId="4" xfId="2" applyNumberFormat="1" applyFont="1" applyFill="1" applyBorder="1" applyAlignment="1">
      <alignment vertical="center"/>
    </xf>
    <xf numFmtId="0" fontId="5" fillId="2" borderId="0" xfId="0" applyFont="1" applyFill="1"/>
    <xf numFmtId="0" fontId="10" fillId="0" borderId="1" xfId="0" applyFont="1" applyBorder="1" applyAlignment="1">
      <alignment horizontal="left" vertical="center"/>
    </xf>
    <xf numFmtId="41" fontId="10" fillId="0" borderId="1" xfId="0" applyNumberFormat="1" applyFont="1" applyBorder="1" applyAlignment="1">
      <alignment vertical="center"/>
    </xf>
    <xf numFmtId="41" fontId="10" fillId="2" borderId="1" xfId="0" applyNumberFormat="1" applyFont="1" applyFill="1" applyBorder="1" applyAlignment="1">
      <alignment vertical="center"/>
    </xf>
    <xf numFmtId="41" fontId="0" fillId="2" borderId="0" xfId="0" applyNumberFormat="1" applyFill="1"/>
    <xf numFmtId="0" fontId="10" fillId="0" borderId="6" xfId="0" applyFont="1" applyBorder="1" applyAlignment="1">
      <alignment horizontal="left" vertical="center"/>
    </xf>
    <xf numFmtId="0" fontId="8" fillId="3" borderId="0" xfId="3" applyFont="1" applyFill="1" applyAlignment="1">
      <alignment vertical="center"/>
    </xf>
    <xf numFmtId="0" fontId="4" fillId="3" borderId="0" xfId="3" applyFont="1" applyFill="1"/>
    <xf numFmtId="41" fontId="8" fillId="3" borderId="0" xfId="3" applyNumberFormat="1" applyFont="1" applyFill="1" applyAlignment="1">
      <alignment vertical="center"/>
    </xf>
    <xf numFmtId="41" fontId="10" fillId="3" borderId="0" xfId="3" applyNumberFormat="1" applyFont="1" applyFill="1" applyAlignment="1">
      <alignment horizontal="right" vertical="center"/>
    </xf>
    <xf numFmtId="0" fontId="8" fillId="3" borderId="0" xfId="3" applyFont="1" applyFill="1" applyAlignment="1">
      <alignment horizontal="right" vertical="center"/>
    </xf>
    <xf numFmtId="0" fontId="7" fillId="3" borderId="0" xfId="3" applyFont="1" applyFill="1"/>
    <xf numFmtId="41" fontId="8" fillId="3" borderId="0" xfId="3" applyNumberFormat="1" applyFont="1" applyFill="1" applyAlignment="1">
      <alignment horizontal="right" vertical="center"/>
    </xf>
    <xf numFmtId="49" fontId="10" fillId="3" borderId="0" xfId="3" applyNumberFormat="1" applyFont="1" applyFill="1" applyAlignment="1">
      <alignment horizontal="right" vertical="center"/>
    </xf>
    <xf numFmtId="0" fontId="15" fillId="3" borderId="1" xfId="3" applyFont="1" applyFill="1" applyBorder="1" applyAlignment="1">
      <alignment vertical="top"/>
    </xf>
    <xf numFmtId="49" fontId="10" fillId="3" borderId="0" xfId="3" applyNumberFormat="1" applyFont="1" applyFill="1" applyAlignment="1">
      <alignment horizontal="right" vertical="top"/>
    </xf>
    <xf numFmtId="49" fontId="8" fillId="3" borderId="0" xfId="3" applyNumberFormat="1" applyFont="1" applyFill="1" applyAlignment="1">
      <alignment horizontal="right" vertical="center"/>
    </xf>
    <xf numFmtId="41" fontId="10" fillId="0" borderId="0" xfId="2" applyNumberFormat="1" applyFont="1" applyFill="1" applyBorder="1" applyAlignment="1">
      <alignment vertical="center"/>
    </xf>
    <xf numFmtId="49" fontId="10" fillId="2" borderId="0" xfId="3" applyNumberFormat="1" applyFont="1" applyFill="1" applyAlignment="1">
      <alignment horizontal="right" vertical="center"/>
    </xf>
    <xf numFmtId="0" fontId="10" fillId="3" borderId="0" xfId="3" applyFont="1" applyFill="1" applyAlignment="1">
      <alignment horizontal="left"/>
    </xf>
    <xf numFmtId="41" fontId="10" fillId="3" borderId="1" xfId="3" applyNumberFormat="1" applyFont="1" applyFill="1" applyBorder="1"/>
    <xf numFmtId="41" fontId="10" fillId="2" borderId="1" xfId="3" applyNumberFormat="1" applyFont="1" applyFill="1" applyBorder="1"/>
    <xf numFmtId="0" fontId="10" fillId="3" borderId="0" xfId="3" applyFont="1" applyFill="1"/>
    <xf numFmtId="41" fontId="10" fillId="3" borderId="0" xfId="2" applyNumberFormat="1" applyFont="1" applyFill="1" applyBorder="1" applyAlignment="1"/>
    <xf numFmtId="41" fontId="10" fillId="0" borderId="0" xfId="2" applyNumberFormat="1" applyFont="1" applyFill="1" applyBorder="1" applyAlignment="1"/>
    <xf numFmtId="41" fontId="10" fillId="2" borderId="0" xfId="3" applyNumberFormat="1" applyFont="1" applyFill="1"/>
    <xf numFmtId="41" fontId="10" fillId="3" borderId="0" xfId="3" applyNumberFormat="1" applyFont="1" applyFill="1"/>
    <xf numFmtId="0" fontId="8" fillId="3" borderId="0" xfId="3" applyFont="1" applyFill="1" applyAlignment="1">
      <alignment horizontal="left" indent="1"/>
    </xf>
    <xf numFmtId="41" fontId="8" fillId="3" borderId="0" xfId="3" applyNumberFormat="1" applyFont="1" applyFill="1"/>
    <xf numFmtId="41" fontId="8" fillId="0" borderId="0" xfId="3" applyNumberFormat="1" applyFont="1"/>
    <xf numFmtId="0" fontId="8" fillId="3" borderId="7" xfId="3" applyFont="1" applyFill="1" applyBorder="1" applyAlignment="1">
      <alignment horizontal="left" indent="2"/>
    </xf>
    <xf numFmtId="167" fontId="7" fillId="0" borderId="8" xfId="5" applyNumberFormat="1" applyFont="1" applyFill="1" applyBorder="1" applyAlignment="1"/>
    <xf numFmtId="167" fontId="7" fillId="0" borderId="9" xfId="5" applyNumberFormat="1" applyFont="1" applyFill="1" applyBorder="1" applyAlignment="1"/>
    <xf numFmtId="167" fontId="16" fillId="2" borderId="9" xfId="5" applyNumberFormat="1" applyFont="1" applyFill="1" applyBorder="1" applyAlignment="1"/>
    <xf numFmtId="167" fontId="7" fillId="0" borderId="10" xfId="5" applyNumberFormat="1" applyFont="1" applyFill="1" applyBorder="1" applyAlignment="1"/>
    <xf numFmtId="0" fontId="8" fillId="3" borderId="0" xfId="3" applyFont="1" applyFill="1"/>
    <xf numFmtId="41" fontId="8" fillId="0" borderId="0" xfId="2" applyNumberFormat="1" applyFont="1" applyFill="1" applyBorder="1" applyAlignment="1"/>
    <xf numFmtId="41" fontId="10" fillId="2" borderId="0" xfId="2" applyNumberFormat="1" applyFont="1" applyFill="1" applyBorder="1" applyAlignment="1"/>
    <xf numFmtId="41" fontId="8" fillId="0" borderId="0" xfId="3" applyNumberFormat="1" applyFont="1" applyAlignment="1">
      <alignment vertical="center"/>
    </xf>
    <xf numFmtId="41" fontId="10" fillId="2" borderId="0" xfId="3" applyNumberFormat="1" applyFont="1" applyFill="1" applyAlignment="1">
      <alignment vertical="center"/>
    </xf>
    <xf numFmtId="0" fontId="10" fillId="3" borderId="0" xfId="3" applyFont="1" applyFill="1" applyAlignment="1">
      <alignment horizontal="left" vertical="center"/>
    </xf>
    <xf numFmtId="41" fontId="10" fillId="0" borderId="0" xfId="3" applyNumberFormat="1" applyFont="1" applyAlignment="1">
      <alignment vertical="center"/>
    </xf>
    <xf numFmtId="41" fontId="10" fillId="0" borderId="5" xfId="3" applyNumberFormat="1" applyFont="1" applyBorder="1" applyAlignment="1">
      <alignment vertical="center"/>
    </xf>
    <xf numFmtId="41" fontId="10" fillId="2" borderId="5" xfId="3" applyNumberFormat="1" applyFont="1" applyFill="1" applyBorder="1" applyAlignment="1">
      <alignment vertical="center"/>
    </xf>
    <xf numFmtId="0" fontId="8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left" vertical="center"/>
    </xf>
    <xf numFmtId="41" fontId="10" fillId="3" borderId="6" xfId="3" applyNumberFormat="1" applyFont="1" applyFill="1" applyBorder="1" applyAlignment="1">
      <alignment vertical="center"/>
    </xf>
    <xf numFmtId="41" fontId="10" fillId="2" borderId="6" xfId="3" applyNumberFormat="1" applyFont="1" applyFill="1" applyBorder="1" applyAlignment="1">
      <alignment vertical="center"/>
    </xf>
    <xf numFmtId="41" fontId="10" fillId="3" borderId="0" xfId="3" applyNumberFormat="1" applyFont="1" applyFill="1" applyAlignment="1">
      <alignment vertical="center"/>
    </xf>
    <xf numFmtId="0" fontId="8" fillId="3" borderId="1" xfId="3" applyFont="1" applyFill="1" applyBorder="1" applyAlignment="1">
      <alignment vertical="center"/>
    </xf>
    <xf numFmtId="0" fontId="14" fillId="3" borderId="1" xfId="3" applyFont="1" applyFill="1" applyBorder="1" applyAlignment="1">
      <alignment horizontal="left" vertical="center"/>
    </xf>
    <xf numFmtId="41" fontId="4" fillId="3" borderId="1" xfId="3" applyNumberFormat="1" applyFont="1" applyFill="1" applyBorder="1" applyAlignment="1">
      <alignment horizontal="left" vertical="center"/>
    </xf>
    <xf numFmtId="41" fontId="11" fillId="0" borderId="1" xfId="3" applyNumberFormat="1" applyFont="1" applyBorder="1" applyAlignment="1">
      <alignment horizontal="left" vertical="center"/>
    </xf>
    <xf numFmtId="0" fontId="4" fillId="3" borderId="0" xfId="3" applyFont="1" applyFill="1" applyAlignment="1">
      <alignment horizontal="left" vertical="center"/>
    </xf>
    <xf numFmtId="0" fontId="8" fillId="3" borderId="1" xfId="3" applyFont="1" applyFill="1" applyBorder="1" applyAlignment="1">
      <alignment horizontal="left" indent="1"/>
    </xf>
    <xf numFmtId="41" fontId="8" fillId="3" borderId="3" xfId="3" applyNumberFormat="1" applyFont="1" applyFill="1" applyBorder="1" applyAlignment="1">
      <alignment vertical="center"/>
    </xf>
    <xf numFmtId="41" fontId="10" fillId="0" borderId="3" xfId="3" applyNumberFormat="1" applyFont="1" applyBorder="1" applyAlignment="1">
      <alignment vertical="center"/>
    </xf>
    <xf numFmtId="41" fontId="10" fillId="2" borderId="3" xfId="3" applyNumberFormat="1" applyFont="1" applyFill="1" applyBorder="1" applyAlignment="1">
      <alignment vertical="center"/>
    </xf>
    <xf numFmtId="41" fontId="10" fillId="0" borderId="6" xfId="3" applyNumberFormat="1" applyFont="1" applyBorder="1" applyAlignment="1">
      <alignment vertical="center"/>
    </xf>
    <xf numFmtId="49" fontId="10" fillId="3" borderId="0" xfId="3" applyNumberFormat="1" applyFont="1" applyFill="1" applyAlignment="1">
      <alignment horizontal="left"/>
    </xf>
    <xf numFmtId="41" fontId="8" fillId="3" borderId="0" xfId="2" applyNumberFormat="1" applyFont="1" applyFill="1" applyBorder="1" applyAlignment="1"/>
    <xf numFmtId="0" fontId="13" fillId="0" borderId="0" xfId="6"/>
    <xf numFmtId="49" fontId="14" fillId="3" borderId="1" xfId="3" applyNumberFormat="1" applyFont="1" applyFill="1" applyBorder="1" applyAlignment="1">
      <alignment horizontal="left"/>
    </xf>
    <xf numFmtId="41" fontId="10" fillId="3" borderId="0" xfId="2" applyNumberFormat="1" applyFont="1" applyFill="1" applyBorder="1" applyAlignment="1">
      <alignment horizontal="center"/>
    </xf>
    <xf numFmtId="49" fontId="14" fillId="3" borderId="0" xfId="3" applyNumberFormat="1" applyFont="1" applyFill="1" applyAlignment="1">
      <alignment horizontal="left"/>
    </xf>
    <xf numFmtId="41" fontId="10" fillId="0" borderId="0" xfId="2" applyNumberFormat="1" applyFont="1" applyFill="1" applyBorder="1" applyAlignment="1">
      <alignment horizontal="center"/>
    </xf>
    <xf numFmtId="41" fontId="8" fillId="3" borderId="1" xfId="2" applyNumberFormat="1" applyFont="1" applyFill="1" applyBorder="1" applyAlignment="1"/>
    <xf numFmtId="41" fontId="8" fillId="0" borderId="1" xfId="2" applyNumberFormat="1" applyFont="1" applyFill="1" applyBorder="1" applyAlignment="1"/>
    <xf numFmtId="41" fontId="10" fillId="2" borderId="1" xfId="2" applyNumberFormat="1" applyFont="1" applyFill="1" applyBorder="1" applyAlignment="1"/>
    <xf numFmtId="0" fontId="8" fillId="0" borderId="0" xfId="0" applyFont="1" applyAlignment="1">
      <alignment horizontal="left" indent="1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49" fontId="14" fillId="3" borderId="0" xfId="3" applyNumberFormat="1" applyFont="1" applyFill="1" applyAlignment="1">
      <alignment horizontal="left" indent="1"/>
    </xf>
    <xf numFmtId="0" fontId="8" fillId="3" borderId="3" xfId="3" applyFont="1" applyFill="1" applyBorder="1" applyAlignment="1">
      <alignment vertical="center"/>
    </xf>
    <xf numFmtId="49" fontId="14" fillId="3" borderId="3" xfId="3" applyNumberFormat="1" applyFont="1" applyFill="1" applyBorder="1" applyAlignment="1">
      <alignment horizontal="left" indent="1"/>
    </xf>
    <xf numFmtId="0" fontId="9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0" borderId="0" xfId="6" applyFont="1" applyAlignment="1">
      <alignment horizontal="left" vertical="center"/>
    </xf>
    <xf numFmtId="41" fontId="10" fillId="0" borderId="0" xfId="7" applyNumberFormat="1" applyFont="1" applyAlignment="1">
      <alignment vertical="center"/>
    </xf>
    <xf numFmtId="41" fontId="10" fillId="0" borderId="0" xfId="2" applyNumberFormat="1" applyFont="1" applyFill="1" applyBorder="1" applyAlignment="1">
      <alignment horizontal="right" vertical="center"/>
    </xf>
    <xf numFmtId="41" fontId="10" fillId="2" borderId="0" xfId="7" applyNumberFormat="1" applyFont="1" applyFill="1" applyAlignment="1">
      <alignment vertical="center"/>
    </xf>
    <xf numFmtId="41" fontId="8" fillId="0" borderId="0" xfId="7" applyNumberFormat="1" applyFont="1" applyAlignment="1">
      <alignment vertical="center"/>
    </xf>
    <xf numFmtId="49" fontId="8" fillId="0" borderId="0" xfId="7" applyNumberFormat="1" applyFont="1" applyAlignment="1">
      <alignment horizontal="left"/>
    </xf>
    <xf numFmtId="41" fontId="8" fillId="0" borderId="0" xfId="2" applyNumberFormat="1" applyFont="1" applyFill="1" applyAlignment="1">
      <alignment horizontal="right" vertical="center"/>
    </xf>
    <xf numFmtId="41" fontId="8" fillId="0" borderId="0" xfId="2" applyNumberFormat="1" applyFont="1" applyFill="1" applyBorder="1" applyAlignment="1">
      <alignment horizontal="right" vertical="center"/>
    </xf>
    <xf numFmtId="41" fontId="10" fillId="2" borderId="0" xfId="2" applyNumberFormat="1" applyFont="1" applyFill="1" applyAlignment="1">
      <alignment horizontal="right" vertical="center"/>
    </xf>
    <xf numFmtId="41" fontId="8" fillId="0" borderId="0" xfId="2" applyNumberFormat="1" applyFont="1" applyAlignment="1">
      <alignment horizontal="right" vertical="center"/>
    </xf>
    <xf numFmtId="41" fontId="8" fillId="3" borderId="0" xfId="0" applyNumberFormat="1" applyFont="1" applyFill="1" applyAlignment="1">
      <alignment vertical="center"/>
    </xf>
    <xf numFmtId="0" fontId="10" fillId="0" borderId="5" xfId="6" applyFont="1" applyBorder="1" applyAlignment="1">
      <alignment horizontal="left" vertical="center"/>
    </xf>
    <xf numFmtId="41" fontId="10" fillId="0" borderId="5" xfId="2" applyNumberFormat="1" applyFont="1" applyFill="1" applyBorder="1" applyAlignment="1">
      <alignment horizontal="right" vertical="center"/>
    </xf>
    <xf numFmtId="41" fontId="10" fillId="2" borderId="5" xfId="2" applyNumberFormat="1" applyFont="1" applyFill="1" applyBorder="1" applyAlignment="1">
      <alignment horizontal="right" vertical="center"/>
    </xf>
    <xf numFmtId="41" fontId="10" fillId="0" borderId="5" xfId="2" applyNumberFormat="1" applyFont="1" applyBorder="1" applyAlignment="1">
      <alignment horizontal="right" vertical="center"/>
    </xf>
    <xf numFmtId="41" fontId="10" fillId="0" borderId="0" xfId="6" applyNumberFormat="1" applyFont="1" applyAlignment="1">
      <alignment horizontal="right" vertical="center"/>
    </xf>
    <xf numFmtId="41" fontId="8" fillId="0" borderId="0" xfId="6" applyNumberFormat="1" applyFont="1" applyAlignment="1">
      <alignment horizontal="right" vertical="center"/>
    </xf>
    <xf numFmtId="41" fontId="10" fillId="2" borderId="0" xfId="6" applyNumberFormat="1" applyFont="1" applyFill="1" applyAlignment="1">
      <alignment horizontal="right" vertical="center"/>
    </xf>
    <xf numFmtId="41" fontId="10" fillId="2" borderId="0" xfId="6" applyNumberFormat="1" applyFont="1" applyFill="1" applyAlignment="1">
      <alignment vertical="center"/>
    </xf>
    <xf numFmtId="41" fontId="8" fillId="0" borderId="0" xfId="6" applyNumberFormat="1" applyFont="1" applyAlignment="1">
      <alignment vertical="center"/>
    </xf>
    <xf numFmtId="41" fontId="8" fillId="3" borderId="0" xfId="2" applyNumberFormat="1" applyFont="1" applyFill="1" applyAlignment="1"/>
    <xf numFmtId="41" fontId="10" fillId="2" borderId="0" xfId="2" applyNumberFormat="1" applyFont="1" applyFill="1" applyAlignment="1"/>
    <xf numFmtId="0" fontId="8" fillId="0" borderId="0" xfId="6" applyFont="1" applyAlignment="1">
      <alignment horizontal="left" vertical="center"/>
    </xf>
    <xf numFmtId="41" fontId="10" fillId="2" borderId="0" xfId="2" applyNumberFormat="1" applyFont="1" applyFill="1" applyBorder="1" applyAlignment="1">
      <alignment horizontal="right" vertical="center"/>
    </xf>
    <xf numFmtId="41" fontId="10" fillId="0" borderId="0" xfId="2" applyNumberFormat="1" applyFont="1" applyBorder="1" applyAlignment="1">
      <alignment horizontal="right" vertical="center"/>
    </xf>
    <xf numFmtId="0" fontId="10" fillId="0" borderId="6" xfId="6" applyFont="1" applyBorder="1" applyAlignment="1">
      <alignment horizontal="left" vertical="center"/>
    </xf>
    <xf numFmtId="41" fontId="10" fillId="0" borderId="6" xfId="2" applyNumberFormat="1" applyFont="1" applyBorder="1" applyAlignment="1">
      <alignment horizontal="right" vertical="center"/>
    </xf>
    <xf numFmtId="41" fontId="10" fillId="0" borderId="6" xfId="2" applyNumberFormat="1" applyFont="1" applyFill="1" applyBorder="1" applyAlignment="1">
      <alignment horizontal="right" vertical="center"/>
    </xf>
    <xf numFmtId="41" fontId="10" fillId="2" borderId="6" xfId="2" applyNumberFormat="1" applyFont="1" applyFill="1" applyBorder="1" applyAlignment="1">
      <alignment horizontal="right" vertical="center"/>
    </xf>
    <xf numFmtId="0" fontId="8" fillId="3" borderId="0" xfId="3" applyFont="1" applyFill="1" applyAlignment="1">
      <alignment horizontal="left"/>
    </xf>
    <xf numFmtId="49" fontId="4" fillId="0" borderId="0" xfId="7" applyNumberFormat="1" applyFont="1" applyAlignment="1">
      <alignment horizontal="left"/>
    </xf>
    <xf numFmtId="49" fontId="8" fillId="0" borderId="0" xfId="3" applyNumberFormat="1" applyFont="1" applyAlignment="1">
      <alignment horizontal="left" vertical="center" indent="1"/>
    </xf>
    <xf numFmtId="0" fontId="10" fillId="0" borderId="0" xfId="0" applyFont="1" applyAlignment="1">
      <alignment horizontal="right" vertical="center"/>
    </xf>
    <xf numFmtId="41" fontId="8" fillId="0" borderId="0" xfId="2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0" fillId="3" borderId="0" xfId="0" applyFill="1"/>
    <xf numFmtId="0" fontId="8" fillId="0" borderId="0" xfId="0" applyFont="1" applyAlignment="1">
      <alignment horizontal="left" indent="2"/>
    </xf>
    <xf numFmtId="41" fontId="0" fillId="3" borderId="0" xfId="0" applyNumberFormat="1" applyFill="1"/>
    <xf numFmtId="41" fontId="8" fillId="0" borderId="0" xfId="2" applyNumberFormat="1" applyFont="1" applyFill="1" applyBorder="1" applyAlignment="1">
      <alignment vertical="center"/>
    </xf>
    <xf numFmtId="41" fontId="10" fillId="0" borderId="4" xfId="2" applyNumberFormat="1" applyFont="1" applyBorder="1" applyAlignment="1">
      <alignment vertical="center"/>
    </xf>
    <xf numFmtId="41" fontId="10" fillId="2" borderId="4" xfId="2" applyNumberFormat="1" applyFont="1" applyFill="1" applyBorder="1" applyAlignment="1">
      <alignment vertical="center"/>
    </xf>
    <xf numFmtId="0" fontId="1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49" fontId="8" fillId="0" borderId="0" xfId="0" applyNumberFormat="1" applyFont="1" applyAlignment="1">
      <alignment horizontal="left" indent="2"/>
    </xf>
    <xf numFmtId="49" fontId="8" fillId="0" borderId="0" xfId="0" applyNumberFormat="1" applyFont="1" applyAlignment="1">
      <alignment horizontal="right" indent="2"/>
    </xf>
    <xf numFmtId="41" fontId="8" fillId="0" borderId="5" xfId="2" applyNumberFormat="1" applyFont="1" applyBorder="1" applyAlignment="1">
      <alignment vertical="center"/>
    </xf>
    <xf numFmtId="41" fontId="8" fillId="0" borderId="5" xfId="2" applyNumberFormat="1" applyFont="1" applyFill="1" applyBorder="1" applyAlignment="1">
      <alignment vertical="center"/>
    </xf>
    <xf numFmtId="41" fontId="10" fillId="2" borderId="5" xfId="2" applyNumberFormat="1" applyFont="1" applyFill="1" applyBorder="1" applyAlignment="1">
      <alignment vertical="center"/>
    </xf>
    <xf numFmtId="0" fontId="17" fillId="0" borderId="0" xfId="0" applyFont="1" applyAlignment="1">
      <alignment horizontal="left" indent="1"/>
    </xf>
    <xf numFmtId="41" fontId="8" fillId="3" borderId="0" xfId="0" applyNumberFormat="1" applyFont="1" applyFill="1"/>
    <xf numFmtId="0" fontId="8" fillId="0" borderId="0" xfId="0" applyFont="1" applyAlignment="1">
      <alignment horizontal="right" indent="2"/>
    </xf>
    <xf numFmtId="41" fontId="8" fillId="0" borderId="0" xfId="2" applyNumberFormat="1" applyFont="1" applyFill="1" applyAlignment="1">
      <alignment horizontal="left" vertical="center" indent="1"/>
    </xf>
    <xf numFmtId="41" fontId="10" fillId="2" borderId="0" xfId="2" applyNumberFormat="1" applyFont="1" applyFill="1" applyAlignment="1">
      <alignment horizontal="left" vertical="center" indent="1"/>
    </xf>
    <xf numFmtId="41" fontId="8" fillId="0" borderId="1" xfId="2" applyNumberFormat="1" applyFont="1" applyBorder="1" applyAlignment="1">
      <alignment vertical="center"/>
    </xf>
    <xf numFmtId="41" fontId="8" fillId="0" borderId="1" xfId="2" applyNumberFormat="1" applyFont="1" applyFill="1" applyBorder="1" applyAlignment="1">
      <alignment vertical="center"/>
    </xf>
    <xf numFmtId="41" fontId="10" fillId="2" borderId="1" xfId="2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0" fontId="0" fillId="2" borderId="3" xfId="0" applyFill="1" applyBorder="1"/>
    <xf numFmtId="0" fontId="0" fillId="0" borderId="3" xfId="0" applyBorder="1"/>
    <xf numFmtId="41" fontId="8" fillId="0" borderId="2" xfId="0" applyNumberFormat="1" applyFont="1" applyBorder="1"/>
    <xf numFmtId="0" fontId="8" fillId="0" borderId="1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41" fontId="10" fillId="3" borderId="11" xfId="8" applyNumberFormat="1" applyFont="1" applyFill="1" applyBorder="1" applyAlignment="1">
      <alignment horizontal="left" vertical="center"/>
    </xf>
    <xf numFmtId="41" fontId="10" fillId="2" borderId="11" xfId="0" applyNumberFormat="1" applyFont="1" applyFill="1" applyBorder="1" applyAlignment="1">
      <alignment vertical="center"/>
    </xf>
    <xf numFmtId="41" fontId="10" fillId="0" borderId="11" xfId="0" applyNumberFormat="1" applyFont="1" applyBorder="1" applyAlignment="1">
      <alignment vertical="center"/>
    </xf>
    <xf numFmtId="0" fontId="5" fillId="0" borderId="0" xfId="0" applyFont="1"/>
    <xf numFmtId="0" fontId="7" fillId="0" borderId="0" xfId="0" applyFont="1"/>
    <xf numFmtId="41" fontId="8" fillId="3" borderId="1" xfId="0" applyNumberFormat="1" applyFont="1" applyFill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41" fontId="10" fillId="3" borderId="4" xfId="8" applyNumberFormat="1" applyFont="1" applyFill="1" applyBorder="1" applyAlignment="1">
      <alignment horizontal="left" vertical="center"/>
    </xf>
    <xf numFmtId="41" fontId="10" fillId="3" borderId="4" xfId="0" applyNumberFormat="1" applyFont="1" applyFill="1" applyBorder="1" applyAlignment="1">
      <alignment vertical="center"/>
    </xf>
    <xf numFmtId="0" fontId="8" fillId="0" borderId="0" xfId="1" applyFont="1" applyAlignment="1">
      <alignment horizontal="left" indent="1"/>
    </xf>
    <xf numFmtId="0" fontId="10" fillId="0" borderId="1" xfId="1" applyFont="1" applyBorder="1" applyAlignment="1">
      <alignment horizontal="left" vertical="center"/>
    </xf>
    <xf numFmtId="0" fontId="10" fillId="0" borderId="0" xfId="1" applyFont="1" applyAlignment="1">
      <alignment horizontal="left"/>
    </xf>
    <xf numFmtId="41" fontId="10" fillId="0" borderId="0" xfId="1" applyNumberFormat="1" applyFont="1" applyAlignment="1">
      <alignment vertical="center"/>
    </xf>
    <xf numFmtId="41" fontId="10" fillId="0" borderId="0" xfId="0" applyNumberFormat="1" applyFont="1" applyAlignment="1">
      <alignment horizontal="left"/>
    </xf>
    <xf numFmtId="41" fontId="8" fillId="0" borderId="0" xfId="2" applyNumberFormat="1" applyFont="1" applyFill="1" applyAlignment="1"/>
    <xf numFmtId="0" fontId="8" fillId="0" borderId="0" xfId="9" applyFont="1" applyAlignment="1">
      <alignment horizontal="left" indent="1"/>
    </xf>
    <xf numFmtId="0" fontId="10" fillId="0" borderId="5" xfId="3" applyFont="1" applyBorder="1" applyAlignment="1">
      <alignment horizontal="left" vertical="center"/>
    </xf>
    <xf numFmtId="41" fontId="10" fillId="0" borderId="5" xfId="3" applyNumberFormat="1" applyFont="1" applyBorder="1" applyAlignment="1">
      <alignment horizontal="left" vertical="center"/>
    </xf>
    <xf numFmtId="41" fontId="10" fillId="2" borderId="5" xfId="3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indent="1"/>
    </xf>
    <xf numFmtId="0" fontId="10" fillId="0" borderId="5" xfId="0" applyFont="1" applyBorder="1" applyAlignment="1">
      <alignment horizontal="left" vertical="center"/>
    </xf>
    <xf numFmtId="41" fontId="10" fillId="0" borderId="5" xfId="2" applyNumberFormat="1" applyFont="1" applyFill="1" applyBorder="1" applyAlignment="1"/>
    <xf numFmtId="41" fontId="10" fillId="2" borderId="5" xfId="2" applyNumberFormat="1" applyFont="1" applyFill="1" applyBorder="1" applyAlignment="1"/>
    <xf numFmtId="0" fontId="8" fillId="0" borderId="1" xfId="0" applyFont="1" applyBorder="1" applyAlignment="1">
      <alignment horizontal="left"/>
    </xf>
    <xf numFmtId="41" fontId="10" fillId="0" borderId="5" xfId="0" applyNumberFormat="1" applyFont="1" applyBorder="1" applyAlignment="1">
      <alignment horizontal="left" vertical="center"/>
    </xf>
    <xf numFmtId="41" fontId="10" fillId="0" borderId="4" xfId="0" applyNumberFormat="1" applyFont="1" applyBorder="1" applyAlignment="1">
      <alignment horizontal="left" vertical="center"/>
    </xf>
    <xf numFmtId="41" fontId="10" fillId="2" borderId="4" xfId="0" applyNumberFormat="1" applyFont="1" applyFill="1" applyBorder="1" applyAlignment="1">
      <alignment horizontal="left" vertical="center"/>
    </xf>
    <xf numFmtId="0" fontId="8" fillId="0" borderId="0" xfId="3" applyFont="1"/>
    <xf numFmtId="0" fontId="8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right" vertical="top"/>
    </xf>
    <xf numFmtId="0" fontId="10" fillId="2" borderId="0" xfId="0" applyFont="1" applyFill="1" applyAlignment="1">
      <alignment horizontal="right" vertical="center"/>
    </xf>
    <xf numFmtId="0" fontId="10" fillId="0" borderId="0" xfId="0" applyFont="1" applyAlignment="1">
      <alignment horizontal="left" wrapText="1"/>
    </xf>
    <xf numFmtId="0" fontId="0" fillId="0" borderId="0" xfId="0" applyAlignment="1">
      <alignment horizontal="left" indent="1"/>
    </xf>
    <xf numFmtId="41" fontId="8" fillId="0" borderId="0" xfId="0" applyNumberFormat="1" applyFont="1" applyAlignment="1">
      <alignment horizontal="left" indent="1"/>
    </xf>
    <xf numFmtId="0" fontId="10" fillId="0" borderId="0" xfId="0" applyFont="1" applyAlignment="1">
      <alignment horizontal="right"/>
    </xf>
    <xf numFmtId="41" fontId="10" fillId="0" borderId="3" xfId="0" applyNumberFormat="1" applyFont="1" applyBorder="1"/>
    <xf numFmtId="41" fontId="10" fillId="2" borderId="3" xfId="0" applyNumberFormat="1" applyFont="1" applyFill="1" applyBorder="1"/>
    <xf numFmtId="41" fontId="10" fillId="2" borderId="1" xfId="0" applyNumberFormat="1" applyFont="1" applyFill="1" applyBorder="1"/>
    <xf numFmtId="41" fontId="8" fillId="3" borderId="1" xfId="0" applyNumberFormat="1" applyFont="1" applyFill="1" applyBorder="1"/>
    <xf numFmtId="0" fontId="18" fillId="0" borderId="0" xfId="0" applyFont="1" applyAlignment="1">
      <alignment horizontal="right"/>
    </xf>
    <xf numFmtId="41" fontId="10" fillId="3" borderId="3" xfId="8" applyNumberFormat="1" applyFont="1" applyFill="1" applyBorder="1"/>
    <xf numFmtId="41" fontId="10" fillId="2" borderId="3" xfId="8" applyNumberFormat="1" applyFont="1" applyFill="1" applyBorder="1"/>
    <xf numFmtId="41" fontId="10" fillId="3" borderId="0" xfId="8" applyNumberFormat="1" applyFont="1" applyFill="1"/>
    <xf numFmtId="41" fontId="10" fillId="2" borderId="0" xfId="8" applyNumberFormat="1" applyFont="1" applyFill="1"/>
    <xf numFmtId="0" fontId="10" fillId="0" borderId="1" xfId="0" applyFont="1" applyBorder="1" applyAlignment="1">
      <alignment horizontal="right" wrapText="1"/>
    </xf>
    <xf numFmtId="41" fontId="10" fillId="3" borderId="5" xfId="8" applyNumberFormat="1" applyFont="1" applyFill="1" applyBorder="1"/>
    <xf numFmtId="41" fontId="10" fillId="0" borderId="5" xfId="8" applyNumberFormat="1" applyFont="1" applyBorder="1"/>
    <xf numFmtId="41" fontId="10" fillId="2" borderId="5" xfId="8" applyNumberFormat="1" applyFont="1" applyFill="1" applyBorder="1"/>
    <xf numFmtId="0" fontId="18" fillId="0" borderId="0" xfId="0" applyFont="1" applyAlignment="1">
      <alignment horizontal="left" vertical="center"/>
    </xf>
    <xf numFmtId="41" fontId="10" fillId="0" borderId="4" xfId="0" applyNumberFormat="1" applyFont="1" applyBorder="1"/>
    <xf numFmtId="41" fontId="10" fillId="2" borderId="4" xfId="0" applyNumberFormat="1" applyFont="1" applyFill="1" applyBorder="1"/>
    <xf numFmtId="0" fontId="4" fillId="0" borderId="0" xfId="3" applyFont="1" applyAlignment="1">
      <alignment horizontal="left"/>
    </xf>
    <xf numFmtId="0" fontId="8" fillId="0" borderId="0" xfId="3" applyFont="1" applyAlignment="1">
      <alignment horizontal="left"/>
    </xf>
    <xf numFmtId="0" fontId="8" fillId="0" borderId="0" xfId="3" applyFont="1" applyAlignment="1">
      <alignment horizontal="right" vertical="center"/>
    </xf>
    <xf numFmtId="0" fontId="10" fillId="0" borderId="0" xfId="0" applyFont="1"/>
    <xf numFmtId="0" fontId="10" fillId="2" borderId="0" xfId="3" applyFont="1" applyFill="1"/>
    <xf numFmtId="0" fontId="8" fillId="0" borderId="0" xfId="9" applyFont="1" applyAlignment="1">
      <alignment horizontal="left"/>
    </xf>
    <xf numFmtId="0" fontId="8" fillId="0" borderId="0" xfId="3" applyFont="1" applyAlignment="1">
      <alignment vertical="center"/>
    </xf>
    <xf numFmtId="0" fontId="8" fillId="0" borderId="0" xfId="9" applyFont="1"/>
    <xf numFmtId="41" fontId="10" fillId="0" borderId="0" xfId="3" applyNumberFormat="1" applyFont="1" applyAlignment="1">
      <alignment horizontal="right" vertical="center"/>
    </xf>
    <xf numFmtId="0" fontId="10" fillId="0" borderId="4" xfId="3" applyFont="1" applyBorder="1" applyAlignment="1">
      <alignment horizontal="left" vertical="center"/>
    </xf>
    <xf numFmtId="169" fontId="8" fillId="0" borderId="0" xfId="0" applyNumberFormat="1" applyFont="1"/>
    <xf numFmtId="0" fontId="4" fillId="3" borderId="0" xfId="8" applyFont="1" applyFill="1" applyAlignment="1">
      <alignment horizontal="left"/>
    </xf>
    <xf numFmtId="0" fontId="8" fillId="3" borderId="0" xfId="8" applyFont="1" applyFill="1" applyAlignment="1">
      <alignment horizontal="left"/>
    </xf>
    <xf numFmtId="0" fontId="12" fillId="0" borderId="0" xfId="3" applyFont="1"/>
    <xf numFmtId="49" fontId="10" fillId="0" borderId="1" xfId="0" applyNumberFormat="1" applyFont="1" applyBorder="1" applyAlignment="1">
      <alignment horizontal="right" vertical="center"/>
    </xf>
    <xf numFmtId="0" fontId="8" fillId="3" borderId="0" xfId="8" applyFont="1" applyFill="1"/>
    <xf numFmtId="0" fontId="10" fillId="3" borderId="4" xfId="8" applyFont="1" applyFill="1" applyBorder="1" applyAlignment="1">
      <alignment horizontal="left" vertical="center"/>
    </xf>
    <xf numFmtId="41" fontId="10" fillId="0" borderId="4" xfId="8" applyNumberFormat="1" applyFont="1" applyBorder="1" applyAlignment="1">
      <alignment horizontal="left" vertical="center"/>
    </xf>
    <xf numFmtId="41" fontId="10" fillId="2" borderId="4" xfId="8" applyNumberFormat="1" applyFont="1" applyFill="1" applyBorder="1" applyAlignment="1">
      <alignment horizontal="right" vertical="center"/>
    </xf>
    <xf numFmtId="41" fontId="10" fillId="3" borderId="4" xfId="8" applyNumberFormat="1" applyFont="1" applyFill="1" applyBorder="1" applyAlignment="1">
      <alignment horizontal="right" vertical="center"/>
    </xf>
    <xf numFmtId="41" fontId="19" fillId="0" borderId="0" xfId="0" applyNumberFormat="1" applyFont="1"/>
    <xf numFmtId="0" fontId="8" fillId="0" borderId="0" xfId="0" applyFont="1" applyAlignment="1">
      <alignment horizontal="right" vertical="top"/>
    </xf>
    <xf numFmtId="41" fontId="8" fillId="3" borderId="0" xfId="2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41" fontId="8" fillId="0" borderId="12" xfId="2" applyNumberFormat="1" applyFont="1" applyBorder="1" applyAlignment="1">
      <alignment vertical="center"/>
    </xf>
    <xf numFmtId="41" fontId="10" fillId="2" borderId="12" xfId="2" applyNumberFormat="1" applyFont="1" applyFill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41" fontId="10" fillId="0" borderId="13" xfId="2" applyNumberFormat="1" applyFont="1" applyBorder="1" applyAlignment="1">
      <alignment vertical="center"/>
    </xf>
    <xf numFmtId="41" fontId="10" fillId="3" borderId="13" xfId="2" applyNumberFormat="1" applyFont="1" applyFill="1" applyBorder="1" applyAlignment="1">
      <alignment vertical="center"/>
    </xf>
    <xf numFmtId="0" fontId="10" fillId="2" borderId="0" xfId="0" applyFont="1" applyFill="1"/>
    <xf numFmtId="41" fontId="8" fillId="0" borderId="0" xfId="2" applyNumberFormat="1" applyFont="1" applyAlignment="1"/>
    <xf numFmtId="0" fontId="0" fillId="0" borderId="0" xfId="0" applyAlignment="1">
      <alignment vertical="center"/>
    </xf>
    <xf numFmtId="0" fontId="4" fillId="0" borderId="0" xfId="10" applyFont="1"/>
    <xf numFmtId="0" fontId="8" fillId="0" borderId="0" xfId="9" applyFont="1" applyAlignment="1">
      <alignment horizontal="left" vertical="center"/>
    </xf>
    <xf numFmtId="41" fontId="8" fillId="0" borderId="0" xfId="9" applyNumberFormat="1" applyFont="1" applyAlignment="1">
      <alignment horizontal="left"/>
    </xf>
    <xf numFmtId="41" fontId="10" fillId="2" borderId="0" xfId="9" applyNumberFormat="1" applyFont="1" applyFill="1" applyAlignment="1">
      <alignment horizontal="left"/>
    </xf>
    <xf numFmtId="41" fontId="10" fillId="0" borderId="14" xfId="2" applyNumberFormat="1" applyFont="1" applyFill="1" applyBorder="1" applyAlignment="1">
      <alignment vertical="center"/>
    </xf>
    <xf numFmtId="41" fontId="8" fillId="0" borderId="0" xfId="9" applyNumberFormat="1" applyFont="1" applyAlignment="1">
      <alignment horizontal="left" vertical="center"/>
    </xf>
    <xf numFmtId="41" fontId="10" fillId="2" borderId="0" xfId="9" applyNumberFormat="1" applyFont="1" applyFill="1" applyAlignment="1">
      <alignment horizontal="left" vertical="center"/>
    </xf>
    <xf numFmtId="0" fontId="9" fillId="2" borderId="3" xfId="0" applyFont="1" applyFill="1" applyBorder="1" applyAlignment="1">
      <alignment horizontal="right" vertical="top"/>
    </xf>
    <xf numFmtId="0" fontId="9" fillId="0" borderId="3" xfId="0" applyFont="1" applyBorder="1" applyAlignment="1">
      <alignment horizontal="right" vertical="top"/>
    </xf>
    <xf numFmtId="49" fontId="8" fillId="0" borderId="0" xfId="7" applyNumberFormat="1" applyFont="1" applyAlignment="1">
      <alignment horizontal="left" vertical="center" indent="1"/>
    </xf>
    <xf numFmtId="41" fontId="10" fillId="0" borderId="4" xfId="8" applyNumberFormat="1" applyFont="1" applyBorder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41" fontId="10" fillId="2" borderId="4" xfId="8" applyNumberFormat="1" applyFont="1" applyFill="1" applyBorder="1" applyAlignment="1">
      <alignment horizontal="left" vertical="center"/>
    </xf>
    <xf numFmtId="41" fontId="10" fillId="3" borderId="0" xfId="8" applyNumberFormat="1" applyFont="1" applyFill="1" applyAlignment="1">
      <alignment horizontal="right" vertical="center"/>
    </xf>
    <xf numFmtId="49" fontId="4" fillId="3" borderId="0" xfId="11" applyNumberFormat="1" applyFont="1" applyFill="1" applyAlignment="1">
      <alignment horizontal="left"/>
    </xf>
    <xf numFmtId="0" fontId="23" fillId="3" borderId="0" xfId="11" applyFill="1"/>
    <xf numFmtId="49" fontId="5" fillId="3" borderId="1" xfId="11" applyNumberFormat="1" applyFont="1" applyFill="1" applyBorder="1" applyAlignment="1">
      <alignment horizontal="left"/>
    </xf>
    <xf numFmtId="41" fontId="8" fillId="3" borderId="0" xfId="12" applyNumberFormat="1" applyFont="1" applyFill="1" applyBorder="1" applyAlignment="1">
      <alignment horizontal="right" vertical="center"/>
    </xf>
    <xf numFmtId="0" fontId="8" fillId="3" borderId="0" xfId="11" applyFont="1" applyFill="1" applyAlignment="1">
      <alignment horizontal="left" vertical="center"/>
    </xf>
    <xf numFmtId="41" fontId="8" fillId="0" borderId="0" xfId="12" applyNumberFormat="1" applyFont="1" applyFill="1" applyBorder="1" applyAlignment="1">
      <alignment horizontal="right" vertical="center"/>
    </xf>
    <xf numFmtId="41" fontId="10" fillId="2" borderId="0" xfId="12" applyNumberFormat="1" applyFont="1" applyFill="1" applyBorder="1" applyAlignment="1">
      <alignment horizontal="right" vertical="center"/>
    </xf>
    <xf numFmtId="41" fontId="10" fillId="0" borderId="0" xfId="12" applyNumberFormat="1" applyFont="1" applyFill="1" applyBorder="1" applyAlignment="1">
      <alignment horizontal="right" vertical="center"/>
    </xf>
    <xf numFmtId="41" fontId="8" fillId="3" borderId="1" xfId="12" applyNumberFormat="1" applyFont="1" applyFill="1" applyBorder="1" applyAlignment="1">
      <alignment horizontal="right" vertical="center"/>
    </xf>
    <xf numFmtId="41" fontId="10" fillId="3" borderId="5" xfId="12" applyNumberFormat="1" applyFont="1" applyFill="1" applyBorder="1" applyAlignment="1">
      <alignment horizontal="left" vertical="center"/>
    </xf>
    <xf numFmtId="41" fontId="10" fillId="0" borderId="5" xfId="12" applyNumberFormat="1" applyFont="1" applyFill="1" applyBorder="1" applyAlignment="1">
      <alignment horizontal="left" vertical="center"/>
    </xf>
    <xf numFmtId="41" fontId="10" fillId="3" borderId="0" xfId="12" applyNumberFormat="1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41" fontId="0" fillId="3" borderId="0" xfId="0" applyNumberFormat="1" applyFill="1" applyAlignment="1">
      <alignment vertical="center"/>
    </xf>
    <xf numFmtId="49" fontId="4" fillId="0" borderId="0" xfId="3" applyNumberFormat="1" applyFont="1" applyAlignment="1">
      <alignment horizontal="left"/>
    </xf>
    <xf numFmtId="41" fontId="10" fillId="0" borderId="0" xfId="3" applyNumberFormat="1" applyFont="1"/>
    <xf numFmtId="49" fontId="7" fillId="0" borderId="0" xfId="3" applyNumberFormat="1" applyFont="1" applyAlignment="1">
      <alignment horizontal="left"/>
    </xf>
    <xf numFmtId="0" fontId="3" fillId="0" borderId="0" xfId="3"/>
    <xf numFmtId="49" fontId="8" fillId="0" borderId="0" xfId="3" applyNumberFormat="1" applyFont="1" applyAlignment="1">
      <alignment horizontal="right" vertical="center"/>
    </xf>
    <xf numFmtId="0" fontId="3" fillId="0" borderId="1" xfId="3" applyBorder="1" applyProtection="1">
      <protection locked="0"/>
    </xf>
    <xf numFmtId="41" fontId="10" fillId="3" borderId="5" xfId="2" applyNumberFormat="1" applyFont="1" applyFill="1" applyBorder="1" applyAlignment="1">
      <alignment vertical="center"/>
    </xf>
    <xf numFmtId="41" fontId="10" fillId="0" borderId="5" xfId="2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1" fontId="10" fillId="3" borderId="0" xfId="0" applyNumberFormat="1" applyFont="1" applyFill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1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left"/>
    </xf>
    <xf numFmtId="41" fontId="8" fillId="0" borderId="0" xfId="2" applyNumberFormat="1" applyFont="1" applyBorder="1" applyAlignment="1"/>
    <xf numFmtId="49" fontId="8" fillId="0" borderId="0" xfId="0" applyNumberFormat="1" applyFont="1" applyAlignment="1">
      <alignment horizontal="left" indent="1"/>
    </xf>
    <xf numFmtId="41" fontId="8" fillId="0" borderId="0" xfId="2" applyNumberFormat="1" applyFont="1" applyFill="1"/>
    <xf numFmtId="41" fontId="8" fillId="0" borderId="0" xfId="2" applyNumberFormat="1" applyFont="1"/>
    <xf numFmtId="41" fontId="8" fillId="3" borderId="0" xfId="2" applyNumberFormat="1" applyFont="1" applyFill="1" applyBorder="1"/>
    <xf numFmtId="41" fontId="10" fillId="2" borderId="0" xfId="2" applyNumberFormat="1" applyFont="1" applyFill="1"/>
    <xf numFmtId="0" fontId="10" fillId="0" borderId="5" xfId="0" applyFont="1" applyBorder="1" applyAlignment="1">
      <alignment vertical="center"/>
    </xf>
    <xf numFmtId="41" fontId="10" fillId="3" borderId="5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41" fontId="10" fillId="3" borderId="0" xfId="0" applyNumberFormat="1" applyFont="1" applyFill="1"/>
    <xf numFmtId="49" fontId="8" fillId="3" borderId="0" xfId="0" applyNumberFormat="1" applyFont="1" applyFill="1" applyAlignment="1">
      <alignment horizontal="left" indent="1"/>
    </xf>
    <xf numFmtId="0" fontId="8" fillId="3" borderId="0" xfId="0" applyFont="1" applyFill="1" applyAlignment="1">
      <alignment horizontal="left" indent="1"/>
    </xf>
    <xf numFmtId="0" fontId="10" fillId="0" borderId="4" xfId="0" applyFont="1" applyBorder="1" applyAlignment="1">
      <alignment vertical="center"/>
    </xf>
    <xf numFmtId="41" fontId="10" fillId="2" borderId="15" xfId="3" applyNumberFormat="1" applyFont="1" applyFill="1" applyBorder="1" applyAlignment="1">
      <alignment horizontal="right" vertical="center"/>
    </xf>
    <xf numFmtId="0" fontId="10" fillId="0" borderId="0" xfId="3" applyFont="1" applyAlignment="1">
      <alignment horizontal="right" vertical="center"/>
    </xf>
    <xf numFmtId="0" fontId="10" fillId="0" borderId="1" xfId="3" applyFont="1" applyBorder="1" applyAlignment="1">
      <alignment horizontal="left"/>
    </xf>
    <xf numFmtId="41" fontId="10" fillId="0" borderId="1" xfId="0" applyNumberFormat="1" applyFont="1" applyBorder="1" applyAlignment="1">
      <alignment horizontal="right" vertical="top"/>
    </xf>
    <xf numFmtId="41" fontId="10" fillId="2" borderId="16" xfId="3" applyNumberFormat="1" applyFont="1" applyFill="1" applyBorder="1" applyAlignment="1">
      <alignment horizontal="right" vertical="top"/>
    </xf>
    <xf numFmtId="41" fontId="10" fillId="0" borderId="1" xfId="3" applyNumberFormat="1" applyFont="1" applyBorder="1" applyAlignment="1">
      <alignment horizontal="right" vertical="top"/>
    </xf>
    <xf numFmtId="0" fontId="10" fillId="0" borderId="0" xfId="3" applyFont="1" applyAlignment="1">
      <alignment horizontal="left"/>
    </xf>
    <xf numFmtId="41" fontId="10" fillId="0" borderId="0" xfId="0" applyNumberFormat="1" applyFont="1" applyAlignment="1">
      <alignment horizontal="right" vertical="center"/>
    </xf>
    <xf numFmtId="41" fontId="10" fillId="2" borderId="17" xfId="2" applyNumberFormat="1" applyFont="1" applyFill="1" applyBorder="1" applyAlignment="1">
      <alignment vertical="center"/>
    </xf>
    <xf numFmtId="0" fontId="10" fillId="0" borderId="0" xfId="3" applyFont="1" applyAlignment="1">
      <alignment horizontal="left" vertical="center"/>
    </xf>
    <xf numFmtId="41" fontId="10" fillId="2" borderId="15" xfId="2" applyNumberFormat="1" applyFont="1" applyFill="1" applyBorder="1" applyAlignment="1">
      <alignment vertical="center"/>
    </xf>
    <xf numFmtId="0" fontId="8" fillId="0" borderId="1" xfId="9" applyFont="1" applyBorder="1" applyAlignment="1">
      <alignment horizontal="left" indent="1"/>
    </xf>
    <xf numFmtId="0" fontId="8" fillId="0" borderId="3" xfId="3" applyFont="1" applyBorder="1" applyAlignment="1">
      <alignment horizontal="left" vertical="center" indent="1"/>
    </xf>
    <xf numFmtId="41" fontId="8" fillId="0" borderId="3" xfId="2" applyNumberFormat="1" applyFont="1" applyBorder="1" applyAlignment="1">
      <alignment vertical="center"/>
    </xf>
    <xf numFmtId="41" fontId="10" fillId="2" borderId="18" xfId="3" applyNumberFormat="1" applyFont="1" applyFill="1" applyBorder="1" applyAlignment="1">
      <alignment horizontal="right" vertical="center"/>
    </xf>
    <xf numFmtId="0" fontId="10" fillId="0" borderId="6" xfId="3" applyFont="1" applyBorder="1" applyAlignment="1">
      <alignment horizontal="left" vertical="center"/>
    </xf>
    <xf numFmtId="41" fontId="10" fillId="3" borderId="6" xfId="12" applyNumberFormat="1" applyFont="1" applyFill="1" applyBorder="1" applyAlignment="1">
      <alignment horizontal="left" vertical="center"/>
    </xf>
    <xf numFmtId="41" fontId="10" fillId="2" borderId="19" xfId="2" applyNumberFormat="1" applyFont="1" applyFill="1" applyBorder="1" applyAlignment="1">
      <alignment vertical="center"/>
    </xf>
    <xf numFmtId="0" fontId="10" fillId="0" borderId="0" xfId="3" applyFont="1" applyAlignment="1">
      <alignment vertical="center"/>
    </xf>
    <xf numFmtId="41" fontId="8" fillId="0" borderId="0" xfId="0" applyNumberFormat="1" applyFont="1" applyAlignment="1">
      <alignment horizontal="right"/>
    </xf>
    <xf numFmtId="41" fontId="8" fillId="0" borderId="0" xfId="2" applyNumberFormat="1" applyFont="1" applyBorder="1" applyAlignment="1">
      <alignment horizontal="right" vertical="center"/>
    </xf>
    <xf numFmtId="0" fontId="5" fillId="0" borderId="20" xfId="2" applyNumberFormat="1" applyFont="1" applyBorder="1" applyAlignment="1">
      <alignment horizontal="left"/>
    </xf>
    <xf numFmtId="168" fontId="10" fillId="0" borderId="20" xfId="2" applyNumberFormat="1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0" xfId="2" applyNumberFormat="1" applyFont="1" applyBorder="1" applyAlignment="1">
      <alignment horizontal="left"/>
    </xf>
    <xf numFmtId="168" fontId="10" fillId="0" borderId="0" xfId="2" applyNumberFormat="1" applyFont="1" applyBorder="1" applyAlignment="1"/>
    <xf numFmtId="168" fontId="10" fillId="0" borderId="0" xfId="2" applyNumberFormat="1" applyFont="1" applyBorder="1" applyAlignment="1">
      <alignment vertical="center"/>
    </xf>
    <xf numFmtId="168" fontId="8" fillId="0" borderId="0" xfId="2" applyNumberFormat="1" applyFont="1" applyBorder="1" applyAlignment="1">
      <alignment vertical="center"/>
    </xf>
    <xf numFmtId="49" fontId="8" fillId="0" borderId="0" xfId="0" applyNumberFormat="1" applyFont="1" applyAlignment="1">
      <alignment horizontal="left" vertical="top" indent="1"/>
    </xf>
    <xf numFmtId="0" fontId="10" fillId="0" borderId="6" xfId="0" applyFont="1" applyBorder="1" applyAlignment="1">
      <alignment vertical="center"/>
    </xf>
    <xf numFmtId="168" fontId="8" fillId="0" borderId="0" xfId="2" applyNumberFormat="1" applyFont="1" applyBorder="1" applyAlignment="1">
      <alignment vertical="top"/>
    </xf>
    <xf numFmtId="168" fontId="8" fillId="0" borderId="0" xfId="2" applyNumberFormat="1" applyFont="1" applyAlignment="1">
      <alignment vertical="center"/>
    </xf>
    <xf numFmtId="0" fontId="24" fillId="0" borderId="0" xfId="0" applyFont="1" applyAlignment="1">
      <alignment horizontal="left" indent="1"/>
    </xf>
    <xf numFmtId="0" fontId="25" fillId="0" borderId="0" xfId="0" applyFont="1"/>
    <xf numFmtId="0" fontId="26" fillId="0" borderId="0" xfId="0" applyFont="1"/>
    <xf numFmtId="0" fontId="4" fillId="0" borderId="0" xfId="9" applyFont="1" applyAlignment="1">
      <alignment horizontal="left"/>
    </xf>
    <xf numFmtId="0" fontId="8" fillId="0" borderId="0" xfId="9" applyFont="1" applyAlignment="1">
      <alignment horizontal="right"/>
    </xf>
    <xf numFmtId="0" fontId="10" fillId="0" borderId="0" xfId="9" applyFont="1" applyAlignment="1">
      <alignment horizontal="left" textRotation="90"/>
    </xf>
    <xf numFmtId="0" fontId="8" fillId="2" borderId="0" xfId="9" applyFont="1" applyFill="1" applyAlignment="1">
      <alignment horizontal="right" textRotation="90" wrapText="1"/>
    </xf>
    <xf numFmtId="0" fontId="10" fillId="0" borderId="0" xfId="9" applyFont="1" applyAlignment="1">
      <alignment textRotation="90"/>
    </xf>
    <xf numFmtId="168" fontId="8" fillId="0" borderId="0" xfId="13" applyNumberFormat="1" applyFont="1" applyBorder="1" applyAlignment="1">
      <alignment horizontal="right"/>
    </xf>
    <xf numFmtId="0" fontId="10" fillId="0" borderId="0" xfId="9" applyFont="1" applyAlignment="1">
      <alignment horizontal="right" textRotation="90"/>
    </xf>
    <xf numFmtId="0" fontId="10" fillId="0" borderId="1" xfId="9" applyFont="1" applyBorder="1" applyAlignment="1">
      <alignment horizontal="right" textRotation="90"/>
    </xf>
    <xf numFmtId="0" fontId="10" fillId="0" borderId="20" xfId="9" applyFont="1" applyBorder="1" applyAlignment="1" applyProtection="1">
      <alignment horizontal="right" textRotation="90"/>
      <protection locked="0"/>
    </xf>
    <xf numFmtId="0" fontId="10" fillId="2" borderId="20" xfId="9" applyFont="1" applyFill="1" applyBorder="1" applyAlignment="1">
      <alignment horizontal="right" textRotation="90"/>
    </xf>
    <xf numFmtId="0" fontId="10" fillId="0" borderId="20" xfId="9" applyFont="1" applyBorder="1" applyAlignment="1">
      <alignment horizontal="right" textRotation="90" wrapText="1"/>
    </xf>
    <xf numFmtId="0" fontId="10" fillId="2" borderId="20" xfId="9" applyFont="1" applyFill="1" applyBorder="1" applyAlignment="1">
      <alignment horizontal="right" textRotation="90" wrapText="1"/>
    </xf>
    <xf numFmtId="41" fontId="8" fillId="0" borderId="0" xfId="9" applyNumberFormat="1" applyFont="1"/>
    <xf numFmtId="41" fontId="8" fillId="2" borderId="0" xfId="9" applyNumberFormat="1" applyFont="1" applyFill="1"/>
    <xf numFmtId="41" fontId="10" fillId="0" borderId="0" xfId="9" applyNumberFormat="1" applyFont="1"/>
    <xf numFmtId="0" fontId="8" fillId="0" borderId="20" xfId="9" applyFont="1" applyBorder="1" applyAlignment="1">
      <alignment horizontal="left"/>
    </xf>
    <xf numFmtId="41" fontId="8" fillId="0" borderId="20" xfId="9" applyNumberFormat="1" applyFont="1" applyBorder="1"/>
    <xf numFmtId="41" fontId="8" fillId="2" borderId="20" xfId="9" applyNumberFormat="1" applyFont="1" applyFill="1" applyBorder="1"/>
    <xf numFmtId="0" fontId="10" fillId="0" borderId="22" xfId="9" applyFont="1" applyBorder="1" applyAlignment="1">
      <alignment horizontal="left" vertical="center"/>
    </xf>
    <xf numFmtId="41" fontId="10" fillId="0" borderId="22" xfId="13" applyNumberFormat="1" applyFont="1" applyFill="1" applyBorder="1" applyAlignment="1">
      <alignment horizontal="right" vertical="center"/>
    </xf>
    <xf numFmtId="41" fontId="10" fillId="2" borderId="22" xfId="13" applyNumberFormat="1" applyFont="1" applyFill="1" applyBorder="1" applyAlignment="1">
      <alignment horizontal="right" vertical="center"/>
    </xf>
    <xf numFmtId="41" fontId="8" fillId="0" borderId="0" xfId="13" applyNumberFormat="1" applyFont="1" applyAlignment="1">
      <alignment horizontal="right"/>
    </xf>
    <xf numFmtId="41" fontId="8" fillId="0" borderId="0" xfId="9" applyNumberFormat="1" applyFont="1" applyAlignment="1">
      <alignment horizontal="right"/>
    </xf>
    <xf numFmtId="168" fontId="3" fillId="0" borderId="0" xfId="2" applyNumberFormat="1" applyAlignment="1">
      <alignment horizontal="right"/>
    </xf>
    <xf numFmtId="168" fontId="8" fillId="0" borderId="0" xfId="13" applyNumberFormat="1" applyFont="1" applyAlignment="1">
      <alignment horizontal="right"/>
    </xf>
    <xf numFmtId="0" fontId="10" fillId="0" borderId="20" xfId="9" applyFont="1" applyBorder="1" applyAlignment="1">
      <alignment horizontal="right" textRotation="90"/>
    </xf>
    <xf numFmtId="0" fontId="10" fillId="2" borderId="20" xfId="9" applyFont="1" applyFill="1" applyBorder="1" applyAlignment="1" applyProtection="1">
      <alignment horizontal="right" textRotation="90"/>
      <protection locked="0"/>
    </xf>
    <xf numFmtId="0" fontId="10" fillId="2" borderId="20" xfId="9" applyFont="1" applyFill="1" applyBorder="1" applyAlignment="1">
      <alignment horizontal="center" textRotation="90" wrapText="1"/>
    </xf>
    <xf numFmtId="41" fontId="10" fillId="2" borderId="22" xfId="13" applyNumberFormat="1" applyFont="1" applyFill="1" applyBorder="1" applyAlignment="1">
      <alignment horizontal="right"/>
    </xf>
    <xf numFmtId="41" fontId="10" fillId="0" borderId="22" xfId="13" applyNumberFormat="1" applyFont="1" applyFill="1" applyBorder="1" applyAlignment="1">
      <alignment horizontal="right"/>
    </xf>
    <xf numFmtId="0" fontId="28" fillId="0" borderId="0" xfId="14" applyFont="1"/>
    <xf numFmtId="0" fontId="27" fillId="0" borderId="0" xfId="14"/>
    <xf numFmtId="0" fontId="29" fillId="0" borderId="0" xfId="14" applyFont="1"/>
    <xf numFmtId="0" fontId="27" fillId="0" borderId="0" xfId="14" applyAlignment="1">
      <alignment vertical="top"/>
    </xf>
    <xf numFmtId="0" fontId="18" fillId="3" borderId="1" xfId="14" applyFont="1" applyFill="1" applyBorder="1" applyAlignment="1">
      <alignment vertical="center"/>
    </xf>
    <xf numFmtId="0" fontId="18" fillId="3" borderId="0" xfId="14" applyFont="1" applyFill="1" applyAlignment="1">
      <alignment vertical="center"/>
    </xf>
    <xf numFmtId="0" fontId="18" fillId="3" borderId="0" xfId="14" applyFont="1" applyFill="1" applyAlignment="1">
      <alignment horizontal="right" vertical="center"/>
    </xf>
    <xf numFmtId="0" fontId="10" fillId="3" borderId="0" xfId="9" applyFont="1" applyFill="1" applyAlignment="1">
      <alignment horizontal="left"/>
    </xf>
    <xf numFmtId="5" fontId="8" fillId="0" borderId="0" xfId="0" applyNumberFormat="1" applyFont="1" applyAlignment="1">
      <alignment horizontal="right"/>
    </xf>
    <xf numFmtId="5" fontId="8" fillId="0" borderId="0" xfId="0" applyNumberFormat="1" applyFont="1"/>
    <xf numFmtId="5" fontId="8" fillId="0" borderId="0" xfId="0" applyNumberFormat="1" applyFont="1" applyAlignment="1">
      <alignment horizontal="right" vertical="center"/>
    </xf>
    <xf numFmtId="0" fontId="27" fillId="0" borderId="0" xfId="16"/>
    <xf numFmtId="0" fontId="29" fillId="0" borderId="0" xfId="16" applyFont="1"/>
    <xf numFmtId="0" fontId="32" fillId="0" borderId="0" xfId="16" applyFont="1"/>
    <xf numFmtId="0" fontId="18" fillId="0" borderId="0" xfId="16" applyFont="1"/>
    <xf numFmtId="0" fontId="34" fillId="0" borderId="0" xfId="16" applyFont="1"/>
    <xf numFmtId="0" fontId="36" fillId="0" borderId="0" xfId="16" applyFont="1"/>
    <xf numFmtId="0" fontId="35" fillId="0" borderId="0" xfId="16" applyFont="1"/>
    <xf numFmtId="0" fontId="37" fillId="0" borderId="0" xfId="16" applyFont="1" applyAlignment="1">
      <alignment horizontal="right"/>
    </xf>
    <xf numFmtId="0" fontId="37" fillId="0" borderId="0" xfId="16" applyFont="1"/>
    <xf numFmtId="0" fontId="37" fillId="0" borderId="1" xfId="16" applyFont="1" applyBorder="1" applyAlignment="1">
      <alignment horizontal="right"/>
    </xf>
    <xf numFmtId="0" fontId="37" fillId="0" borderId="1" xfId="16" applyFont="1" applyBorder="1"/>
    <xf numFmtId="0" fontId="37" fillId="0" borderId="3" xfId="16" applyFont="1" applyBorder="1" applyAlignment="1">
      <alignment horizontal="right"/>
    </xf>
    <xf numFmtId="0" fontId="37" fillId="0" borderId="5" xfId="16" applyFont="1" applyBorder="1" applyAlignment="1">
      <alignment horizontal="right" vertical="center"/>
    </xf>
    <xf numFmtId="0" fontId="35" fillId="0" borderId="5" xfId="16" applyFont="1" applyBorder="1" applyAlignment="1">
      <alignment vertical="center"/>
    </xf>
    <xf numFmtId="0" fontId="30" fillId="0" borderId="0" xfId="16" applyFont="1" applyAlignment="1">
      <alignment vertical="center"/>
    </xf>
    <xf numFmtId="0" fontId="37" fillId="0" borderId="4" xfId="16" applyFont="1" applyBorder="1" applyAlignment="1">
      <alignment horizontal="right" vertical="center"/>
    </xf>
    <xf numFmtId="0" fontId="35" fillId="0" borderId="6" xfId="16" applyFont="1" applyBorder="1" applyAlignment="1">
      <alignment vertical="center"/>
    </xf>
    <xf numFmtId="0" fontId="38" fillId="0" borderId="23" xfId="16" applyFont="1" applyBorder="1" applyAlignment="1">
      <alignment vertical="center"/>
    </xf>
    <xf numFmtId="0" fontId="38" fillId="0" borderId="23" xfId="16" applyFont="1" applyBorder="1" applyAlignment="1">
      <alignment horizontal="left" vertical="center"/>
    </xf>
    <xf numFmtId="0" fontId="27" fillId="0" borderId="0" xfId="16" applyAlignment="1">
      <alignment vertical="center"/>
    </xf>
    <xf numFmtId="0" fontId="36" fillId="0" borderId="0" xfId="16" applyFont="1" applyAlignment="1">
      <alignment horizontal="left"/>
    </xf>
    <xf numFmtId="41" fontId="37" fillId="0" borderId="0" xfId="16" applyNumberFormat="1" applyFont="1"/>
    <xf numFmtId="41" fontId="37" fillId="2" borderId="0" xfId="16" applyNumberFormat="1" applyFont="1" applyFill="1"/>
    <xf numFmtId="0" fontId="35" fillId="0" borderId="0" xfId="16" applyFont="1" applyAlignment="1">
      <alignment horizontal="right"/>
    </xf>
    <xf numFmtId="41" fontId="35" fillId="0" borderId="5" xfId="16" applyNumberFormat="1" applyFont="1" applyBorder="1"/>
    <xf numFmtId="41" fontId="35" fillId="2" borderId="5" xfId="16" applyNumberFormat="1" applyFont="1" applyFill="1" applyBorder="1"/>
    <xf numFmtId="0" fontId="35" fillId="0" borderId="5" xfId="16" applyFont="1" applyBorder="1"/>
    <xf numFmtId="0" fontId="37" fillId="0" borderId="6" xfId="16" applyFont="1" applyBorder="1" applyAlignment="1">
      <alignment horizontal="right"/>
    </xf>
    <xf numFmtId="0" fontId="10" fillId="0" borderId="23" xfId="0" applyFont="1" applyBorder="1" applyAlignment="1">
      <alignment horizontal="right" indent="2"/>
    </xf>
    <xf numFmtId="41" fontId="10" fillId="0" borderId="6" xfId="0" applyNumberFormat="1" applyFont="1" applyBorder="1" applyAlignment="1">
      <alignment vertical="center"/>
    </xf>
    <xf numFmtId="0" fontId="29" fillId="0" borderId="0" xfId="9" applyFont="1" applyAlignment="1">
      <alignment horizontal="left"/>
    </xf>
    <xf numFmtId="41" fontId="29" fillId="2" borderId="0" xfId="9" applyNumberFormat="1" applyFont="1" applyFill="1"/>
    <xf numFmtId="41" fontId="29" fillId="0" borderId="0" xfId="9" applyNumberFormat="1" applyFont="1"/>
    <xf numFmtId="41" fontId="29" fillId="0" borderId="0" xfId="2" applyNumberFormat="1" applyFont="1" applyFill="1" applyBorder="1" applyAlignment="1">
      <alignment vertical="center"/>
    </xf>
    <xf numFmtId="41" fontId="18" fillId="2" borderId="0" xfId="9" applyNumberFormat="1" applyFont="1" applyFill="1" applyAlignment="1">
      <alignment horizontal="left" vertical="center"/>
    </xf>
    <xf numFmtId="41" fontId="29" fillId="0" borderId="0" xfId="9" applyNumberFormat="1" applyFont="1" applyAlignment="1">
      <alignment horizontal="left" vertical="center"/>
    </xf>
    <xf numFmtId="41" fontId="21" fillId="0" borderId="0" xfId="0" applyNumberFormat="1" applyFont="1" applyAlignment="1">
      <alignment horizontal="right"/>
    </xf>
    <xf numFmtId="41" fontId="29" fillId="0" borderId="0" xfId="16" applyNumberFormat="1" applyFont="1"/>
    <xf numFmtId="49" fontId="8" fillId="3" borderId="0" xfId="3" applyNumberFormat="1" applyFont="1" applyFill="1" applyAlignment="1">
      <alignment horizontal="left" indent="1"/>
    </xf>
    <xf numFmtId="0" fontId="8" fillId="0" borderId="0" xfId="3" applyFont="1" applyAlignment="1">
      <alignment horizontal="left" vertical="center" indent="1"/>
    </xf>
    <xf numFmtId="0" fontId="8" fillId="3" borderId="0" xfId="0" applyFont="1" applyFill="1"/>
    <xf numFmtId="0" fontId="8" fillId="3" borderId="0" xfId="11" applyFont="1" applyFill="1" applyAlignment="1">
      <alignment horizontal="left"/>
    </xf>
    <xf numFmtId="41" fontId="8" fillId="3" borderId="0" xfId="12" applyNumberFormat="1" applyFont="1" applyFill="1" applyBorder="1" applyAlignment="1">
      <alignment horizontal="right"/>
    </xf>
    <xf numFmtId="41" fontId="10" fillId="2" borderId="0" xfId="12" applyNumberFormat="1" applyFont="1" applyFill="1" applyBorder="1" applyAlignment="1">
      <alignment horizontal="right"/>
    </xf>
    <xf numFmtId="166" fontId="10" fillId="0" borderId="0" xfId="0" applyNumberFormat="1" applyFont="1"/>
    <xf numFmtId="0" fontId="41" fillId="0" borderId="0" xfId="0" applyFont="1" applyAlignment="1">
      <alignment horizontal="right"/>
    </xf>
    <xf numFmtId="171" fontId="41" fillId="0" borderId="0" xfId="2" applyNumberFormat="1" applyFont="1" applyAlignment="1">
      <alignment vertical="center"/>
    </xf>
    <xf numFmtId="171" fontId="8" fillId="0" borderId="0" xfId="2" applyNumberFormat="1" applyFont="1" applyFill="1" applyBorder="1" applyAlignment="1">
      <alignment vertical="center"/>
    </xf>
    <xf numFmtId="171" fontId="29" fillId="0" borderId="0" xfId="2" applyNumberFormat="1" applyFont="1" applyFill="1" applyBorder="1" applyAlignment="1">
      <alignment vertical="center"/>
    </xf>
    <xf numFmtId="41" fontId="21" fillId="0" borderId="0" xfId="0" applyNumberFormat="1" applyFont="1" applyAlignment="1">
      <alignment horizontal="right" vertical="center"/>
    </xf>
    <xf numFmtId="41" fontId="10" fillId="2" borderId="6" xfId="0" applyNumberFormat="1" applyFont="1" applyFill="1" applyBorder="1" applyAlignment="1">
      <alignment vertical="center"/>
    </xf>
    <xf numFmtId="41" fontId="8" fillId="0" borderId="6" xfId="0" applyNumberFormat="1" applyFont="1" applyBorder="1" applyAlignment="1">
      <alignment vertical="center"/>
    </xf>
    <xf numFmtId="41" fontId="8" fillId="3" borderId="1" xfId="3" applyNumberFormat="1" applyFont="1" applyFill="1" applyBorder="1" applyAlignment="1">
      <alignment vertical="center"/>
    </xf>
    <xf numFmtId="41" fontId="10" fillId="2" borderId="1" xfId="3" applyNumberFormat="1" applyFont="1" applyFill="1" applyBorder="1" applyAlignment="1">
      <alignment vertical="center"/>
    </xf>
    <xf numFmtId="0" fontId="10" fillId="3" borderId="0" xfId="3" applyFont="1" applyFill="1" applyAlignment="1">
      <alignment horizontal="left" indent="1"/>
    </xf>
    <xf numFmtId="41" fontId="8" fillId="0" borderId="1" xfId="3" applyNumberFormat="1" applyFont="1" applyBorder="1" applyAlignment="1">
      <alignment vertical="center"/>
    </xf>
    <xf numFmtId="41" fontId="8" fillId="0" borderId="1" xfId="2" applyNumberFormat="1" applyFont="1" applyFill="1" applyBorder="1" applyAlignment="1">
      <alignment horizontal="right" vertical="center"/>
    </xf>
    <xf numFmtId="41" fontId="10" fillId="2" borderId="1" xfId="2" applyNumberFormat="1" applyFont="1" applyFill="1" applyBorder="1" applyAlignment="1">
      <alignment horizontal="right" vertical="center"/>
    </xf>
    <xf numFmtId="41" fontId="8" fillId="0" borderId="1" xfId="2" applyNumberFormat="1" applyFont="1" applyBorder="1" applyAlignment="1">
      <alignment horizontal="right" vertical="center"/>
    </xf>
    <xf numFmtId="41" fontId="8" fillId="2" borderId="6" xfId="0" applyNumberFormat="1" applyFont="1" applyFill="1" applyBorder="1" applyAlignment="1">
      <alignment vertical="center"/>
    </xf>
    <xf numFmtId="169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10" fillId="0" borderId="21" xfId="1" applyFont="1" applyBorder="1" applyAlignment="1">
      <alignment horizontal="left"/>
    </xf>
    <xf numFmtId="169" fontId="10" fillId="0" borderId="0" xfId="0" applyNumberFormat="1" applyFont="1"/>
    <xf numFmtId="0" fontId="10" fillId="0" borderId="4" xfId="0" applyFont="1" applyBorder="1" applyAlignment="1">
      <alignment horizontal="left"/>
    </xf>
    <xf numFmtId="41" fontId="8" fillId="0" borderId="1" xfId="2" applyNumberFormat="1" applyFont="1" applyFill="1" applyBorder="1" applyAlignment="1">
      <alignment horizontal="left" vertical="center" indent="1"/>
    </xf>
    <xf numFmtId="41" fontId="10" fillId="2" borderId="1" xfId="2" applyNumberFormat="1" applyFont="1" applyFill="1" applyBorder="1" applyAlignment="1">
      <alignment horizontal="left" vertical="center" indent="1"/>
    </xf>
    <xf numFmtId="41" fontId="8" fillId="3" borderId="0" xfId="2" applyNumberFormat="1" applyFont="1" applyFill="1" applyAlignment="1">
      <alignment vertical="center"/>
    </xf>
    <xf numFmtId="169" fontId="8" fillId="3" borderId="0" xfId="0" applyNumberFormat="1" applyFont="1" applyFill="1"/>
    <xf numFmtId="169" fontId="8" fillId="3" borderId="24" xfId="0" applyNumberFormat="1" applyFont="1" applyFill="1" applyBorder="1"/>
    <xf numFmtId="0" fontId="10" fillId="3" borderId="0" xfId="0" applyFont="1" applyFill="1"/>
    <xf numFmtId="0" fontId="4" fillId="3" borderId="0" xfId="1" applyFont="1" applyFill="1" applyAlignment="1">
      <alignment horizontal="left"/>
    </xf>
    <xf numFmtId="0" fontId="7" fillId="3" borderId="0" xfId="0" applyFont="1" applyFill="1"/>
    <xf numFmtId="169" fontId="8" fillId="3" borderId="0" xfId="0" applyNumberFormat="1" applyFont="1" applyFill="1" applyAlignment="1">
      <alignment vertical="top"/>
    </xf>
    <xf numFmtId="49" fontId="10" fillId="3" borderId="5" xfId="3" applyNumberFormat="1" applyFont="1" applyFill="1" applyBorder="1" applyAlignment="1">
      <alignment horizontal="right" vertical="center"/>
    </xf>
    <xf numFmtId="49" fontId="10" fillId="2" borderId="5" xfId="3" applyNumberFormat="1" applyFont="1" applyFill="1" applyBorder="1" applyAlignment="1">
      <alignment horizontal="right" vertical="center"/>
    </xf>
    <xf numFmtId="168" fontId="8" fillId="3" borderId="0" xfId="0" applyNumberFormat="1" applyFont="1" applyFill="1"/>
    <xf numFmtId="168" fontId="8" fillId="3" borderId="24" xfId="0" applyNumberFormat="1" applyFont="1" applyFill="1" applyBorder="1"/>
    <xf numFmtId="168" fontId="10" fillId="3" borderId="26" xfId="0" applyNumberFormat="1" applyFont="1" applyFill="1" applyBorder="1"/>
    <xf numFmtId="41" fontId="10" fillId="3" borderId="0" xfId="2" applyNumberFormat="1" applyFont="1" applyFill="1" applyAlignment="1">
      <alignment vertical="center"/>
    </xf>
    <xf numFmtId="168" fontId="10" fillId="2" borderId="26" xfId="0" applyNumberFormat="1" applyFont="1" applyFill="1" applyBorder="1"/>
    <xf numFmtId="0" fontId="8" fillId="3" borderId="0" xfId="0" applyFont="1" applyFill="1" applyAlignment="1">
      <alignment horizontal="left"/>
    </xf>
    <xf numFmtId="168" fontId="8" fillId="0" borderId="0" xfId="0" applyNumberFormat="1" applyFont="1"/>
    <xf numFmtId="168" fontId="8" fillId="0" borderId="0" xfId="19" applyNumberFormat="1" applyFont="1" applyFill="1"/>
    <xf numFmtId="168" fontId="8" fillId="2" borderId="0" xfId="19" applyNumberFormat="1" applyFont="1" applyFill="1"/>
    <xf numFmtId="0" fontId="8" fillId="3" borderId="0" xfId="0" applyFont="1" applyFill="1" applyAlignment="1">
      <alignment horizontal="left" vertical="center"/>
    </xf>
    <xf numFmtId="168" fontId="8" fillId="2" borderId="0" xfId="0" applyNumberFormat="1" applyFont="1" applyFill="1"/>
    <xf numFmtId="0" fontId="18" fillId="3" borderId="27" xfId="0" applyFont="1" applyFill="1" applyBorder="1" applyAlignment="1">
      <alignment horizontal="left" vertical="center"/>
    </xf>
    <xf numFmtId="168" fontId="10" fillId="0" borderId="27" xfId="0" applyNumberFormat="1" applyFont="1" applyBorder="1" applyAlignment="1">
      <alignment vertical="center"/>
    </xf>
    <xf numFmtId="41" fontId="10" fillId="0" borderId="0" xfId="12" applyNumberFormat="1" applyFont="1" applyFill="1" applyBorder="1" applyAlignment="1">
      <alignment horizontal="left" vertical="center"/>
    </xf>
    <xf numFmtId="41" fontId="8" fillId="0" borderId="3" xfId="2" applyNumberFormat="1" applyFont="1" applyFill="1" applyBorder="1" applyAlignment="1">
      <alignment vertical="center"/>
    </xf>
    <xf numFmtId="41" fontId="10" fillId="0" borderId="6" xfId="12" applyNumberFormat="1" applyFont="1" applyFill="1" applyBorder="1" applyAlignment="1">
      <alignment horizontal="left" vertical="center"/>
    </xf>
    <xf numFmtId="41" fontId="27" fillId="0" borderId="0" xfId="16" applyNumberFormat="1"/>
    <xf numFmtId="41" fontId="33" fillId="0" borderId="0" xfId="16" applyNumberFormat="1" applyFont="1" applyAlignment="1">
      <alignment horizontal="center"/>
    </xf>
    <xf numFmtId="41" fontId="33" fillId="2" borderId="0" xfId="16" applyNumberFormat="1" applyFont="1" applyFill="1" applyAlignment="1">
      <alignment horizontal="center"/>
    </xf>
    <xf numFmtId="41" fontId="35" fillId="0" borderId="0" xfId="16" applyNumberFormat="1" applyFont="1" applyAlignment="1">
      <alignment horizontal="center" vertical="center"/>
    </xf>
    <xf numFmtId="41" fontId="35" fillId="2" borderId="0" xfId="16" applyNumberFormat="1" applyFont="1" applyFill="1" applyAlignment="1">
      <alignment horizontal="center" vertical="center"/>
    </xf>
    <xf numFmtId="41" fontId="35" fillId="0" borderId="1" xfId="16" applyNumberFormat="1" applyFont="1" applyBorder="1" applyAlignment="1">
      <alignment horizontal="center" vertical="center"/>
    </xf>
    <xf numFmtId="41" fontId="35" fillId="2" borderId="1" xfId="16" applyNumberFormat="1" applyFont="1" applyFill="1" applyBorder="1" applyAlignment="1">
      <alignment horizontal="center" vertical="center"/>
    </xf>
    <xf numFmtId="41" fontId="29" fillId="2" borderId="0" xfId="16" applyNumberFormat="1" applyFont="1" applyFill="1"/>
    <xf numFmtId="41" fontId="8" fillId="0" borderId="0" xfId="17" applyNumberFormat="1" applyFont="1"/>
    <xf numFmtId="41" fontId="37" fillId="0" borderId="1" xfId="16" applyNumberFormat="1" applyFont="1" applyBorder="1"/>
    <xf numFmtId="41" fontId="37" fillId="2" borderId="1" xfId="16" applyNumberFormat="1" applyFont="1" applyFill="1" applyBorder="1"/>
    <xf numFmtId="41" fontId="35" fillId="0" borderId="5" xfId="16" applyNumberFormat="1" applyFont="1" applyBorder="1" applyAlignment="1">
      <alignment vertical="center"/>
    </xf>
    <xf numFmtId="41" fontId="35" fillId="2" borderId="5" xfId="16" applyNumberFormat="1" applyFont="1" applyFill="1" applyBorder="1" applyAlignment="1">
      <alignment vertical="center"/>
    </xf>
    <xf numFmtId="41" fontId="18" fillId="0" borderId="0" xfId="16" applyNumberFormat="1" applyFont="1" applyAlignment="1">
      <alignment vertical="center"/>
    </xf>
    <xf numFmtId="41" fontId="35" fillId="0" borderId="6" xfId="16" applyNumberFormat="1" applyFont="1" applyBorder="1" applyAlignment="1">
      <alignment vertical="center"/>
    </xf>
    <xf numFmtId="41" fontId="35" fillId="2" borderId="6" xfId="16" applyNumberFormat="1" applyFont="1" applyFill="1" applyBorder="1" applyAlignment="1">
      <alignment vertical="center"/>
    </xf>
    <xf numFmtId="41" fontId="35" fillId="0" borderId="23" xfId="16" applyNumberFormat="1" applyFont="1" applyBorder="1" applyAlignment="1">
      <alignment vertical="center"/>
    </xf>
    <xf numFmtId="41" fontId="35" fillId="2" borderId="23" xfId="16" applyNumberFormat="1" applyFont="1" applyFill="1" applyBorder="1" applyAlignment="1">
      <alignment vertical="center"/>
    </xf>
    <xf numFmtId="41" fontId="29" fillId="0" borderId="0" xfId="16" applyNumberFormat="1" applyFont="1" applyAlignment="1">
      <alignment vertical="center"/>
    </xf>
    <xf numFmtId="165" fontId="37" fillId="0" borderId="0" xfId="19" applyFont="1"/>
    <xf numFmtId="165" fontId="37" fillId="2" borderId="0" xfId="19" applyFont="1" applyFill="1"/>
    <xf numFmtId="165" fontId="37" fillId="0" borderId="6" xfId="19" applyFont="1" applyBorder="1"/>
    <xf numFmtId="165" fontId="37" fillId="2" borderId="6" xfId="19" applyFont="1" applyFill="1" applyBorder="1"/>
    <xf numFmtId="0" fontId="10" fillId="0" borderId="1" xfId="0" applyFont="1" applyBorder="1" applyAlignment="1">
      <alignment horizontal="right" vertical="top"/>
    </xf>
    <xf numFmtId="0" fontId="8" fillId="0" borderId="26" xfId="0" applyFont="1" applyBorder="1" applyAlignment="1">
      <alignment vertical="center"/>
    </xf>
    <xf numFmtId="41" fontId="8" fillId="0" borderId="26" xfId="2" applyNumberFormat="1" applyFont="1" applyBorder="1" applyAlignment="1">
      <alignment vertical="center"/>
    </xf>
    <xf numFmtId="168" fontId="8" fillId="0" borderId="26" xfId="2" applyNumberFormat="1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41" fontId="10" fillId="0" borderId="27" xfId="0" applyNumberFormat="1" applyFont="1" applyBorder="1" applyAlignment="1">
      <alignment vertical="center"/>
    </xf>
    <xf numFmtId="166" fontId="10" fillId="0" borderId="6" xfId="4" applyNumberFormat="1" applyFont="1" applyBorder="1" applyAlignment="1">
      <alignment vertical="center"/>
    </xf>
    <xf numFmtId="166" fontId="10" fillId="2" borderId="6" xfId="4" applyNumberFormat="1" applyFont="1" applyFill="1" applyBorder="1" applyAlignment="1">
      <alignment vertical="center"/>
    </xf>
    <xf numFmtId="166" fontId="10" fillId="0" borderId="23" xfId="0" applyNumberFormat="1" applyFont="1" applyBorder="1"/>
    <xf numFmtId="165" fontId="37" fillId="0" borderId="0" xfId="19" applyFont="1" applyFill="1"/>
    <xf numFmtId="165" fontId="37" fillId="0" borderId="6" xfId="19" applyFont="1" applyFill="1" applyBorder="1"/>
    <xf numFmtId="41" fontId="27" fillId="2" borderId="0" xfId="16" applyNumberFormat="1" applyFill="1"/>
    <xf numFmtId="41" fontId="8" fillId="0" borderId="0" xfId="3" applyNumberFormat="1" applyFont="1" applyAlignment="1">
      <alignment horizontal="right" vertical="center"/>
    </xf>
    <xf numFmtId="41" fontId="10" fillId="0" borderId="1" xfId="3" applyNumberFormat="1" applyFont="1" applyBorder="1"/>
    <xf numFmtId="41" fontId="4" fillId="0" borderId="1" xfId="3" applyNumberFormat="1" applyFont="1" applyBorder="1" applyAlignment="1">
      <alignment horizontal="left" vertical="center"/>
    </xf>
    <xf numFmtId="41" fontId="8" fillId="0" borderId="1" xfId="0" applyNumberFormat="1" applyFont="1" applyBorder="1"/>
    <xf numFmtId="41" fontId="10" fillId="0" borderId="3" xfId="8" applyNumberFormat="1" applyFont="1" applyBorder="1"/>
    <xf numFmtId="41" fontId="10" fillId="0" borderId="0" xfId="8" applyNumberFormat="1" applyFont="1"/>
    <xf numFmtId="41" fontId="8" fillId="0" borderId="0" xfId="12" applyNumberFormat="1" applyFont="1" applyFill="1" applyBorder="1" applyAlignment="1">
      <alignment horizontal="right"/>
    </xf>
    <xf numFmtId="41" fontId="8" fillId="0" borderId="1" xfId="12" applyNumberFormat="1" applyFont="1" applyFill="1" applyBorder="1" applyAlignment="1">
      <alignment horizontal="right" vertical="center"/>
    </xf>
    <xf numFmtId="41" fontId="10" fillId="2" borderId="1" xfId="12" applyNumberFormat="1" applyFont="1" applyFill="1" applyBorder="1" applyAlignment="1">
      <alignment horizontal="right" vertical="center"/>
    </xf>
    <xf numFmtId="0" fontId="10" fillId="3" borderId="0" xfId="11" applyFont="1" applyFill="1" applyAlignment="1">
      <alignment horizontal="right" vertical="center"/>
    </xf>
    <xf numFmtId="41" fontId="10" fillId="3" borderId="0" xfId="12" applyNumberFormat="1" applyFont="1" applyFill="1" applyBorder="1" applyAlignment="1">
      <alignment horizontal="right" vertical="center"/>
    </xf>
    <xf numFmtId="0" fontId="5" fillId="3" borderId="0" xfId="0" applyFont="1" applyFill="1"/>
    <xf numFmtId="0" fontId="22" fillId="0" borderId="0" xfId="0" applyFont="1" applyAlignment="1">
      <alignment vertical="center"/>
    </xf>
    <xf numFmtId="168" fontId="42" fillId="0" borderId="0" xfId="0" applyNumberFormat="1" applyFont="1"/>
    <xf numFmtId="0" fontId="42" fillId="0" borderId="0" xfId="0" applyFont="1" applyAlignment="1">
      <alignment horizontal="right"/>
    </xf>
    <xf numFmtId="1" fontId="8" fillId="0" borderId="0" xfId="0" applyNumberFormat="1" applyFont="1" applyAlignment="1">
      <alignment vertical="center"/>
    </xf>
    <xf numFmtId="0" fontId="42" fillId="0" borderId="0" xfId="0" applyFont="1" applyAlignment="1">
      <alignment horizontal="left"/>
    </xf>
    <xf numFmtId="169" fontId="19" fillId="0" borderId="0" xfId="0" applyNumberFormat="1" applyFont="1"/>
    <xf numFmtId="41" fontId="8" fillId="3" borderId="6" xfId="0" applyNumberFormat="1" applyFont="1" applyFill="1" applyBorder="1" applyAlignment="1">
      <alignment vertical="center"/>
    </xf>
    <xf numFmtId="171" fontId="8" fillId="0" borderId="0" xfId="2" applyNumberFormat="1" applyFont="1" applyFill="1" applyBorder="1" applyAlignment="1"/>
    <xf numFmtId="0" fontId="9" fillId="0" borderId="0" xfId="0" applyFont="1" applyAlignment="1">
      <alignment horizontal="center" vertical="center"/>
    </xf>
    <xf numFmtId="41" fontId="10" fillId="0" borderId="20" xfId="2" applyNumberFormat="1" applyFont="1" applyFill="1" applyBorder="1" applyAlignment="1"/>
    <xf numFmtId="41" fontId="10" fillId="2" borderId="0" xfId="0" applyNumberFormat="1" applyFont="1" applyFill="1" applyAlignment="1">
      <alignment horizontal="center" vertical="center"/>
    </xf>
    <xf numFmtId="49" fontId="10" fillId="3" borderId="0" xfId="3" applyNumberFormat="1" applyFont="1" applyFill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49" fontId="10" fillId="3" borderId="3" xfId="3" applyNumberFormat="1" applyFont="1" applyFill="1" applyBorder="1" applyAlignment="1">
      <alignment horizontal="center" vertical="center"/>
    </xf>
    <xf numFmtId="49" fontId="10" fillId="0" borderId="3" xfId="3" applyNumberFormat="1" applyFont="1" applyBorder="1" applyAlignment="1">
      <alignment horizontal="center" vertical="center"/>
    </xf>
    <xf numFmtId="49" fontId="10" fillId="2" borderId="3" xfId="3" applyNumberFormat="1" applyFont="1" applyFill="1" applyBorder="1" applyAlignment="1">
      <alignment horizontal="center" vertical="center"/>
    </xf>
    <xf numFmtId="4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3" borderId="1" xfId="0" applyFont="1" applyFill="1" applyBorder="1" applyAlignment="1">
      <alignment horizontal="center" vertical="top"/>
    </xf>
    <xf numFmtId="49" fontId="10" fillId="0" borderId="1" xfId="3" applyNumberFormat="1" applyFont="1" applyBorder="1" applyAlignment="1">
      <alignment horizontal="center" vertical="top"/>
    </xf>
    <xf numFmtId="49" fontId="10" fillId="3" borderId="1" xfId="3" applyNumberFormat="1" applyFont="1" applyFill="1" applyBorder="1" applyAlignment="1">
      <alignment horizontal="center" vertical="top"/>
    </xf>
    <xf numFmtId="49" fontId="10" fillId="2" borderId="1" xfId="3" applyNumberFormat="1" applyFont="1" applyFill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168" fontId="8" fillId="0" borderId="6" xfId="19" applyNumberFormat="1" applyFont="1" applyBorder="1" applyAlignment="1">
      <alignment vertical="center"/>
    </xf>
    <xf numFmtId="168" fontId="8" fillId="2" borderId="6" xfId="19" applyNumberFormat="1" applyFont="1" applyFill="1" applyBorder="1" applyAlignment="1">
      <alignment vertical="center"/>
    </xf>
    <xf numFmtId="172" fontId="8" fillId="0" borderId="0" xfId="19" applyNumberFormat="1" applyFont="1"/>
    <xf numFmtId="168" fontId="10" fillId="2" borderId="27" xfId="0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top"/>
    </xf>
    <xf numFmtId="170" fontId="0" fillId="0" borderId="0" xfId="0" applyNumberFormat="1"/>
    <xf numFmtId="165" fontId="8" fillId="0" borderId="0" xfId="19" applyFont="1" applyAlignment="1">
      <alignment horizontal="right" wrapText="1" indent="1"/>
    </xf>
    <xf numFmtId="164" fontId="44" fillId="0" borderId="0" xfId="24" applyFont="1" applyAlignment="1">
      <alignment horizontal="right"/>
    </xf>
    <xf numFmtId="165" fontId="45" fillId="0" borderId="0" xfId="19" applyFont="1" applyAlignment="1">
      <alignment horizontal="right" wrapText="1"/>
    </xf>
    <xf numFmtId="165" fontId="44" fillId="0" borderId="0" xfId="19" applyFont="1" applyAlignment="1">
      <alignment horizontal="right" wrapText="1"/>
    </xf>
    <xf numFmtId="0" fontId="10" fillId="0" borderId="0" xfId="9" applyFont="1" applyAlignment="1">
      <alignment horizontal="left"/>
    </xf>
    <xf numFmtId="165" fontId="45" fillId="0" borderId="0" xfId="19" applyFont="1" applyBorder="1" applyAlignment="1">
      <alignment horizontal="right" vertical="top"/>
    </xf>
    <xf numFmtId="0" fontId="8" fillId="0" borderId="25" xfId="0" applyFont="1" applyBorder="1" applyAlignment="1">
      <alignment horizontal="left" indent="2"/>
    </xf>
    <xf numFmtId="5" fontId="8" fillId="0" borderId="25" xfId="0" applyNumberFormat="1" applyFont="1" applyBorder="1" applyAlignment="1">
      <alignment horizontal="right"/>
    </xf>
    <xf numFmtId="0" fontId="27" fillId="0" borderId="0" xfId="14" applyAlignment="1">
      <alignment horizontal="right"/>
    </xf>
    <xf numFmtId="171" fontId="8" fillId="0" borderId="0" xfId="0" applyNumberFormat="1" applyFont="1" applyAlignment="1">
      <alignment vertical="center"/>
    </xf>
    <xf numFmtId="171" fontId="8" fillId="0" borderId="0" xfId="9" applyNumberFormat="1" applyFont="1" applyAlignment="1">
      <alignment horizontal="left" vertical="center"/>
    </xf>
    <xf numFmtId="171" fontId="29" fillId="0" borderId="0" xfId="9" applyNumberFormat="1" applyFont="1" applyAlignment="1">
      <alignment horizontal="left" vertical="center"/>
    </xf>
    <xf numFmtId="165" fontId="8" fillId="0" borderId="0" xfId="19" applyFont="1" applyAlignment="1">
      <alignment horizontal="right" vertical="center" wrapText="1"/>
    </xf>
    <xf numFmtId="5" fontId="8" fillId="0" borderId="0" xfId="0" quotePrefix="1" applyNumberFormat="1" applyFont="1" applyAlignment="1">
      <alignment horizontal="right" vertical="center"/>
    </xf>
    <xf numFmtId="165" fontId="44" fillId="0" borderId="0" xfId="19" applyFont="1" applyBorder="1" applyAlignment="1">
      <alignment horizontal="right" vertical="center" wrapText="1"/>
    </xf>
    <xf numFmtId="0" fontId="10" fillId="0" borderId="0" xfId="9" applyFont="1" applyAlignment="1">
      <alignment horizontal="left" vertical="center"/>
    </xf>
    <xf numFmtId="41" fontId="37" fillId="2" borderId="21" xfId="16" applyNumberFormat="1" applyFont="1" applyFill="1" applyBorder="1"/>
    <xf numFmtId="168" fontId="35" fillId="2" borderId="5" xfId="16" applyNumberFormat="1" applyFont="1" applyFill="1" applyBorder="1" applyAlignment="1">
      <alignment vertical="center"/>
    </xf>
    <xf numFmtId="168" fontId="35" fillId="0" borderId="5" xfId="16" applyNumberFormat="1" applyFont="1" applyBorder="1" applyAlignment="1">
      <alignment vertical="center"/>
    </xf>
    <xf numFmtId="168" fontId="37" fillId="0" borderId="0" xfId="16" applyNumberFormat="1" applyFont="1"/>
    <xf numFmtId="168" fontId="37" fillId="2" borderId="0" xfId="16" applyNumberFormat="1" applyFont="1" applyFill="1"/>
    <xf numFmtId="168" fontId="37" fillId="0" borderId="1" xfId="16" applyNumberFormat="1" applyFont="1" applyBorder="1"/>
    <xf numFmtId="168" fontId="37" fillId="2" borderId="1" xfId="16" applyNumberFormat="1" applyFont="1" applyFill="1" applyBorder="1"/>
    <xf numFmtId="170" fontId="8" fillId="0" borderId="0" xfId="0" applyNumberFormat="1" applyFont="1"/>
    <xf numFmtId="171" fontId="10" fillId="2" borderId="0" xfId="2" applyNumberFormat="1" applyFont="1" applyFill="1" applyBorder="1" applyAlignment="1"/>
    <xf numFmtId="172" fontId="10" fillId="2" borderId="13" xfId="19" applyNumberFormat="1" applyFont="1" applyFill="1" applyBorder="1" applyAlignment="1">
      <alignment vertical="center"/>
    </xf>
    <xf numFmtId="41" fontId="18" fillId="0" borderId="6" xfId="2" applyNumberFormat="1" applyFont="1" applyFill="1" applyBorder="1" applyAlignment="1">
      <alignment horizontal="right" vertical="center"/>
    </xf>
    <xf numFmtId="168" fontId="8" fillId="0" borderId="0" xfId="3" applyNumberFormat="1" applyFont="1"/>
    <xf numFmtId="41" fontId="8" fillId="0" borderId="6" xfId="19" applyNumberFormat="1" applyFont="1" applyBorder="1" applyAlignment="1">
      <alignment vertical="center"/>
    </xf>
    <xf numFmtId="0" fontId="27" fillId="0" borderId="0" xfId="14" applyAlignment="1">
      <alignment horizontal="right" vertical="center"/>
    </xf>
    <xf numFmtId="0" fontId="18" fillId="3" borderId="1" xfId="14" applyFont="1" applyFill="1" applyBorder="1" applyAlignment="1">
      <alignment horizontal="center" vertical="center"/>
    </xf>
    <xf numFmtId="172" fontId="9" fillId="0" borderId="1" xfId="19" applyNumberFormat="1" applyFont="1" applyBorder="1" applyAlignment="1">
      <alignment horizontal="center" vertical="top"/>
    </xf>
    <xf numFmtId="172" fontId="8" fillId="0" borderId="0" xfId="19" applyNumberFormat="1" applyFont="1" applyAlignment="1">
      <alignment vertical="center"/>
    </xf>
    <xf numFmtId="172" fontId="10" fillId="0" borderId="3" xfId="19" applyNumberFormat="1" applyFont="1" applyBorder="1" applyAlignment="1">
      <alignment horizontal="center" vertical="center"/>
    </xf>
    <xf numFmtId="172" fontId="0" fillId="0" borderId="3" xfId="19" applyNumberFormat="1" applyFont="1" applyBorder="1"/>
    <xf numFmtId="172" fontId="8" fillId="0" borderId="1" xfId="19" applyNumberFormat="1" applyFont="1" applyBorder="1" applyAlignment="1">
      <alignment vertical="center"/>
    </xf>
    <xf numFmtId="172" fontId="10" fillId="0" borderId="11" xfId="19" applyNumberFormat="1" applyFont="1" applyBorder="1" applyAlignment="1">
      <alignment vertical="center"/>
    </xf>
    <xf numFmtId="172" fontId="0" fillId="0" borderId="0" xfId="19" applyNumberFormat="1" applyFont="1"/>
    <xf numFmtId="172" fontId="8" fillId="0" borderId="0" xfId="19" applyNumberFormat="1" applyFont="1" applyFill="1"/>
    <xf numFmtId="172" fontId="10" fillId="0" borderId="27" xfId="19" applyNumberFormat="1" applyFont="1" applyBorder="1" applyAlignment="1">
      <alignment vertical="center"/>
    </xf>
    <xf numFmtId="172" fontId="9" fillId="0" borderId="0" xfId="19" applyNumberFormat="1" applyFont="1" applyAlignment="1">
      <alignment horizontal="center" vertical="center"/>
    </xf>
    <xf numFmtId="172" fontId="8" fillId="0" borderId="0" xfId="19" applyNumberFormat="1" applyFont="1" applyAlignment="1">
      <alignment horizontal="left" vertical="center"/>
    </xf>
    <xf numFmtId="172" fontId="29" fillId="0" borderId="0" xfId="19" applyNumberFormat="1" applyFont="1" applyAlignment="1">
      <alignment horizontal="left" vertical="center"/>
    </xf>
    <xf numFmtId="172" fontId="10" fillId="0" borderId="4" xfId="19" applyNumberFormat="1" applyFont="1" applyBorder="1" applyAlignment="1">
      <alignment vertical="center"/>
    </xf>
    <xf numFmtId="0" fontId="8" fillId="0" borderId="0" xfId="0" applyFont="1" applyAlignment="1">
      <alignment horizontal="left" vertical="top" wrapText="1"/>
    </xf>
    <xf numFmtId="5" fontId="8" fillId="0" borderId="0" xfId="0" applyNumberFormat="1" applyFont="1" applyAlignment="1">
      <alignment horizontal="right" vertical="top" wrapText="1"/>
    </xf>
    <xf numFmtId="0" fontId="30" fillId="0" borderId="0" xfId="16" applyFont="1"/>
    <xf numFmtId="0" fontId="37" fillId="0" borderId="6" xfId="16" applyFont="1" applyBorder="1"/>
    <xf numFmtId="0" fontId="9" fillId="2" borderId="1" xfId="0" applyFont="1" applyFill="1" applyBorder="1" applyAlignment="1">
      <alignment horizontal="center" vertical="center"/>
    </xf>
    <xf numFmtId="170" fontId="10" fillId="2" borderId="0" xfId="2" applyNumberFormat="1" applyFont="1" applyFill="1" applyAlignment="1">
      <alignment vertical="center"/>
    </xf>
    <xf numFmtId="170" fontId="10" fillId="2" borderId="0" xfId="2" applyNumberFormat="1" applyFont="1" applyFill="1" applyBorder="1" applyAlignment="1">
      <alignment vertical="center"/>
    </xf>
    <xf numFmtId="170" fontId="10" fillId="2" borderId="4" xfId="2" applyNumberFormat="1" applyFont="1" applyFill="1" applyBorder="1" applyAlignment="1">
      <alignment vertical="center"/>
    </xf>
    <xf numFmtId="170" fontId="8" fillId="0" borderId="0" xfId="2" applyNumberFormat="1" applyFont="1" applyBorder="1" applyAlignment="1">
      <alignment vertical="center"/>
    </xf>
    <xf numFmtId="0" fontId="0" fillId="0" borderId="0" xfId="0" applyBorder="1"/>
    <xf numFmtId="41" fontId="37" fillId="2" borderId="3" xfId="16" applyNumberFormat="1" applyFont="1" applyFill="1" applyBorder="1"/>
    <xf numFmtId="41" fontId="37" fillId="0" borderId="3" xfId="16" applyNumberFormat="1" applyFont="1" applyBorder="1"/>
    <xf numFmtId="0" fontId="30" fillId="0" borderId="0" xfId="16" applyFont="1" applyBorder="1"/>
    <xf numFmtId="0" fontId="35" fillId="0" borderId="28" xfId="16" applyFont="1" applyBorder="1" applyAlignment="1">
      <alignment vertical="center"/>
    </xf>
    <xf numFmtId="41" fontId="35" fillId="0" borderId="23" xfId="16" applyNumberFormat="1" applyFont="1" applyFill="1" applyBorder="1" applyAlignment="1">
      <alignment vertical="center"/>
    </xf>
    <xf numFmtId="0" fontId="37" fillId="0" borderId="29" xfId="16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41" fontId="10" fillId="3" borderId="1" xfId="2" applyNumberFormat="1" applyFont="1" applyFill="1" applyBorder="1" applyAlignment="1">
      <alignment horizontal="center"/>
    </xf>
    <xf numFmtId="49" fontId="14" fillId="3" borderId="0" xfId="3" applyNumberFormat="1" applyFont="1" applyFill="1" applyAlignment="1">
      <alignment horizontal="left"/>
    </xf>
    <xf numFmtId="49" fontId="14" fillId="3" borderId="1" xfId="3" applyNumberFormat="1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41" fontId="10" fillId="0" borderId="1" xfId="3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0" xfId="0" applyFont="1" applyAlignment="1">
      <alignment wrapText="1"/>
    </xf>
    <xf numFmtId="0" fontId="8" fillId="2" borderId="0" xfId="9" applyFont="1" applyFill="1" applyAlignment="1">
      <alignment horizontal="center" textRotation="90" wrapText="1"/>
    </xf>
    <xf numFmtId="0" fontId="8" fillId="0" borderId="0" xfId="9" applyFont="1" applyAlignment="1">
      <alignment horizontal="center" textRotation="90" wrapText="1"/>
    </xf>
    <xf numFmtId="0" fontId="10" fillId="0" borderId="0" xfId="9" applyFont="1" applyAlignment="1">
      <alignment horizontal="center" textRotation="90" wrapText="1"/>
    </xf>
    <xf numFmtId="0" fontId="8" fillId="2" borderId="0" xfId="9" applyFont="1" applyFill="1" applyAlignment="1" applyProtection="1">
      <alignment horizontal="center" textRotation="90" wrapText="1"/>
      <protection locked="0"/>
    </xf>
    <xf numFmtId="0" fontId="0" fillId="2" borderId="0" xfId="0" applyFill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2" borderId="0" xfId="0" applyFill="1" applyAlignment="1">
      <alignment horizontal="center" textRotation="90" wrapText="1"/>
    </xf>
    <xf numFmtId="0" fontId="8" fillId="2" borderId="0" xfId="9" applyFont="1" applyFill="1" applyAlignment="1">
      <alignment horizontal="center" vertical="center" textRotation="90" wrapText="1"/>
    </xf>
    <xf numFmtId="0" fontId="0" fillId="2" borderId="0" xfId="0" applyFill="1" applyAlignment="1">
      <alignment horizontal="center" vertical="center" textRotation="90" wrapText="1"/>
    </xf>
    <xf numFmtId="0" fontId="8" fillId="0" borderId="0" xfId="9" applyFont="1" applyAlignment="1" applyProtection="1">
      <alignment horizontal="center" textRotation="90"/>
      <protection locked="0"/>
    </xf>
    <xf numFmtId="0" fontId="8" fillId="2" borderId="0" xfId="9" applyFont="1" applyFill="1" applyAlignment="1">
      <alignment horizontal="center" textRotation="90"/>
    </xf>
    <xf numFmtId="0" fontId="0" fillId="0" borderId="0" xfId="0" applyAlignment="1">
      <alignment horizontal="center" textRotation="90" wrapText="1"/>
    </xf>
    <xf numFmtId="0" fontId="8" fillId="2" borderId="0" xfId="9" applyFont="1" applyFill="1" applyAlignment="1">
      <alignment horizontal="right" textRotation="90" wrapText="1"/>
    </xf>
    <xf numFmtId="0" fontId="8" fillId="0" borderId="0" xfId="9" applyFont="1" applyAlignment="1">
      <alignment horizontal="right" textRotation="90" wrapText="1"/>
    </xf>
    <xf numFmtId="0" fontId="48" fillId="0" borderId="0" xfId="0" applyFont="1" applyAlignment="1">
      <alignment horizontal="center"/>
    </xf>
    <xf numFmtId="0" fontId="47" fillId="0" borderId="0" xfId="25" applyBorder="1" applyAlignment="1">
      <alignment horizontal="center" vertical="top"/>
    </xf>
  </cellXfs>
  <cellStyles count="26">
    <cellStyle name="Comma" xfId="19" builtinId="3"/>
    <cellStyle name="Comma 2" xfId="23" xr:uid="{6CD137AC-C6CF-4047-A44B-3D34997C170C}"/>
    <cellStyle name="Comma 2 5 2" xfId="2" xr:uid="{00000000-0005-0000-0000-000001000000}"/>
    <cellStyle name="Comma 2 5 2 2" xfId="20" xr:uid="{A3BCE43F-DF95-4748-B848-8ABD0B274D93}"/>
    <cellStyle name="Comma 3" xfId="18" xr:uid="{00000000-0005-0000-0000-000002000000}"/>
    <cellStyle name="Comma 3 2" xfId="22" xr:uid="{CC09ADAC-1979-44B4-B2DC-91BA0466F443}"/>
    <cellStyle name="Comma 9 2" xfId="12" xr:uid="{00000000-0005-0000-0000-000003000000}"/>
    <cellStyle name="Comma 9 2 2" xfId="21" xr:uid="{D93449E6-4844-48F6-8F87-DCD9AC32E2BD}"/>
    <cellStyle name="Comma_X-BUDGET2006_Fiscal plan vs. X-gov" xfId="13" xr:uid="{00000000-0005-0000-0000-000004000000}"/>
    <cellStyle name="Currency" xfId="24" builtinId="4"/>
    <cellStyle name="Hyperlink" xfId="25" builtinId="8"/>
    <cellStyle name="Normal" xfId="0" builtinId="0"/>
    <cellStyle name="Normal 2 13" xfId="3" xr:uid="{00000000-0005-0000-0000-000006000000}"/>
    <cellStyle name="Normal 3 6" xfId="8" xr:uid="{00000000-0005-0000-0000-000007000000}"/>
    <cellStyle name="Normal 407" xfId="6" xr:uid="{00000000-0005-0000-0000-000008000000}"/>
    <cellStyle name="Normal 5 2" xfId="14" xr:uid="{00000000-0005-0000-0000-000009000000}"/>
    <cellStyle name="Normal 5 2 4" xfId="16" xr:uid="{00000000-0005-0000-0000-00000A000000}"/>
    <cellStyle name="Normal 61" xfId="11" xr:uid="{00000000-0005-0000-0000-00000B000000}"/>
    <cellStyle name="Normal_A" xfId="1" xr:uid="{00000000-0005-0000-0000-00000C000000}"/>
    <cellStyle name="Normal_CAP_PLNDETS" xfId="7" xr:uid="{00000000-0005-0000-0000-00000D000000}"/>
    <cellStyle name="Normal_CAP_PLNSPNG" xfId="10" xr:uid="{00000000-0005-0000-0000-00000E000000}"/>
    <cellStyle name="Normal_X-BUDGET2006_Fiscal plan vs. X-gov" xfId="9" xr:uid="{00000000-0005-0000-0000-00000F000000}"/>
    <cellStyle name="Percent 2" xfId="4" xr:uid="{00000000-0005-0000-0000-000010000000}"/>
    <cellStyle name="Percent 2 2 2 2" xfId="5" xr:uid="{00000000-0005-0000-0000-000011000000}"/>
    <cellStyle name="Percent 23" xfId="17" xr:uid="{00000000-0005-0000-0000-000012000000}"/>
    <cellStyle name="Percent 3" xfId="15" xr:uid="{00000000-0005-0000-0000-00001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65828</xdr:colOff>
      <xdr:row>54</xdr:row>
      <xdr:rowOff>37067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14E8F8-0196-5FD1-FE51-3AE5A09DF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71428" cy="8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.alberta.ca/licen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BB2D-D661-49EF-8F33-B44D853FAA32}">
  <sheetPr>
    <tabColor rgb="FFFFCCFF"/>
  </sheetPr>
  <dimension ref="A2:B29"/>
  <sheetViews>
    <sheetView workbookViewId="0">
      <selection activeCell="E40" sqref="E40"/>
    </sheetView>
  </sheetViews>
  <sheetFormatPr defaultColWidth="9" defaultRowHeight="12"/>
  <sheetData>
    <row r="2" spans="1:2">
      <c r="A2" s="198" t="s">
        <v>433</v>
      </c>
    </row>
    <row r="5" spans="1:2">
      <c r="B5" t="s">
        <v>432</v>
      </c>
    </row>
    <row r="7" spans="1:2">
      <c r="B7" t="s">
        <v>442</v>
      </c>
    </row>
    <row r="16" spans="1:2">
      <c r="A16" s="198" t="s">
        <v>431</v>
      </c>
    </row>
    <row r="17" spans="2:2">
      <c r="B17" t="s">
        <v>430</v>
      </c>
    </row>
    <row r="18" spans="2:2">
      <c r="B18" t="s">
        <v>438</v>
      </c>
    </row>
    <row r="19" spans="2:2">
      <c r="B19" t="s">
        <v>437</v>
      </c>
    </row>
    <row r="20" spans="2:2">
      <c r="B20" t="s">
        <v>434</v>
      </c>
    </row>
    <row r="29" spans="2:2">
      <c r="B29" t="s">
        <v>445</v>
      </c>
    </row>
  </sheetData>
  <pageMargins left="0.7" right="0.7" top="0.75" bottom="0.75" header="0.3" footer="0.3"/>
  <headerFooter>
    <oddFooter>&amp;L_x000D_&amp;1#&amp;"Calibri"&amp;11&amp;K000000 Classification: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D0ED-252F-4DC2-8F7F-A09F0E480D74}">
  <dimension ref="D56:F57"/>
  <sheetViews>
    <sheetView tabSelected="1" workbookViewId="0">
      <selection activeCell="E63" sqref="E63"/>
    </sheetView>
  </sheetViews>
  <sheetFormatPr defaultRowHeight="12"/>
  <sheetData>
    <row r="56" spans="4:6" ht="14.25">
      <c r="D56" t="s">
        <v>542</v>
      </c>
      <c r="F56" s="665"/>
    </row>
    <row r="57" spans="4:6">
      <c r="F57" s="666" t="s">
        <v>543</v>
      </c>
    </row>
  </sheetData>
  <hyperlinks>
    <hyperlink ref="F57" r:id="rId1" xr:uid="{4822C8A7-FB50-4900-85D8-595A3572B020}"/>
  </hyperlinks>
  <pageMargins left="0.7" right="0.7" top="0.75" bottom="0.75" header="0.3" footer="0.3"/>
  <pageSetup orientation="portrait" horizontalDpi="1200" verticalDpi="1200" r:id="rId2"/>
  <headerFooter>
    <oddFooter>&amp;L_x000D_&amp;1#&amp;"Calibri"&amp;11&amp;K000000 Classification: Public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G33"/>
  <sheetViews>
    <sheetView showGridLines="0" zoomScaleNormal="100" zoomScaleSheetLayoutView="93" workbookViewId="0">
      <selection activeCell="J34" sqref="J34"/>
    </sheetView>
  </sheetViews>
  <sheetFormatPr defaultColWidth="8.5703125" defaultRowHeight="12"/>
  <cols>
    <col min="1" max="1" width="53" customWidth="1"/>
    <col min="2" max="7" width="8" customWidth="1"/>
  </cols>
  <sheetData>
    <row r="1" spans="1:7" ht="15.75">
      <c r="A1" s="1" t="s">
        <v>0</v>
      </c>
      <c r="B1" s="2"/>
      <c r="G1" s="3"/>
    </row>
    <row r="2" spans="1:7">
      <c r="A2" s="4" t="s">
        <v>1</v>
      </c>
      <c r="B2" s="5"/>
    </row>
    <row r="3" spans="1:7" ht="4.5" customHeight="1">
      <c r="A3" s="4"/>
      <c r="B3" s="5"/>
    </row>
    <row r="4" spans="1:7">
      <c r="A4" s="6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</row>
    <row r="5" spans="1:7">
      <c r="A5" s="9"/>
      <c r="B5" s="564" t="s">
        <v>7</v>
      </c>
      <c r="C5" s="564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</row>
    <row r="6" spans="1:7" ht="3.75" customHeight="1">
      <c r="A6" s="12"/>
      <c r="B6" s="13"/>
      <c r="C6" s="14"/>
      <c r="E6" s="15"/>
    </row>
    <row r="7" spans="1:7" ht="12.75" customHeight="1">
      <c r="A7" s="16" t="s">
        <v>12</v>
      </c>
      <c r="B7" s="17"/>
      <c r="C7" s="17"/>
      <c r="D7" s="17"/>
      <c r="E7" s="18"/>
      <c r="F7" s="17"/>
      <c r="G7" s="17"/>
    </row>
    <row r="8" spans="1:7" ht="12.75" customHeight="1">
      <c r="A8" s="19" t="s">
        <v>13</v>
      </c>
      <c r="B8" s="17">
        <v>26746.799999999996</v>
      </c>
      <c r="C8" s="17">
        <v>28645.018</v>
      </c>
      <c r="D8" s="17">
        <v>29465.582999999999</v>
      </c>
      <c r="E8" s="18">
        <v>28837.27</v>
      </c>
      <c r="F8" s="17">
        <v>30150.578000000001</v>
      </c>
      <c r="G8" s="17">
        <v>31390.312999999998</v>
      </c>
    </row>
    <row r="9" spans="1:7" ht="12.75" customHeight="1">
      <c r="A9" s="19" t="s">
        <v>14</v>
      </c>
      <c r="B9" s="17">
        <v>19286.699999999997</v>
      </c>
      <c r="C9" s="17">
        <v>17315</v>
      </c>
      <c r="D9" s="17">
        <v>21509.102999999999</v>
      </c>
      <c r="E9" s="18">
        <v>17067.306</v>
      </c>
      <c r="F9" s="17">
        <v>17619.93</v>
      </c>
      <c r="G9" s="17">
        <v>17815.049000000003</v>
      </c>
    </row>
    <row r="10" spans="1:7" ht="12.75" customHeight="1">
      <c r="A10" s="19" t="s">
        <v>15</v>
      </c>
      <c r="B10" s="17">
        <v>12335.899999999998</v>
      </c>
      <c r="C10" s="17">
        <v>12639.787999999999</v>
      </c>
      <c r="D10" s="17">
        <v>12958.239000000001</v>
      </c>
      <c r="E10" s="18">
        <v>13287.499000000002</v>
      </c>
      <c r="F10" s="17">
        <v>13752.596</v>
      </c>
      <c r="G10" s="17">
        <v>14228.073</v>
      </c>
    </row>
    <row r="11" spans="1:7" ht="12.75" customHeight="1">
      <c r="A11" s="19" t="s">
        <v>16</v>
      </c>
      <c r="B11" s="17">
        <v>4581.1000000000004</v>
      </c>
      <c r="C11" s="17">
        <v>3266.7559999999999</v>
      </c>
      <c r="D11" s="17">
        <v>5171.4609999999993</v>
      </c>
      <c r="E11" s="18">
        <v>2882.0919999999996</v>
      </c>
      <c r="F11" s="17">
        <v>3134.8459999999995</v>
      </c>
      <c r="G11" s="17">
        <v>3467.248</v>
      </c>
    </row>
    <row r="12" spans="1:7" ht="12.75" customHeight="1">
      <c r="A12" s="19" t="s">
        <v>17</v>
      </c>
      <c r="B12" s="20">
        <v>11781.7</v>
      </c>
      <c r="C12" s="20">
        <v>11670.426000000001</v>
      </c>
      <c r="D12" s="20">
        <v>11587.370000000003</v>
      </c>
      <c r="E12" s="56">
        <v>12063.729000000003</v>
      </c>
      <c r="F12" s="20">
        <v>12732.263000000003</v>
      </c>
      <c r="G12" s="20">
        <v>13068.757000000005</v>
      </c>
    </row>
    <row r="13" spans="1:7" ht="12.75" customHeight="1">
      <c r="A13" s="21" t="s">
        <v>18</v>
      </c>
      <c r="B13" s="22">
        <v>74732.2</v>
      </c>
      <c r="C13" s="22">
        <v>73536.987999999998</v>
      </c>
      <c r="D13" s="81">
        <v>80691.755999999994</v>
      </c>
      <c r="E13" s="78">
        <v>74137.895999999993</v>
      </c>
      <c r="F13" s="82">
        <v>77390.213000000003</v>
      </c>
      <c r="G13" s="81">
        <v>79969.440000000002</v>
      </c>
    </row>
    <row r="14" spans="1:7" ht="3.75" customHeight="1">
      <c r="A14" s="19"/>
      <c r="B14" s="17"/>
      <c r="C14" s="17"/>
      <c r="D14" s="17"/>
      <c r="E14" s="18"/>
      <c r="F14" s="17"/>
      <c r="G14" s="17"/>
    </row>
    <row r="15" spans="1:7" ht="12.75" customHeight="1">
      <c r="A15" s="16" t="s">
        <v>42</v>
      </c>
      <c r="B15" s="17"/>
      <c r="C15" s="17"/>
      <c r="D15" s="17"/>
      <c r="E15" s="24"/>
      <c r="F15" s="17"/>
      <c r="G15" s="17"/>
    </row>
    <row r="16" spans="1:7" ht="12.75" customHeight="1">
      <c r="A16" s="19" t="s">
        <v>19</v>
      </c>
      <c r="B16" s="17">
        <v>58143.035999999993</v>
      </c>
      <c r="C16" s="17">
        <v>60123.74</v>
      </c>
      <c r="D16" s="17">
        <v>62098.08100000002</v>
      </c>
      <c r="E16" s="18">
        <v>64310.549550000003</v>
      </c>
      <c r="F16" s="17">
        <v>64830.848199999993</v>
      </c>
      <c r="G16" s="17">
        <v>66463.6682</v>
      </c>
    </row>
    <row r="17" spans="1:7" ht="12.75" customHeight="1">
      <c r="A17" s="19" t="s">
        <v>20</v>
      </c>
      <c r="B17" s="17">
        <v>2102.855</v>
      </c>
      <c r="C17" s="17">
        <v>3468.8009999999999</v>
      </c>
      <c r="D17" s="17">
        <v>3293.6480000000001</v>
      </c>
      <c r="E17" s="18">
        <v>3452.3769999999995</v>
      </c>
      <c r="F17" s="17">
        <v>3686.1679999999997</v>
      </c>
      <c r="G17" s="17">
        <v>3475.7490000000003</v>
      </c>
    </row>
    <row r="18" spans="1:7" ht="12.75" customHeight="1">
      <c r="A18" s="19" t="s">
        <v>21</v>
      </c>
      <c r="B18" s="17">
        <v>4399.0460000000003</v>
      </c>
      <c r="C18" s="17">
        <v>4563.9150000000009</v>
      </c>
      <c r="D18" s="17">
        <v>4687.8839999999991</v>
      </c>
      <c r="E18" s="18">
        <v>4993.366</v>
      </c>
      <c r="F18" s="17">
        <v>5127.4589999999989</v>
      </c>
      <c r="G18" s="17">
        <v>5137.1049999999996</v>
      </c>
    </row>
    <row r="19" spans="1:7" ht="12.75" customHeight="1">
      <c r="A19" s="19" t="s">
        <v>22</v>
      </c>
      <c r="B19" s="17">
        <v>3149.1170000000002</v>
      </c>
      <c r="C19" s="17">
        <v>3389.1170000000002</v>
      </c>
      <c r="D19" s="17">
        <v>3198.5949999999998</v>
      </c>
      <c r="E19" s="18">
        <v>2967.6150000000007</v>
      </c>
      <c r="F19" s="17">
        <v>3257.8370000000004</v>
      </c>
      <c r="G19" s="17">
        <v>3628.7530000000002</v>
      </c>
    </row>
    <row r="20" spans="1:7" ht="12.75" customHeight="1">
      <c r="A20" s="19" t="s">
        <v>23</v>
      </c>
      <c r="B20" s="17">
        <v>-372</v>
      </c>
      <c r="C20" s="17">
        <v>-363.6</v>
      </c>
      <c r="D20" s="17">
        <v>-363</v>
      </c>
      <c r="E20" s="18">
        <v>-374.98899999999958</v>
      </c>
      <c r="F20" s="17">
        <v>-383.98900000000049</v>
      </c>
      <c r="G20" s="17">
        <v>-389.02199999999993</v>
      </c>
    </row>
    <row r="21" spans="1:7" ht="12.75" customHeight="1">
      <c r="A21" s="450" t="s">
        <v>391</v>
      </c>
      <c r="B21" s="463">
        <v>3025.3039999999996</v>
      </c>
      <c r="C21" s="463">
        <v>0</v>
      </c>
      <c r="D21" s="463">
        <v>2016.9939999999997</v>
      </c>
      <c r="E21" s="464">
        <v>0</v>
      </c>
      <c r="F21" s="466">
        <v>0</v>
      </c>
      <c r="G21" s="463">
        <v>0</v>
      </c>
    </row>
    <row r="22" spans="1:7" ht="12.75" customHeight="1">
      <c r="A22" s="72" t="s">
        <v>351</v>
      </c>
      <c r="B22" s="81">
        <v>70447.358000000007</v>
      </c>
      <c r="C22" s="81">
        <v>71181.972999999998</v>
      </c>
      <c r="D22" s="81">
        <v>74932.202000000034</v>
      </c>
      <c r="E22" s="78">
        <v>75348.918000000005</v>
      </c>
      <c r="F22" s="82">
        <v>76518.323199999999</v>
      </c>
      <c r="G22" s="81">
        <v>78316.253199999992</v>
      </c>
    </row>
    <row r="23" spans="1:7" ht="12.75" customHeight="1">
      <c r="A23" s="19" t="s">
        <v>392</v>
      </c>
      <c r="B23" s="17">
        <v>0</v>
      </c>
      <c r="C23" s="17">
        <v>2000</v>
      </c>
      <c r="D23" s="17">
        <v>0</v>
      </c>
      <c r="E23" s="18">
        <v>4000</v>
      </c>
      <c r="F23" s="17">
        <v>3300</v>
      </c>
      <c r="G23" s="17">
        <v>3700</v>
      </c>
    </row>
    <row r="24" spans="1:7" ht="15" customHeight="1">
      <c r="A24" s="21" t="s">
        <v>24</v>
      </c>
      <c r="B24" s="28">
        <v>70447.358000000007</v>
      </c>
      <c r="C24" s="28">
        <v>73181.972999999998</v>
      </c>
      <c r="D24" s="28">
        <v>74932.202000000034</v>
      </c>
      <c r="E24" s="27">
        <v>79348.918000000005</v>
      </c>
      <c r="F24" s="28">
        <v>79818.323000000004</v>
      </c>
      <c r="G24" s="28">
        <v>82016.253199999992</v>
      </c>
    </row>
    <row r="25" spans="1:7" ht="2.25" customHeight="1">
      <c r="A25" s="25"/>
      <c r="B25" s="17"/>
      <c r="C25" s="17"/>
      <c r="D25" s="17"/>
      <c r="E25" s="24"/>
      <c r="F25" s="17"/>
      <c r="G25" s="17"/>
    </row>
    <row r="26" spans="1:7" ht="12.75" customHeight="1" thickBot="1">
      <c r="A26" s="29" t="s">
        <v>25</v>
      </c>
      <c r="B26" s="30">
        <v>4284.8419999999996</v>
      </c>
      <c r="C26" s="30">
        <v>355.01499999999999</v>
      </c>
      <c r="D26" s="30">
        <v>5759.5529999999999</v>
      </c>
      <c r="E26" s="31">
        <v>-5210.8590000000004</v>
      </c>
      <c r="F26" s="30">
        <v>-2428.252</v>
      </c>
      <c r="G26" s="30">
        <v>-2046.9480000000001</v>
      </c>
    </row>
    <row r="27" spans="1:7" ht="12.75" customHeight="1">
      <c r="A27" s="635"/>
      <c r="B27" s="635"/>
    </row>
    <row r="28" spans="1:7" ht="15" customHeight="1"/>
    <row r="29" spans="1:7" ht="12.75" customHeight="1"/>
    <row r="33" spans="4:6">
      <c r="D33" s="35"/>
      <c r="E33" s="35"/>
      <c r="F33" s="35"/>
    </row>
  </sheetData>
  <mergeCells count="1">
    <mergeCell ref="C4:D4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L25"/>
  <sheetViews>
    <sheetView showFormulas="1" showGridLines="0" zoomScaleNormal="100" workbookViewId="0">
      <selection activeCell="H56" sqref="H56"/>
    </sheetView>
  </sheetViews>
  <sheetFormatPr defaultColWidth="8.5703125" defaultRowHeight="12"/>
  <cols>
    <col min="1" max="1" width="53.5703125" customWidth="1"/>
    <col min="2" max="5" width="9.42578125" customWidth="1"/>
    <col min="6" max="6" width="10.5703125" customWidth="1"/>
  </cols>
  <sheetData>
    <row r="1" spans="1:12" ht="15.75" customHeight="1">
      <c r="A1" s="36" t="s">
        <v>26</v>
      </c>
      <c r="B1" s="37"/>
      <c r="C1" s="38"/>
      <c r="D1" s="39"/>
      <c r="E1" s="39"/>
    </row>
    <row r="2" spans="1:12" ht="12" customHeight="1">
      <c r="A2" s="4" t="s">
        <v>1</v>
      </c>
      <c r="B2" s="37"/>
      <c r="C2" s="38"/>
      <c r="D2" s="39"/>
      <c r="E2" s="39"/>
    </row>
    <row r="3" spans="1:12" ht="4.5" customHeight="1">
      <c r="A3" s="4"/>
      <c r="B3" s="37"/>
      <c r="C3" s="38"/>
      <c r="D3" s="39"/>
      <c r="E3" s="39"/>
    </row>
    <row r="4" spans="1:12" ht="12.75" customHeight="1">
      <c r="A4" s="40"/>
      <c r="B4" s="643" t="s">
        <v>27</v>
      </c>
      <c r="C4" s="643"/>
      <c r="D4" s="643"/>
      <c r="E4" s="643"/>
      <c r="F4" s="643"/>
    </row>
    <row r="5" spans="1:12">
      <c r="A5" s="41"/>
      <c r="B5" s="565" t="s">
        <v>28</v>
      </c>
      <c r="C5" s="566" t="s">
        <v>311</v>
      </c>
      <c r="D5" s="567" t="s">
        <v>326</v>
      </c>
      <c r="E5" s="566" t="s">
        <v>378</v>
      </c>
      <c r="F5" s="566" t="s">
        <v>444</v>
      </c>
    </row>
    <row r="6" spans="1:12">
      <c r="A6" s="9"/>
      <c r="B6" s="562" t="s">
        <v>7</v>
      </c>
      <c r="C6" s="562" t="s">
        <v>9</v>
      </c>
      <c r="D6" s="563" t="s">
        <v>10</v>
      </c>
      <c r="E6" s="562" t="s">
        <v>11</v>
      </c>
      <c r="F6" s="562" t="s">
        <v>11</v>
      </c>
    </row>
    <row r="7" spans="1:12" ht="2.25" customHeight="1">
      <c r="A7" s="12"/>
      <c r="B7" s="7"/>
      <c r="C7" s="7"/>
      <c r="D7" s="42"/>
      <c r="E7" s="43"/>
      <c r="F7" s="43"/>
    </row>
    <row r="8" spans="1:12">
      <c r="A8" s="40" t="s">
        <v>29</v>
      </c>
      <c r="B8" s="44">
        <v>86889</v>
      </c>
      <c r="C8" s="44">
        <v>91023.709000000003</v>
      </c>
      <c r="D8" s="45">
        <v>84351.805999999997</v>
      </c>
      <c r="E8" s="44">
        <v>85581.172999999995</v>
      </c>
      <c r="F8" s="44">
        <v>92123.562000000005</v>
      </c>
      <c r="G8" s="35"/>
      <c r="H8" s="35"/>
      <c r="I8" s="35"/>
      <c r="J8" s="35"/>
      <c r="K8" s="35"/>
      <c r="L8" s="35"/>
    </row>
    <row r="9" spans="1:12">
      <c r="A9" s="40" t="s">
        <v>30</v>
      </c>
      <c r="B9" s="17">
        <v>128253</v>
      </c>
      <c r="C9" s="17">
        <v>127597.65700000001</v>
      </c>
      <c r="D9" s="18">
        <v>127399.86500000001</v>
      </c>
      <c r="E9" s="17">
        <v>132035.62400000001</v>
      </c>
      <c r="F9" s="17">
        <v>142040.56700000001</v>
      </c>
      <c r="G9" s="35"/>
      <c r="H9" s="35"/>
      <c r="I9" s="35"/>
      <c r="J9" s="35"/>
      <c r="K9" s="35"/>
      <c r="L9" s="35"/>
    </row>
    <row r="10" spans="1:12">
      <c r="A10" s="46" t="s">
        <v>31</v>
      </c>
      <c r="B10" s="47">
        <v>-41364</v>
      </c>
      <c r="C10" s="47">
        <v>-36573.947999999997</v>
      </c>
      <c r="D10" s="48">
        <v>-43048.059000000001</v>
      </c>
      <c r="E10" s="47">
        <v>-46455.451000000001</v>
      </c>
      <c r="F10" s="47">
        <v>-49917.004999999997</v>
      </c>
      <c r="G10" s="35"/>
      <c r="H10" s="35"/>
      <c r="I10" s="35"/>
      <c r="J10" s="35"/>
      <c r="K10" s="35"/>
      <c r="L10" s="35"/>
    </row>
    <row r="11" spans="1:12">
      <c r="A11" s="34" t="s">
        <v>32</v>
      </c>
      <c r="B11" s="49">
        <v>61514.847000000002</v>
      </c>
      <c r="C11" s="49">
        <v>62543.974999999999</v>
      </c>
      <c r="D11" s="50">
        <v>63754.96</v>
      </c>
      <c r="E11" s="49">
        <v>64699.985000000001</v>
      </c>
      <c r="F11" s="49">
        <v>66075.282000000007</v>
      </c>
      <c r="G11" s="35"/>
      <c r="H11" s="35"/>
      <c r="I11" s="35"/>
      <c r="J11" s="35"/>
      <c r="K11" s="35"/>
      <c r="L11" s="35"/>
    </row>
    <row r="12" spans="1:12">
      <c r="A12" s="51" t="s">
        <v>33</v>
      </c>
      <c r="B12" s="49">
        <v>-3964</v>
      </c>
      <c r="C12" s="49">
        <v>-4023.134</v>
      </c>
      <c r="D12" s="50">
        <v>-3970.4740000000002</v>
      </c>
      <c r="E12" s="49">
        <v>-3937.3270000000002</v>
      </c>
      <c r="F12" s="49">
        <v>-3897.5079999999998</v>
      </c>
      <c r="G12" s="35"/>
      <c r="H12" s="35"/>
      <c r="I12" s="35"/>
      <c r="J12" s="35"/>
      <c r="K12" s="35"/>
      <c r="L12" s="35"/>
    </row>
    <row r="13" spans="1:12" ht="12.75" thickBot="1">
      <c r="A13" s="29" t="s">
        <v>34</v>
      </c>
      <c r="B13" s="30">
        <v>16186.847</v>
      </c>
      <c r="C13" s="52">
        <v>21946.893</v>
      </c>
      <c r="D13" s="31">
        <v>16736.427</v>
      </c>
      <c r="E13" s="30">
        <v>14308.207</v>
      </c>
      <c r="F13" s="30">
        <v>12261.769</v>
      </c>
      <c r="G13" s="35"/>
      <c r="H13" s="35"/>
      <c r="I13" s="35"/>
      <c r="J13" s="35"/>
      <c r="K13" s="35"/>
      <c r="L13" s="35"/>
    </row>
    <row r="14" spans="1:12" ht="3.75" customHeight="1">
      <c r="B14">
        <v>0</v>
      </c>
      <c r="C14">
        <v>0</v>
      </c>
      <c r="D14" s="53">
        <v>0</v>
      </c>
      <c r="E14">
        <v>0</v>
      </c>
      <c r="F14">
        <v>0</v>
      </c>
      <c r="G14" s="35"/>
      <c r="H14" s="35"/>
      <c r="I14" s="35"/>
      <c r="J14" s="35"/>
      <c r="K14" s="35"/>
      <c r="L14" s="35"/>
    </row>
    <row r="15" spans="1:12">
      <c r="A15" s="34" t="s">
        <v>35</v>
      </c>
      <c r="B15" s="17">
        <v>8500</v>
      </c>
      <c r="C15" s="17">
        <v>12648.842000000001</v>
      </c>
      <c r="D15" s="18">
        <v>18409.096000000001</v>
      </c>
      <c r="E15" s="17">
        <v>13197.536</v>
      </c>
      <c r="F15" s="17">
        <v>10769.784</v>
      </c>
      <c r="G15" s="35"/>
      <c r="H15" s="35"/>
      <c r="I15" s="35"/>
      <c r="J15" s="35"/>
      <c r="K15" s="35"/>
      <c r="L15" s="35"/>
    </row>
    <row r="16" spans="1:12">
      <c r="A16" s="34" t="s">
        <v>36</v>
      </c>
      <c r="B16" s="17">
        <v>4284.8419999999996</v>
      </c>
      <c r="C16" s="17">
        <v>5759.5540000000001</v>
      </c>
      <c r="D16" s="18">
        <v>-5210.8599999999997</v>
      </c>
      <c r="E16" s="17">
        <v>-2428.252</v>
      </c>
      <c r="F16" s="17">
        <v>-2046.9480000000001</v>
      </c>
      <c r="G16" s="35"/>
      <c r="H16" s="35"/>
      <c r="I16" s="35"/>
      <c r="J16" s="35"/>
      <c r="K16" s="35"/>
      <c r="L16" s="35"/>
    </row>
    <row r="17" spans="1:12">
      <c r="A17" s="193" t="s">
        <v>37</v>
      </c>
      <c r="B17" s="17">
        <v>-136</v>
      </c>
      <c r="C17" s="17">
        <v>0</v>
      </c>
      <c r="D17" s="18">
        <v>0</v>
      </c>
      <c r="E17" s="17">
        <v>0</v>
      </c>
      <c r="F17" s="17">
        <v>0</v>
      </c>
      <c r="G17" s="35"/>
      <c r="H17" s="35"/>
      <c r="I17" s="35"/>
      <c r="J17" s="35"/>
      <c r="K17" s="35"/>
      <c r="L17" s="35"/>
    </row>
    <row r="18" spans="1:12" ht="12.75" thickBot="1">
      <c r="A18" s="29" t="s">
        <v>407</v>
      </c>
      <c r="B18" s="30">
        <v>12648.842000000001</v>
      </c>
      <c r="C18" s="52">
        <v>18409.096000000001</v>
      </c>
      <c r="D18" s="31">
        <v>13197.536</v>
      </c>
      <c r="E18" s="30">
        <v>10769.784</v>
      </c>
      <c r="F18" s="30">
        <v>8722.8349999999991</v>
      </c>
      <c r="G18" s="35"/>
      <c r="H18" s="35"/>
      <c r="I18" s="35"/>
      <c r="J18" s="35"/>
      <c r="K18" s="35"/>
      <c r="L18" s="35"/>
    </row>
    <row r="19" spans="1:12" ht="3.75" customHeight="1">
      <c r="A19" s="34"/>
      <c r="B19" s="26">
        <v>0</v>
      </c>
      <c r="C19" s="26">
        <v>0</v>
      </c>
      <c r="D19" s="27">
        <v>0</v>
      </c>
      <c r="E19" s="26">
        <v>0</v>
      </c>
      <c r="F19" s="26">
        <v>0</v>
      </c>
      <c r="G19" s="35"/>
      <c r="H19" s="35"/>
      <c r="I19" s="35"/>
      <c r="J19" s="35"/>
      <c r="K19" s="35"/>
      <c r="L19" s="35"/>
    </row>
    <row r="20" spans="1:12">
      <c r="A20" s="34" t="s">
        <v>405</v>
      </c>
      <c r="B20" s="17">
        <v>3538</v>
      </c>
      <c r="C20" s="17">
        <v>3538</v>
      </c>
      <c r="D20" s="18">
        <v>3538</v>
      </c>
      <c r="E20" s="17">
        <v>3538</v>
      </c>
      <c r="F20" s="17">
        <v>3538</v>
      </c>
      <c r="G20" s="35"/>
      <c r="H20" s="35"/>
      <c r="I20" s="35"/>
      <c r="J20" s="35"/>
      <c r="K20" s="35"/>
      <c r="L20" s="35"/>
    </row>
    <row r="21" spans="1:12">
      <c r="A21" s="34" t="s">
        <v>406</v>
      </c>
      <c r="B21" s="17">
        <v>0</v>
      </c>
      <c r="C21" s="17">
        <v>0</v>
      </c>
      <c r="D21" s="18">
        <v>0</v>
      </c>
      <c r="E21" s="17">
        <v>0</v>
      </c>
      <c r="F21" s="17">
        <v>0</v>
      </c>
      <c r="G21" s="35"/>
      <c r="H21" s="35"/>
      <c r="I21" s="35"/>
      <c r="J21" s="35"/>
      <c r="K21" s="35"/>
      <c r="L21" s="35"/>
    </row>
    <row r="22" spans="1:12" ht="3.75" customHeight="1">
      <c r="A22" s="34"/>
      <c r="B22" s="17">
        <v>0</v>
      </c>
      <c r="C22" s="17">
        <v>0</v>
      </c>
      <c r="D22" s="18">
        <v>0</v>
      </c>
      <c r="E22" s="17">
        <v>0</v>
      </c>
      <c r="F22" s="17">
        <v>0</v>
      </c>
      <c r="G22" s="35"/>
      <c r="H22" s="35"/>
      <c r="I22" s="35"/>
      <c r="J22" s="35"/>
      <c r="K22" s="35"/>
      <c r="L22" s="35"/>
    </row>
    <row r="23" spans="1:12">
      <c r="A23" s="54" t="s">
        <v>38</v>
      </c>
      <c r="B23" s="55">
        <v>16186.842000000001</v>
      </c>
      <c r="C23" s="55">
        <v>21947.096000000001</v>
      </c>
      <c r="D23" s="56">
        <v>16735.536</v>
      </c>
      <c r="E23" s="55">
        <v>14307.784</v>
      </c>
      <c r="F23" s="55">
        <v>12260.834999999999</v>
      </c>
      <c r="G23" s="35"/>
      <c r="H23" s="35"/>
      <c r="I23" s="35"/>
      <c r="J23" s="35"/>
      <c r="K23" s="35"/>
      <c r="L23" s="35"/>
    </row>
    <row r="24" spans="1:12" ht="3.75" customHeight="1">
      <c r="C24" s="35"/>
      <c r="D24" s="57"/>
      <c r="E24" s="35"/>
      <c r="G24" s="35"/>
      <c r="H24" s="35"/>
      <c r="I24" s="35"/>
      <c r="J24" s="35"/>
      <c r="K24" s="35"/>
      <c r="L24" s="35"/>
    </row>
    <row r="25" spans="1:12" ht="12.75" thickBot="1">
      <c r="A25" s="58" t="s">
        <v>39</v>
      </c>
      <c r="B25" s="532">
        <v>-9.418E-2</v>
      </c>
      <c r="C25" s="532">
        <v>-7.5800000000000006E-2</v>
      </c>
      <c r="D25" s="533">
        <v>-8.6610000000000006E-2</v>
      </c>
      <c r="E25" s="532">
        <v>-9.0300000000000005E-2</v>
      </c>
      <c r="F25" s="532">
        <v>-9.2999999999999999E-2</v>
      </c>
      <c r="G25" s="35"/>
      <c r="H25" s="35"/>
      <c r="I25" s="35"/>
      <c r="J25" s="35"/>
      <c r="K25" s="35"/>
      <c r="L25" s="35"/>
    </row>
  </sheetData>
  <mergeCells count="1">
    <mergeCell ref="B4:F4"/>
  </mergeCells>
  <pageMargins left="0.7" right="0.7" top="0.75" bottom="0.75" header="0.3" footer="0.3"/>
  <pageSetup scale="99" orientation="portrait" r:id="rId1"/>
  <headerFooter alignWithMargins="0">
    <oddFooter>&amp;L_x000D_&amp;1#&amp;"Calibri"&amp;11&amp;K000000 Classification: Public</oddFooter>
  </headerFooter>
  <ignoredErrors>
    <ignoredError sqref="B5:F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1:M159"/>
  <sheetViews>
    <sheetView showGridLines="0" zoomScaleNormal="100" zoomScaleSheetLayoutView="80" workbookViewId="0">
      <selection activeCell="L26" sqref="L26"/>
    </sheetView>
  </sheetViews>
  <sheetFormatPr defaultColWidth="9" defaultRowHeight="11.25"/>
  <cols>
    <col min="1" max="1" width="3" style="59" customWidth="1"/>
    <col min="2" max="2" width="50" style="159" customWidth="1"/>
    <col min="3" max="3" width="8" style="61" customWidth="1"/>
    <col min="4" max="4" width="8" style="101" customWidth="1"/>
    <col min="5" max="5" width="8" style="101" bestFit="1" customWidth="1"/>
    <col min="6" max="6" width="8" style="61" customWidth="1"/>
    <col min="7" max="7" width="8" style="91" customWidth="1"/>
    <col min="8" max="8" width="8" style="59" customWidth="1"/>
    <col min="9" max="16384" width="9" style="59"/>
  </cols>
  <sheetData>
    <row r="1" spans="1:13" ht="15.75">
      <c r="B1" s="60" t="s">
        <v>40</v>
      </c>
      <c r="D1" s="62"/>
      <c r="E1" s="62"/>
    </row>
    <row r="2" spans="1:13" s="63" customFormat="1" ht="12" customHeight="1">
      <c r="B2" s="64" t="s">
        <v>1</v>
      </c>
      <c r="C2" s="62"/>
      <c r="D2" s="65"/>
      <c r="E2" s="65"/>
      <c r="F2" s="65"/>
      <c r="G2" s="538"/>
    </row>
    <row r="3" spans="1:13" s="63" customFormat="1" ht="3.75" customHeight="1">
      <c r="B3" s="64"/>
      <c r="C3" s="62"/>
      <c r="D3" s="62"/>
      <c r="E3" s="62"/>
      <c r="F3" s="65"/>
      <c r="G3" s="538"/>
    </row>
    <row r="4" spans="1:13" s="66" customFormat="1" ht="12" customHeight="1">
      <c r="B4" s="644" t="s">
        <v>41</v>
      </c>
      <c r="C4" s="558" t="s">
        <v>6</v>
      </c>
      <c r="D4" s="642" t="s">
        <v>285</v>
      </c>
      <c r="E4" s="642"/>
      <c r="F4" s="560" t="s">
        <v>325</v>
      </c>
      <c r="G4" s="558" t="s">
        <v>364</v>
      </c>
      <c r="H4" s="561" t="s">
        <v>365</v>
      </c>
    </row>
    <row r="5" spans="1:13" s="68" customFormat="1" ht="16.5" customHeight="1">
      <c r="A5" s="67"/>
      <c r="B5" s="645"/>
      <c r="C5" s="564" t="s">
        <v>7</v>
      </c>
      <c r="D5" s="562" t="s">
        <v>514</v>
      </c>
      <c r="E5" s="564" t="s">
        <v>9</v>
      </c>
      <c r="F5" s="630" t="s">
        <v>10</v>
      </c>
      <c r="G5" s="564" t="s">
        <v>11</v>
      </c>
      <c r="H5" s="564" t="s">
        <v>11</v>
      </c>
    </row>
    <row r="6" spans="1:13" s="69" customFormat="1" ht="3.75" customHeight="1">
      <c r="C6" s="62"/>
      <c r="D6" s="70"/>
      <c r="E6" s="70"/>
      <c r="F6" s="71"/>
      <c r="G6" s="312"/>
    </row>
    <row r="7" spans="1:13" ht="13.5" customHeight="1">
      <c r="A7" s="59">
        <v>1</v>
      </c>
      <c r="B7" s="72" t="s">
        <v>18</v>
      </c>
      <c r="C7" s="73">
        <v>74731.699999999983</v>
      </c>
      <c r="D7" s="73">
        <v>73536.987999999998</v>
      </c>
      <c r="E7" s="73">
        <v>80691.755999999994</v>
      </c>
      <c r="F7" s="74">
        <v>74137.896999999997</v>
      </c>
      <c r="G7" s="539">
        <v>77390.214000000007</v>
      </c>
      <c r="H7" s="73">
        <v>79969.441000000006</v>
      </c>
      <c r="I7" s="35"/>
      <c r="J7" s="35"/>
      <c r="K7" s="35"/>
      <c r="L7" s="35"/>
      <c r="M7" s="35"/>
    </row>
    <row r="8" spans="1:13" ht="12.75" customHeight="1">
      <c r="B8" s="75" t="s">
        <v>42</v>
      </c>
      <c r="C8" s="76"/>
      <c r="D8" s="77"/>
      <c r="E8" s="77"/>
      <c r="F8" s="78"/>
      <c r="G8" s="309"/>
      <c r="H8" s="79"/>
      <c r="I8" s="35"/>
      <c r="J8" s="35"/>
      <c r="K8" s="35"/>
      <c r="L8" s="35"/>
      <c r="M8" s="35"/>
    </row>
    <row r="9" spans="1:13" ht="12.75" customHeight="1">
      <c r="A9" s="59">
        <f>A7+1</f>
        <v>2</v>
      </c>
      <c r="B9" s="80" t="s">
        <v>19</v>
      </c>
      <c r="C9" s="81">
        <v>58143.035999999993</v>
      </c>
      <c r="D9" s="81">
        <v>60123.74</v>
      </c>
      <c r="E9" s="81">
        <v>62098.080999999998</v>
      </c>
      <c r="F9" s="78">
        <v>64310.55</v>
      </c>
      <c r="G9" s="82">
        <v>64830.847999999998</v>
      </c>
      <c r="H9" s="81">
        <v>66463.668000000005</v>
      </c>
      <c r="I9" s="35"/>
      <c r="J9" s="35"/>
      <c r="K9" s="35"/>
      <c r="L9" s="35"/>
      <c r="M9" s="35"/>
    </row>
    <row r="10" spans="1:13" ht="12.75" customHeight="1">
      <c r="A10" s="59">
        <f t="shared" ref="A10:A19" si="0">A9+1</f>
        <v>3</v>
      </c>
      <c r="B10" s="83" t="s">
        <v>43</v>
      </c>
      <c r="C10" s="84">
        <v>6.1779999999999999</v>
      </c>
      <c r="D10" s="85">
        <v>3.4060000000000001</v>
      </c>
      <c r="E10" s="85">
        <v>6.8019999999999996</v>
      </c>
      <c r="F10" s="86">
        <v>3.5619999999999998</v>
      </c>
      <c r="G10" s="85">
        <v>0.80900000000000005</v>
      </c>
      <c r="H10" s="87">
        <v>2.5179999999999998</v>
      </c>
      <c r="I10" s="35"/>
      <c r="J10" s="35"/>
      <c r="K10" s="35"/>
      <c r="L10" s="35"/>
      <c r="M10" s="35"/>
    </row>
    <row r="11" spans="1:13" ht="12.75" customHeight="1">
      <c r="A11" s="59">
        <f t="shared" si="0"/>
        <v>4</v>
      </c>
      <c r="B11" s="80" t="s">
        <v>20</v>
      </c>
      <c r="C11" s="81">
        <v>2102.855</v>
      </c>
      <c r="D11" s="81">
        <v>3468.8009999999999</v>
      </c>
      <c r="E11" s="81">
        <v>3293.6480000000001</v>
      </c>
      <c r="F11" s="78">
        <v>3452.3769999999995</v>
      </c>
      <c r="G11" s="82">
        <v>3686.1679999999997</v>
      </c>
      <c r="H11" s="81">
        <v>3475.7490000000003</v>
      </c>
      <c r="I11" s="35"/>
      <c r="J11" s="35"/>
      <c r="K11" s="35"/>
      <c r="L11" s="35"/>
      <c r="M11" s="35"/>
    </row>
    <row r="12" spans="1:13" s="88" customFormat="1" ht="12.75" customHeight="1">
      <c r="A12" s="59">
        <f t="shared" si="0"/>
        <v>5</v>
      </c>
      <c r="B12" s="80" t="s">
        <v>21</v>
      </c>
      <c r="C12" s="81">
        <v>4399.0460000000003</v>
      </c>
      <c r="D12" s="81">
        <v>4563.9150000000009</v>
      </c>
      <c r="E12" s="81">
        <v>4687.8839999999991</v>
      </c>
      <c r="F12" s="78">
        <v>4993.366</v>
      </c>
      <c r="G12" s="82">
        <v>5127.4589999999989</v>
      </c>
      <c r="H12" s="81">
        <v>5137.1049999999996</v>
      </c>
      <c r="I12" s="35"/>
      <c r="J12" s="35"/>
      <c r="K12" s="35"/>
      <c r="L12" s="35"/>
      <c r="M12" s="35"/>
    </row>
    <row r="13" spans="1:13" s="88" customFormat="1" ht="12.75" customHeight="1">
      <c r="A13" s="59">
        <f t="shared" si="0"/>
        <v>6</v>
      </c>
      <c r="B13" s="449" t="s">
        <v>349</v>
      </c>
      <c r="C13" s="81">
        <v>2250.1170000000002</v>
      </c>
      <c r="D13" s="81">
        <v>2608.1170000000002</v>
      </c>
      <c r="E13" s="81">
        <v>2439.7799999999997</v>
      </c>
      <c r="F13" s="78">
        <v>2347.8740000000007</v>
      </c>
      <c r="G13" s="82">
        <v>2622.3140000000003</v>
      </c>
      <c r="H13" s="81">
        <v>2959.9360000000001</v>
      </c>
      <c r="I13" s="35"/>
      <c r="J13" s="35"/>
      <c r="K13" s="35"/>
      <c r="L13" s="35"/>
      <c r="M13" s="35"/>
    </row>
    <row r="14" spans="1:13" ht="12.75" customHeight="1">
      <c r="A14" s="59">
        <f t="shared" si="0"/>
        <v>7</v>
      </c>
      <c r="B14" s="449" t="s">
        <v>155</v>
      </c>
      <c r="C14" s="81">
        <v>899</v>
      </c>
      <c r="D14" s="81">
        <v>781</v>
      </c>
      <c r="E14" s="81">
        <v>758.81499999999994</v>
      </c>
      <c r="F14" s="78">
        <v>619.74099999999999</v>
      </c>
      <c r="G14" s="82">
        <v>635.52299999999991</v>
      </c>
      <c r="H14" s="81">
        <v>668.81700000000001</v>
      </c>
      <c r="I14" s="35"/>
      <c r="J14" s="35"/>
      <c r="K14" s="35"/>
      <c r="L14" s="35"/>
      <c r="M14" s="35"/>
    </row>
    <row r="15" spans="1:13" ht="12.75" customHeight="1">
      <c r="A15" s="59">
        <f t="shared" si="0"/>
        <v>8</v>
      </c>
      <c r="B15" s="80" t="s">
        <v>23</v>
      </c>
      <c r="C15" s="81">
        <v>-372</v>
      </c>
      <c r="D15" s="82">
        <v>-363.6</v>
      </c>
      <c r="E15" s="81">
        <v>-363</v>
      </c>
      <c r="F15" s="78">
        <v>-374.98899999999958</v>
      </c>
      <c r="G15" s="82">
        <v>-383.98900000000049</v>
      </c>
      <c r="H15" s="81">
        <v>-389.02199999999993</v>
      </c>
      <c r="I15" s="35"/>
      <c r="J15" s="35"/>
      <c r="K15" s="35"/>
      <c r="L15" s="35"/>
      <c r="M15" s="35"/>
    </row>
    <row r="16" spans="1:13" ht="12.75" customHeight="1">
      <c r="A16" s="59">
        <f t="shared" si="0"/>
        <v>9</v>
      </c>
      <c r="B16" s="122" t="s">
        <v>391</v>
      </c>
      <c r="C16" s="466">
        <v>3025.3039999999996</v>
      </c>
      <c r="D16" s="466">
        <v>0</v>
      </c>
      <c r="E16" s="466">
        <v>2016.9939999999997</v>
      </c>
      <c r="F16" s="464">
        <v>0</v>
      </c>
      <c r="G16" s="466">
        <v>0</v>
      </c>
      <c r="H16" s="466">
        <v>0</v>
      </c>
      <c r="I16" s="35"/>
      <c r="J16" s="35"/>
      <c r="K16" s="35"/>
      <c r="L16" s="35"/>
      <c r="M16" s="35"/>
    </row>
    <row r="17" spans="1:13" ht="12.75" customHeight="1">
      <c r="A17" s="59">
        <f t="shared" si="0"/>
        <v>10</v>
      </c>
      <c r="B17" s="465" t="s">
        <v>351</v>
      </c>
      <c r="C17" s="91">
        <v>70447.357999999993</v>
      </c>
      <c r="D17" s="91">
        <v>71181.972999999998</v>
      </c>
      <c r="E17" s="91">
        <v>74932.202000000005</v>
      </c>
      <c r="F17" s="92">
        <v>75348.918999999994</v>
      </c>
      <c r="G17" s="91">
        <v>76518.323000000004</v>
      </c>
      <c r="H17" s="91">
        <v>78316.252999999997</v>
      </c>
      <c r="I17" s="35"/>
      <c r="J17" s="35"/>
      <c r="K17" s="35"/>
      <c r="L17" s="35"/>
      <c r="M17" s="35"/>
    </row>
    <row r="18" spans="1:13" ht="12.75" customHeight="1">
      <c r="A18" s="59">
        <f t="shared" si="0"/>
        <v>11</v>
      </c>
      <c r="B18" s="80" t="s">
        <v>392</v>
      </c>
      <c r="C18" s="91">
        <v>0</v>
      </c>
      <c r="D18" s="91">
        <v>2000</v>
      </c>
      <c r="E18" s="91">
        <v>0</v>
      </c>
      <c r="F18" s="92">
        <v>4000</v>
      </c>
      <c r="G18" s="91">
        <v>3300</v>
      </c>
      <c r="H18" s="91">
        <v>3700</v>
      </c>
      <c r="I18" s="35"/>
      <c r="J18" s="35"/>
      <c r="K18" s="35"/>
      <c r="L18" s="35"/>
      <c r="M18" s="35"/>
    </row>
    <row r="19" spans="1:13" ht="12.75" customHeight="1">
      <c r="A19" s="59">
        <f t="shared" si="0"/>
        <v>12</v>
      </c>
      <c r="B19" s="46" t="s">
        <v>24</v>
      </c>
      <c r="C19" s="95">
        <v>70447.357999999993</v>
      </c>
      <c r="D19" s="95">
        <v>73181.972999999998</v>
      </c>
      <c r="E19" s="95">
        <v>74932.202000000005</v>
      </c>
      <c r="F19" s="96">
        <v>79348.918999999994</v>
      </c>
      <c r="G19" s="95">
        <v>79818.323000000004</v>
      </c>
      <c r="H19" s="95">
        <v>82016.252999999997</v>
      </c>
      <c r="I19" s="35"/>
      <c r="J19" s="35"/>
      <c r="K19" s="35"/>
      <c r="L19" s="35"/>
      <c r="M19" s="35"/>
    </row>
    <row r="20" spans="1:13" ht="3.75" customHeight="1">
      <c r="B20" s="93"/>
      <c r="C20" s="94"/>
      <c r="D20" s="94"/>
      <c r="E20" s="94"/>
      <c r="F20" s="92"/>
      <c r="G20" s="94"/>
      <c r="H20" s="94"/>
      <c r="I20" s="35"/>
      <c r="J20" s="35"/>
      <c r="K20" s="35"/>
      <c r="L20" s="35"/>
      <c r="M20" s="35"/>
    </row>
    <row r="21" spans="1:13" ht="14.25" customHeight="1" thickBot="1">
      <c r="A21" s="97">
        <f>A19+1</f>
        <v>13</v>
      </c>
      <c r="B21" s="98" t="s">
        <v>36</v>
      </c>
      <c r="C21" s="99">
        <v>4285.3419999999996</v>
      </c>
      <c r="D21" s="99">
        <v>355.01499999999999</v>
      </c>
      <c r="E21" s="99">
        <v>5759.5540000000001</v>
      </c>
      <c r="F21" s="100">
        <v>-5211.0219999999999</v>
      </c>
      <c r="G21" s="111">
        <v>-2428.1089999999999</v>
      </c>
      <c r="H21" s="99">
        <v>-2046.8119999999999</v>
      </c>
      <c r="I21" s="35"/>
      <c r="J21" s="35"/>
      <c r="K21" s="35"/>
      <c r="L21" s="35"/>
      <c r="M21" s="35"/>
    </row>
    <row r="22" spans="1:13" ht="3.75" customHeight="1">
      <c r="B22" s="93"/>
      <c r="C22" s="101"/>
      <c r="F22" s="91"/>
      <c r="G22" s="94"/>
      <c r="H22" s="101"/>
      <c r="I22" s="35"/>
      <c r="J22" s="35"/>
      <c r="K22" s="35"/>
      <c r="L22" s="35"/>
      <c r="M22" s="35"/>
    </row>
    <row r="23" spans="1:13" ht="15.75" customHeight="1">
      <c r="A23" s="102"/>
      <c r="B23" s="103" t="s">
        <v>44</v>
      </c>
      <c r="C23" s="104"/>
      <c r="D23" s="104"/>
      <c r="E23" s="104"/>
      <c r="F23" s="105"/>
      <c r="G23" s="540"/>
      <c r="H23" s="104"/>
      <c r="I23" s="35"/>
      <c r="J23" s="35"/>
      <c r="K23" s="35"/>
      <c r="L23" s="35"/>
      <c r="M23" s="35"/>
    </row>
    <row r="24" spans="1:13" ht="3.75" customHeight="1">
      <c r="B24" s="106"/>
      <c r="C24" s="101"/>
      <c r="D24" s="94"/>
      <c r="E24" s="94"/>
      <c r="F24" s="92"/>
      <c r="G24" s="94"/>
      <c r="H24" s="101"/>
      <c r="I24" s="35"/>
      <c r="J24" s="35"/>
      <c r="K24" s="35"/>
      <c r="L24" s="35"/>
      <c r="M24" s="35"/>
    </row>
    <row r="25" spans="1:13" ht="12.75" customHeight="1">
      <c r="A25" s="59">
        <f>A21+1</f>
        <v>14</v>
      </c>
      <c r="B25" s="80" t="s">
        <v>20</v>
      </c>
      <c r="C25" s="61">
        <v>2102.855</v>
      </c>
      <c r="D25" s="61">
        <v>3468.8009999999999</v>
      </c>
      <c r="E25" s="61">
        <v>3293.6480000000001</v>
      </c>
      <c r="F25" s="92">
        <v>3452.3769999999995</v>
      </c>
      <c r="G25" s="91">
        <v>3686.1679999999997</v>
      </c>
      <c r="H25" s="61">
        <v>3475.7490000000003</v>
      </c>
      <c r="I25" s="35"/>
      <c r="J25" s="35"/>
      <c r="K25" s="35"/>
      <c r="L25" s="35"/>
      <c r="M25" s="35"/>
    </row>
    <row r="26" spans="1:13" ht="12.75" customHeight="1">
      <c r="A26" s="59">
        <f>A25+1</f>
        <v>15</v>
      </c>
      <c r="B26" s="107" t="s">
        <v>45</v>
      </c>
      <c r="C26" s="61">
        <v>4196.7219999999998</v>
      </c>
      <c r="D26" s="61">
        <v>4830.2310000000007</v>
      </c>
      <c r="E26" s="61">
        <v>4371.4950000000008</v>
      </c>
      <c r="F26" s="92">
        <v>5186.8930000000009</v>
      </c>
      <c r="G26" s="91">
        <v>4989.8369999999995</v>
      </c>
      <c r="H26" s="61">
        <v>5355.6110000000008</v>
      </c>
      <c r="I26" s="35"/>
      <c r="J26" s="35"/>
      <c r="K26" s="35"/>
      <c r="L26" s="35"/>
      <c r="M26" s="35"/>
    </row>
    <row r="27" spans="1:13" ht="3.75" customHeight="1">
      <c r="B27" s="80"/>
      <c r="C27" s="108"/>
      <c r="D27" s="109"/>
      <c r="E27" s="109"/>
      <c r="F27" s="110"/>
      <c r="G27" s="109"/>
      <c r="H27" s="109"/>
      <c r="I27" s="35"/>
      <c r="J27" s="35"/>
      <c r="K27" s="35"/>
      <c r="L27" s="35"/>
      <c r="M27" s="35"/>
    </row>
    <row r="28" spans="1:13" ht="14.25" customHeight="1" thickBot="1">
      <c r="A28" s="97">
        <f>A26+1</f>
        <v>16</v>
      </c>
      <c r="B28" s="98" t="s">
        <v>46</v>
      </c>
      <c r="C28" s="99">
        <v>6299.5770000000002</v>
      </c>
      <c r="D28" s="111">
        <v>8299.0320000000011</v>
      </c>
      <c r="E28" s="111">
        <v>7665.1430000000009</v>
      </c>
      <c r="F28" s="100">
        <v>8639.27</v>
      </c>
      <c r="G28" s="111">
        <v>8676.0049999999992</v>
      </c>
      <c r="H28" s="99">
        <v>8831.2950000000001</v>
      </c>
      <c r="I28" s="35"/>
      <c r="J28" s="35"/>
      <c r="K28" s="35"/>
      <c r="L28" s="35"/>
      <c r="M28" s="35"/>
    </row>
    <row r="29" spans="1:13" ht="3.75" customHeight="1">
      <c r="B29" s="112"/>
      <c r="C29" s="113"/>
      <c r="D29" s="77"/>
      <c r="E29" s="77"/>
      <c r="F29" s="81"/>
      <c r="G29" s="82"/>
      <c r="H29" s="114"/>
      <c r="I29" s="35"/>
      <c r="J29" s="35"/>
      <c r="K29" s="35"/>
      <c r="L29" s="35"/>
      <c r="M29" s="35"/>
    </row>
    <row r="30" spans="1:13" ht="15.75" customHeight="1">
      <c r="A30" s="102"/>
      <c r="B30" s="115" t="s">
        <v>47</v>
      </c>
      <c r="C30" s="646" t="s">
        <v>48</v>
      </c>
      <c r="D30" s="646"/>
      <c r="E30" s="646"/>
      <c r="F30" s="646"/>
      <c r="G30" s="646"/>
      <c r="H30" s="646"/>
      <c r="I30" s="35"/>
      <c r="J30" s="35"/>
      <c r="K30" s="35"/>
      <c r="L30" s="35"/>
      <c r="M30" s="35"/>
    </row>
    <row r="31" spans="1:13" ht="3.75" customHeight="1">
      <c r="B31" s="117"/>
      <c r="C31" s="116"/>
      <c r="D31" s="118"/>
      <c r="E31" s="118"/>
      <c r="F31" s="116"/>
      <c r="G31" s="118"/>
      <c r="H31" s="116"/>
      <c r="I31" s="35"/>
      <c r="J31" s="35"/>
      <c r="K31" s="35"/>
      <c r="L31" s="35"/>
      <c r="M31" s="35"/>
    </row>
    <row r="32" spans="1:13" ht="13.5" customHeight="1">
      <c r="A32" s="59">
        <f>A28+1</f>
        <v>17</v>
      </c>
      <c r="B32" s="46" t="s">
        <v>420</v>
      </c>
      <c r="C32" s="119">
        <v>5136</v>
      </c>
      <c r="D32" s="120">
        <v>3218</v>
      </c>
      <c r="E32" s="120">
        <v>3667</v>
      </c>
      <c r="F32" s="121">
        <v>2167.165</v>
      </c>
      <c r="G32" s="120">
        <v>0</v>
      </c>
      <c r="H32" s="120">
        <v>0</v>
      </c>
      <c r="I32" s="35"/>
      <c r="J32" s="35"/>
      <c r="K32" s="35"/>
      <c r="L32" s="35"/>
      <c r="M32" s="35"/>
    </row>
    <row r="33" spans="1:13" ht="13.5" customHeight="1">
      <c r="A33" s="59">
        <f>A32+1</f>
        <v>18</v>
      </c>
      <c r="B33" s="80" t="s">
        <v>421</v>
      </c>
      <c r="C33" s="113">
        <v>0</v>
      </c>
      <c r="D33" s="89">
        <v>-2000</v>
      </c>
      <c r="E33" s="89">
        <v>-2000</v>
      </c>
      <c r="F33" s="90">
        <v>-1083.5820000000001</v>
      </c>
      <c r="G33" s="89">
        <v>0</v>
      </c>
      <c r="H33" s="89">
        <v>0</v>
      </c>
      <c r="I33" s="35"/>
      <c r="J33" s="35"/>
      <c r="K33" s="35"/>
      <c r="L33" s="35"/>
      <c r="M33" s="35"/>
    </row>
    <row r="34" spans="1:13" ht="13.5" customHeight="1">
      <c r="A34" s="59">
        <f>A33+1</f>
        <v>19</v>
      </c>
      <c r="B34" s="46" t="s">
        <v>25</v>
      </c>
      <c r="C34" s="113">
        <v>4285.3419999999896</v>
      </c>
      <c r="D34" s="89">
        <v>355.01499999999999</v>
      </c>
      <c r="E34" s="89">
        <v>5759.5540000000001</v>
      </c>
      <c r="F34" s="90">
        <v>-5211.0219999999999</v>
      </c>
      <c r="G34" s="89">
        <v>-2428.1089999999999</v>
      </c>
      <c r="H34" s="113">
        <v>-2046.8119999999999</v>
      </c>
      <c r="I34" s="35"/>
      <c r="J34" s="35"/>
      <c r="K34" s="35"/>
      <c r="L34" s="35"/>
      <c r="M34" s="35"/>
    </row>
    <row r="35" spans="1:13" ht="13.5" customHeight="1">
      <c r="B35" s="46" t="s">
        <v>541</v>
      </c>
      <c r="C35" s="113"/>
      <c r="D35" s="89">
        <v>0</v>
      </c>
      <c r="E35" s="89">
        <v>0</v>
      </c>
      <c r="F35" s="90">
        <v>0</v>
      </c>
      <c r="G35" s="89">
        <v>0</v>
      </c>
      <c r="H35" s="113">
        <v>0</v>
      </c>
      <c r="I35" s="35"/>
      <c r="J35" s="35"/>
      <c r="K35" s="35"/>
      <c r="L35" s="35"/>
      <c r="M35" s="35"/>
    </row>
    <row r="36" spans="1:13" ht="13.5" customHeight="1">
      <c r="A36" s="59">
        <f>A34+1</f>
        <v>20</v>
      </c>
      <c r="B36" s="80" t="s">
        <v>389</v>
      </c>
      <c r="C36" s="113">
        <v>-972.29700000000003</v>
      </c>
      <c r="D36" s="113">
        <v>-2099.8829999999998</v>
      </c>
      <c r="E36" s="113">
        <v>-2995.5929999999998</v>
      </c>
      <c r="F36" s="90">
        <v>-1948.509</v>
      </c>
      <c r="G36" s="89">
        <v>-2822.107</v>
      </c>
      <c r="H36" s="113">
        <v>-3274.8760000000002</v>
      </c>
      <c r="I36" s="35"/>
      <c r="J36" s="35"/>
      <c r="K36" s="35"/>
      <c r="L36" s="35"/>
      <c r="M36" s="35"/>
    </row>
    <row r="37" spans="1:13" ht="13.5" customHeight="1">
      <c r="A37" s="59">
        <f>A34+1</f>
        <v>20</v>
      </c>
      <c r="B37" s="80" t="s">
        <v>49</v>
      </c>
      <c r="C37" s="113">
        <v>1280.3890000000004</v>
      </c>
      <c r="D37" s="113">
        <v>278.87299999999999</v>
      </c>
      <c r="E37" s="113">
        <v>-298.53899999999999</v>
      </c>
      <c r="F37" s="90">
        <v>532.74400000000003</v>
      </c>
      <c r="G37" s="89">
        <v>-14.353</v>
      </c>
      <c r="H37" s="113">
        <v>-368.47199999999998</v>
      </c>
      <c r="I37" s="35"/>
      <c r="J37" s="35"/>
      <c r="K37" s="35"/>
      <c r="L37" s="35"/>
      <c r="M37" s="35"/>
    </row>
    <row r="38" spans="1:13" ht="13.5" customHeight="1">
      <c r="A38" s="59">
        <f t="shared" ref="A38:A43" si="1">A37+1</f>
        <v>21</v>
      </c>
      <c r="B38" s="122" t="s">
        <v>50</v>
      </c>
      <c r="C38" s="113">
        <v>-2397</v>
      </c>
      <c r="D38" s="113">
        <v>-2257.1779999999999</v>
      </c>
      <c r="E38" s="113">
        <v>-2065.2570000000001</v>
      </c>
      <c r="F38" s="90">
        <v>-1914.5709999999999</v>
      </c>
      <c r="G38" s="89">
        <v>-2322.9090000000001</v>
      </c>
      <c r="H38" s="113">
        <v>-2770.1179999999999</v>
      </c>
      <c r="I38" s="35"/>
      <c r="J38" s="35"/>
      <c r="K38" s="35"/>
      <c r="L38" s="35"/>
      <c r="M38" s="35"/>
    </row>
    <row r="39" spans="1:13" ht="13.5" customHeight="1">
      <c r="A39" s="59">
        <f t="shared" si="1"/>
        <v>22</v>
      </c>
      <c r="B39" s="122" t="s">
        <v>395</v>
      </c>
      <c r="C39" s="463">
        <v>0</v>
      </c>
      <c r="D39" s="463">
        <v>100</v>
      </c>
      <c r="E39" s="463">
        <v>100</v>
      </c>
      <c r="F39" s="464">
        <v>100</v>
      </c>
      <c r="G39" s="466">
        <v>100</v>
      </c>
      <c r="H39" s="463">
        <v>100</v>
      </c>
      <c r="I39" s="35"/>
      <c r="J39" s="35"/>
      <c r="K39" s="35"/>
      <c r="L39" s="35"/>
      <c r="M39" s="35"/>
    </row>
    <row r="40" spans="1:13" ht="23.25" customHeight="1">
      <c r="A40" s="59">
        <f t="shared" si="1"/>
        <v>23</v>
      </c>
      <c r="B40" s="228" t="s">
        <v>515</v>
      </c>
      <c r="C40" s="113">
        <v>7332.908999999996</v>
      </c>
      <c r="D40" s="113">
        <v>-2405.1729999999998</v>
      </c>
      <c r="E40" s="113">
        <v>2167.165</v>
      </c>
      <c r="F40" s="90">
        <v>-7357.7749999999996</v>
      </c>
      <c r="G40" s="89">
        <v>-7487.4780000000001</v>
      </c>
      <c r="H40" s="113">
        <v>-8360.2780000000002</v>
      </c>
      <c r="I40" s="35"/>
      <c r="J40" s="35"/>
      <c r="K40" s="35"/>
      <c r="L40" s="35"/>
      <c r="M40" s="35"/>
    </row>
    <row r="41" spans="1:13" ht="13.5" customHeight="1">
      <c r="A41" s="59">
        <f t="shared" si="1"/>
        <v>24</v>
      </c>
      <c r="B41" s="122" t="s">
        <v>413</v>
      </c>
      <c r="C41" s="113">
        <v>-3666.454499999998</v>
      </c>
      <c r="D41" s="113">
        <v>0</v>
      </c>
      <c r="E41" s="137">
        <v>-1083.5820000000001</v>
      </c>
      <c r="F41" s="153">
        <v>0</v>
      </c>
      <c r="G41" s="137">
        <v>0</v>
      </c>
      <c r="H41" s="355">
        <v>0</v>
      </c>
      <c r="I41" s="35"/>
      <c r="J41" s="35"/>
      <c r="K41" s="35"/>
      <c r="L41" s="35"/>
      <c r="M41" s="35"/>
    </row>
    <row r="42" spans="1:13" ht="13.5" customHeight="1">
      <c r="A42" s="59">
        <f t="shared" si="1"/>
        <v>25</v>
      </c>
      <c r="B42" s="122" t="s">
        <v>414</v>
      </c>
      <c r="C42" s="137">
        <v>-3666.8544999999981</v>
      </c>
      <c r="D42" s="137">
        <v>0</v>
      </c>
      <c r="E42" s="137">
        <v>-1083.5820000000001</v>
      </c>
      <c r="F42" s="153">
        <v>0</v>
      </c>
      <c r="G42" s="137">
        <v>0</v>
      </c>
      <c r="H42" s="355">
        <v>0</v>
      </c>
      <c r="I42" s="35"/>
      <c r="J42" s="35"/>
      <c r="K42" s="35"/>
      <c r="L42" s="35"/>
      <c r="M42" s="35"/>
    </row>
    <row r="43" spans="1:13" ht="13.5" customHeight="1">
      <c r="A43" s="59">
        <f t="shared" si="1"/>
        <v>26</v>
      </c>
      <c r="B43" s="122" t="s">
        <v>346</v>
      </c>
      <c r="C43" s="467">
        <v>0</v>
      </c>
      <c r="D43" s="467">
        <v>2405.1729999999998</v>
      </c>
      <c r="E43" s="467">
        <v>0</v>
      </c>
      <c r="F43" s="468">
        <v>7357.7749999999996</v>
      </c>
      <c r="G43" s="467">
        <v>7487.4780000000001</v>
      </c>
      <c r="H43" s="469">
        <v>8360.2780000000002</v>
      </c>
      <c r="I43" s="35"/>
      <c r="J43" s="35"/>
      <c r="K43" s="35"/>
      <c r="L43" s="35"/>
      <c r="M43" s="35"/>
    </row>
    <row r="44" spans="1:13" ht="13.5" customHeight="1" thickBot="1">
      <c r="A44" s="59">
        <f>A42+1</f>
        <v>26</v>
      </c>
      <c r="B44" s="124" t="s">
        <v>51</v>
      </c>
      <c r="C44" s="576">
        <v>0</v>
      </c>
      <c r="D44" s="610">
        <v>0</v>
      </c>
      <c r="E44" s="576">
        <v>2167.165</v>
      </c>
      <c r="F44" s="577">
        <v>0</v>
      </c>
      <c r="G44" s="576">
        <v>0</v>
      </c>
      <c r="H44" s="576">
        <v>0</v>
      </c>
      <c r="I44" s="35"/>
      <c r="J44" s="35"/>
      <c r="K44" s="35"/>
      <c r="L44" s="35"/>
      <c r="M44" s="35"/>
    </row>
    <row r="45" spans="1:13" ht="3.75" customHeight="1">
      <c r="B45"/>
      <c r="C45"/>
      <c r="D45"/>
      <c r="E45"/>
      <c r="F45"/>
      <c r="G45"/>
      <c r="H45"/>
      <c r="I45" s="35"/>
      <c r="J45" s="35"/>
      <c r="K45" s="35"/>
      <c r="L45" s="35"/>
      <c r="M45" s="35"/>
    </row>
    <row r="46" spans="1:13" ht="15.75" customHeight="1">
      <c r="B46" s="125" t="s">
        <v>52</v>
      </c>
      <c r="C46" s="647" t="s">
        <v>48</v>
      </c>
      <c r="D46" s="647"/>
      <c r="E46" s="647"/>
      <c r="F46" s="647"/>
      <c r="G46" s="647"/>
      <c r="H46" s="647"/>
      <c r="I46" s="35"/>
      <c r="J46" s="35"/>
      <c r="K46" s="35"/>
      <c r="L46" s="35"/>
      <c r="M46" s="35"/>
    </row>
    <row r="47" spans="1:13" ht="3.75" customHeight="1">
      <c r="A47" s="126"/>
      <c r="B47" s="127"/>
      <c r="C47" s="128"/>
      <c r="D47" s="128"/>
      <c r="E47" s="128"/>
      <c r="F47" s="129"/>
      <c r="G47" s="128"/>
      <c r="H47" s="128"/>
      <c r="I47" s="35"/>
      <c r="J47" s="35"/>
      <c r="K47" s="35"/>
      <c r="L47" s="35"/>
      <c r="M47" s="35"/>
    </row>
    <row r="48" spans="1:13" ht="12.75" customHeight="1">
      <c r="B48" s="130" t="s">
        <v>53</v>
      </c>
      <c r="C48" s="131"/>
      <c r="D48" s="132"/>
      <c r="E48" s="132"/>
      <c r="F48" s="133"/>
      <c r="G48" s="134"/>
      <c r="H48" s="134"/>
      <c r="I48" s="35"/>
      <c r="J48" s="35"/>
      <c r="K48" s="35"/>
      <c r="L48" s="35"/>
      <c r="M48" s="35"/>
    </row>
    <row r="49" spans="1:13" ht="12.75" customHeight="1">
      <c r="A49" s="59">
        <f>A44+1</f>
        <v>27</v>
      </c>
      <c r="B49" s="135" t="s">
        <v>54</v>
      </c>
      <c r="C49" s="136">
        <v>45525</v>
      </c>
      <c r="D49" s="137">
        <v>47594</v>
      </c>
      <c r="E49" s="137">
        <v>47594</v>
      </c>
      <c r="F49" s="138">
        <v>37554.127</v>
      </c>
      <c r="G49" s="136">
        <v>44818.781000000003</v>
      </c>
      <c r="H49" s="139">
        <v>52208.934999999998</v>
      </c>
      <c r="I49" s="35"/>
      <c r="J49" s="35"/>
      <c r="K49" s="35"/>
      <c r="L49" s="35"/>
      <c r="M49" s="35"/>
    </row>
    <row r="50" spans="1:13" ht="12.75" customHeight="1">
      <c r="A50" s="59">
        <f>A49+1</f>
        <v>28</v>
      </c>
      <c r="B50" s="135" t="s">
        <v>55</v>
      </c>
      <c r="C50" s="140">
        <v>64</v>
      </c>
      <c r="D50" s="140">
        <v>1</v>
      </c>
      <c r="E50" s="140">
        <v>0.57599999999999996</v>
      </c>
      <c r="F50" s="18">
        <v>0</v>
      </c>
      <c r="G50" s="17">
        <v>0</v>
      </c>
      <c r="H50" s="140">
        <v>0</v>
      </c>
      <c r="I50" s="35"/>
      <c r="J50" s="35"/>
      <c r="K50" s="35"/>
      <c r="L50" s="35"/>
      <c r="M50" s="35"/>
    </row>
    <row r="51" spans="1:13" ht="12.75" customHeight="1">
      <c r="A51" s="59">
        <f>A50+1</f>
        <v>29</v>
      </c>
      <c r="B51" s="59" t="s">
        <v>342</v>
      </c>
      <c r="C51" s="140">
        <v>-92</v>
      </c>
      <c r="D51" s="140">
        <v>-98</v>
      </c>
      <c r="E51" s="140">
        <v>-98.448999999999998</v>
      </c>
      <c r="F51" s="18">
        <v>-103.101</v>
      </c>
      <c r="G51" s="17">
        <v>-107.746</v>
      </c>
      <c r="H51" s="140">
        <v>-112.313</v>
      </c>
      <c r="I51" s="35"/>
      <c r="J51" s="35"/>
      <c r="K51" s="35"/>
      <c r="L51" s="35"/>
      <c r="M51" s="35"/>
    </row>
    <row r="52" spans="1:13" ht="12.75" customHeight="1">
      <c r="A52" s="59">
        <f>A51+1</f>
        <v>30</v>
      </c>
      <c r="B52" s="59" t="s">
        <v>343</v>
      </c>
      <c r="C52" s="136">
        <v>2097</v>
      </c>
      <c r="D52" s="137">
        <v>2403.98</v>
      </c>
      <c r="E52" s="137">
        <v>10</v>
      </c>
      <c r="F52" s="138">
        <v>7367.915</v>
      </c>
      <c r="G52" s="136">
        <v>7497.9</v>
      </c>
      <c r="H52" s="139">
        <v>8369.8379999999997</v>
      </c>
      <c r="I52" s="35"/>
      <c r="J52" s="35"/>
      <c r="K52" s="35"/>
      <c r="L52" s="35"/>
      <c r="M52" s="35"/>
    </row>
    <row r="53" spans="1:13" ht="12.75" customHeight="1">
      <c r="A53" s="59">
        <f>A52+1</f>
        <v>31</v>
      </c>
      <c r="B53" s="141" t="s">
        <v>56</v>
      </c>
      <c r="C53" s="142">
        <v>47594</v>
      </c>
      <c r="D53" s="142">
        <v>49900.98</v>
      </c>
      <c r="E53" s="142">
        <v>47506.127</v>
      </c>
      <c r="F53" s="143">
        <v>44818.940999999999</v>
      </c>
      <c r="G53" s="142">
        <v>52208.934999999998</v>
      </c>
      <c r="H53" s="144">
        <v>60467.46</v>
      </c>
      <c r="I53" s="35"/>
      <c r="J53" s="35"/>
      <c r="K53" s="35"/>
      <c r="L53" s="35"/>
      <c r="M53" s="35"/>
    </row>
    <row r="54" spans="1:13" ht="12.75" customHeight="1">
      <c r="B54" s="130" t="s">
        <v>344</v>
      </c>
      <c r="C54" s="145"/>
      <c r="D54" s="146"/>
      <c r="E54" s="146"/>
      <c r="F54" s="147"/>
      <c r="G54" s="145"/>
      <c r="H54" s="145"/>
      <c r="I54" s="35"/>
      <c r="J54" s="35"/>
      <c r="K54" s="35"/>
      <c r="L54" s="35"/>
      <c r="M54" s="35"/>
    </row>
    <row r="55" spans="1:13" ht="12.75" customHeight="1">
      <c r="A55" s="59">
        <f>A53+1</f>
        <v>32</v>
      </c>
      <c r="B55" s="135" t="s">
        <v>54</v>
      </c>
      <c r="C55" s="139">
        <v>33763</v>
      </c>
      <c r="D55" s="137">
        <v>37452</v>
      </c>
      <c r="E55" s="137">
        <v>37930</v>
      </c>
      <c r="F55" s="148">
        <v>37936</v>
      </c>
      <c r="G55" s="149">
        <v>37937</v>
      </c>
      <c r="H55" s="149">
        <v>37938</v>
      </c>
      <c r="I55" s="35"/>
      <c r="J55" s="35"/>
      <c r="K55" s="35"/>
      <c r="L55" s="35"/>
      <c r="M55" s="35"/>
    </row>
    <row r="56" spans="1:13" ht="12.75" customHeight="1">
      <c r="A56" s="59">
        <f>A55+1</f>
        <v>33</v>
      </c>
      <c r="B56" s="59" t="s">
        <v>343</v>
      </c>
      <c r="C56" s="150">
        <v>478</v>
      </c>
      <c r="D56" s="150">
        <v>478</v>
      </c>
      <c r="E56" s="150">
        <v>6</v>
      </c>
      <c r="F56" s="151">
        <v>1</v>
      </c>
      <c r="G56" s="209">
        <v>1</v>
      </c>
      <c r="H56" s="150">
        <v>1</v>
      </c>
      <c r="I56" s="35"/>
      <c r="J56" s="35"/>
      <c r="K56" s="35"/>
      <c r="L56" s="35"/>
      <c r="M56" s="35"/>
    </row>
    <row r="57" spans="1:13" ht="12.75" customHeight="1">
      <c r="A57" s="59">
        <f>A56+1</f>
        <v>34</v>
      </c>
      <c r="B57" s="141" t="s">
        <v>57</v>
      </c>
      <c r="C57" s="142">
        <v>34241</v>
      </c>
      <c r="D57" s="142">
        <v>37930</v>
      </c>
      <c r="E57" s="142">
        <v>37936</v>
      </c>
      <c r="F57" s="143">
        <v>37937</v>
      </c>
      <c r="G57" s="142">
        <v>37938</v>
      </c>
      <c r="H57" s="142">
        <v>37939</v>
      </c>
      <c r="I57" s="35"/>
      <c r="J57" s="35"/>
      <c r="K57" s="35"/>
      <c r="L57" s="35"/>
      <c r="M57" s="35"/>
    </row>
    <row r="58" spans="1:13" ht="3.75" customHeight="1">
      <c r="A58" s="152"/>
      <c r="B58" s="130"/>
      <c r="C58" s="132"/>
      <c r="D58" s="35"/>
      <c r="E58" s="35"/>
      <c r="F58" s="153"/>
      <c r="G58" s="132"/>
      <c r="H58" s="154"/>
      <c r="I58" s="35"/>
      <c r="J58" s="35"/>
      <c r="K58" s="35"/>
      <c r="L58" s="35"/>
      <c r="M58" s="35"/>
    </row>
    <row r="59" spans="1:13" ht="12.75" customHeight="1" thickBot="1">
      <c r="A59" s="97">
        <f>A57+1</f>
        <v>35</v>
      </c>
      <c r="B59" s="155" t="s">
        <v>345</v>
      </c>
      <c r="C59" s="156">
        <v>81835</v>
      </c>
      <c r="D59" s="157">
        <v>87829.98</v>
      </c>
      <c r="E59" s="157">
        <v>85442.126999999993</v>
      </c>
      <c r="F59" s="158">
        <v>82755.941000000006</v>
      </c>
      <c r="G59" s="608">
        <v>90146.934999999998</v>
      </c>
      <c r="H59" s="156">
        <v>98406.46</v>
      </c>
      <c r="I59" s="35"/>
      <c r="J59" s="35"/>
      <c r="K59" s="35"/>
      <c r="L59" s="35"/>
      <c r="M59" s="35"/>
    </row>
    <row r="60" spans="1:13" ht="12.75" customHeight="1"/>
    <row r="61" spans="1:13" ht="12.75" customHeight="1">
      <c r="A61"/>
      <c r="B61"/>
      <c r="C61"/>
      <c r="D61"/>
      <c r="E61"/>
      <c r="F61"/>
      <c r="G61"/>
      <c r="H61"/>
    </row>
    <row r="62" spans="1:13" ht="12.75" customHeight="1">
      <c r="A62"/>
      <c r="B62"/>
      <c r="C62"/>
      <c r="D62"/>
      <c r="E62"/>
      <c r="F62"/>
      <c r="G62"/>
      <c r="H62"/>
    </row>
    <row r="63" spans="1:13" ht="3.75" customHeight="1">
      <c r="A63"/>
      <c r="B63"/>
      <c r="C63"/>
      <c r="D63"/>
      <c r="E63"/>
      <c r="F63"/>
      <c r="G63"/>
      <c r="H63"/>
    </row>
    <row r="64" spans="1:13" ht="12.75" customHeight="1">
      <c r="A64"/>
      <c r="B64"/>
      <c r="C64"/>
      <c r="D64"/>
      <c r="E64"/>
      <c r="F64"/>
      <c r="G64"/>
      <c r="H64"/>
    </row>
    <row r="65" spans="1:8" ht="12.75" customHeight="1">
      <c r="A65"/>
      <c r="B65"/>
      <c r="C65"/>
      <c r="D65"/>
      <c r="E65"/>
      <c r="F65"/>
      <c r="G65"/>
      <c r="H65"/>
    </row>
    <row r="66" spans="1:8" ht="12.75" customHeight="1">
      <c r="A66"/>
      <c r="B66"/>
      <c r="C66"/>
      <c r="D66"/>
      <c r="E66"/>
      <c r="F66"/>
      <c r="G66"/>
      <c r="H66"/>
    </row>
    <row r="67" spans="1:8" ht="12.75" customHeight="1">
      <c r="A67"/>
      <c r="B67"/>
      <c r="C67"/>
      <c r="D67"/>
      <c r="E67"/>
      <c r="F67"/>
      <c r="G67"/>
      <c r="H67"/>
    </row>
    <row r="68" spans="1:8" ht="3.75" customHeight="1">
      <c r="A68"/>
      <c r="B68"/>
      <c r="C68"/>
      <c r="D68"/>
      <c r="E68"/>
      <c r="F68"/>
      <c r="G68"/>
      <c r="H68"/>
    </row>
    <row r="69" spans="1:8" ht="12.75" customHeight="1">
      <c r="A69"/>
      <c r="B69"/>
      <c r="C69"/>
      <c r="D69"/>
      <c r="E69"/>
      <c r="F69"/>
      <c r="G69"/>
      <c r="H69"/>
    </row>
    <row r="70" spans="1:8" ht="12.75" customHeight="1">
      <c r="A70"/>
      <c r="B70"/>
      <c r="C70"/>
      <c r="D70"/>
      <c r="E70"/>
      <c r="F70"/>
      <c r="G70"/>
      <c r="H70"/>
    </row>
    <row r="71" spans="1:8" ht="12.75" customHeight="1">
      <c r="A71"/>
      <c r="B71"/>
      <c r="C71"/>
      <c r="D71"/>
      <c r="E71"/>
      <c r="F71"/>
      <c r="G71"/>
      <c r="H71"/>
    </row>
    <row r="72" spans="1:8" ht="12.75" customHeight="1">
      <c r="A72"/>
      <c r="B72"/>
      <c r="C72"/>
      <c r="D72"/>
      <c r="E72"/>
      <c r="F72"/>
      <c r="G72"/>
      <c r="H72"/>
    </row>
    <row r="73" spans="1:8" ht="12">
      <c r="A73"/>
      <c r="B73"/>
      <c r="C73"/>
      <c r="D73"/>
      <c r="E73"/>
      <c r="F73"/>
      <c r="G73"/>
      <c r="H73"/>
    </row>
    <row r="74" spans="1:8" ht="12.75" customHeight="1">
      <c r="A74"/>
      <c r="B74"/>
      <c r="C74"/>
      <c r="D74"/>
      <c r="E74"/>
      <c r="F74"/>
      <c r="G74"/>
      <c r="H74"/>
    </row>
    <row r="75" spans="1:8" ht="12.75" customHeight="1">
      <c r="A75"/>
      <c r="B75"/>
      <c r="C75"/>
      <c r="D75"/>
      <c r="E75"/>
      <c r="F75"/>
      <c r="G75"/>
      <c r="H75"/>
    </row>
    <row r="76" spans="1:8" ht="12.75" customHeight="1">
      <c r="A76"/>
      <c r="B76"/>
      <c r="C76"/>
      <c r="D76"/>
      <c r="E76"/>
      <c r="F76"/>
      <c r="G76"/>
      <c r="H76"/>
    </row>
    <row r="77" spans="1:8" ht="3.75" customHeight="1">
      <c r="A77"/>
      <c r="B77"/>
      <c r="C77"/>
      <c r="D77"/>
      <c r="E77"/>
      <c r="F77"/>
      <c r="G77"/>
      <c r="H77"/>
    </row>
    <row r="78" spans="1:8" ht="12.75" customHeight="1">
      <c r="A78"/>
      <c r="B78"/>
      <c r="C78"/>
      <c r="D78"/>
      <c r="E78"/>
      <c r="F78"/>
      <c r="G78"/>
      <c r="H78"/>
    </row>
    <row r="79" spans="1:8" ht="3.75" customHeight="1">
      <c r="A79"/>
      <c r="B79"/>
      <c r="C79"/>
      <c r="D79"/>
      <c r="E79"/>
      <c r="F79"/>
      <c r="G79"/>
      <c r="H79"/>
    </row>
    <row r="80" spans="1:8" ht="12.75" customHeight="1">
      <c r="A80"/>
      <c r="B80"/>
      <c r="C80"/>
      <c r="D80"/>
      <c r="E80"/>
      <c r="F80"/>
      <c r="G80"/>
      <c r="H80"/>
    </row>
    <row r="81" spans="1:8" ht="3.75" customHeight="1">
      <c r="A81"/>
      <c r="B81"/>
      <c r="C81"/>
      <c r="D81"/>
      <c r="E81"/>
      <c r="F81"/>
      <c r="G81"/>
      <c r="H81"/>
    </row>
    <row r="82" spans="1:8" ht="12.75" customHeight="1">
      <c r="A82"/>
      <c r="B82"/>
      <c r="C82"/>
      <c r="D82"/>
      <c r="E82"/>
      <c r="F82"/>
      <c r="G82"/>
      <c r="H82"/>
    </row>
    <row r="83" spans="1:8" ht="12.75" customHeight="1">
      <c r="A83"/>
      <c r="B83"/>
      <c r="C83"/>
      <c r="D83"/>
      <c r="E83"/>
      <c r="F83"/>
      <c r="G83"/>
      <c r="H83"/>
    </row>
    <row r="84" spans="1:8" ht="12.75" customHeight="1">
      <c r="A84"/>
      <c r="B84"/>
      <c r="C84"/>
      <c r="D84"/>
      <c r="E84"/>
      <c r="F84"/>
      <c r="G84"/>
      <c r="H84"/>
    </row>
    <row r="85" spans="1:8" ht="12.75" customHeight="1">
      <c r="A85"/>
      <c r="B85"/>
      <c r="C85"/>
      <c r="D85"/>
      <c r="E85"/>
      <c r="F85"/>
      <c r="G85"/>
      <c r="H85"/>
    </row>
    <row r="86" spans="1:8" ht="12.75" customHeight="1">
      <c r="A86"/>
      <c r="B86"/>
      <c r="C86"/>
      <c r="D86"/>
      <c r="E86"/>
      <c r="F86"/>
      <c r="G86"/>
      <c r="H86"/>
    </row>
    <row r="87" spans="1:8" ht="12.75" customHeight="1">
      <c r="A87"/>
      <c r="B87"/>
      <c r="C87"/>
      <c r="D87"/>
      <c r="E87"/>
      <c r="F87"/>
      <c r="G87"/>
      <c r="H87"/>
    </row>
    <row r="88" spans="1:8" ht="15.75" customHeight="1">
      <c r="A88"/>
      <c r="B88"/>
      <c r="C88"/>
      <c r="D88"/>
      <c r="E88"/>
      <c r="F88"/>
      <c r="G88"/>
      <c r="H88"/>
    </row>
    <row r="89" spans="1:8" ht="3.75" customHeight="1">
      <c r="A89"/>
      <c r="B89"/>
      <c r="C89"/>
      <c r="D89"/>
      <c r="E89"/>
      <c r="F89"/>
      <c r="G89"/>
      <c r="H89"/>
    </row>
    <row r="90" spans="1:8" ht="15" customHeight="1">
      <c r="A90"/>
      <c r="B90"/>
      <c r="C90"/>
      <c r="D90"/>
      <c r="E90"/>
      <c r="F90"/>
      <c r="G90"/>
      <c r="H90"/>
    </row>
    <row r="91" spans="1:8" ht="12.75" customHeight="1">
      <c r="A91"/>
      <c r="B91"/>
      <c r="C91"/>
      <c r="D91"/>
      <c r="E91"/>
      <c r="F91"/>
      <c r="G91"/>
      <c r="H91"/>
    </row>
    <row r="92" spans="1:8" ht="12.75" customHeight="1">
      <c r="A92"/>
      <c r="B92"/>
      <c r="C92"/>
      <c r="D92"/>
      <c r="E92"/>
      <c r="F92"/>
      <c r="G92"/>
      <c r="H92"/>
    </row>
    <row r="93" spans="1:8" ht="3.75" customHeight="1">
      <c r="B93" s="160"/>
      <c r="C93" s="113"/>
      <c r="D93" s="77"/>
      <c r="E93" s="77"/>
      <c r="F93" s="81"/>
      <c r="G93" s="82"/>
    </row>
    <row r="94" spans="1:8" ht="3.75" customHeight="1">
      <c r="B94" s="160"/>
      <c r="C94" s="113"/>
      <c r="D94" s="77"/>
      <c r="E94" s="77"/>
      <c r="F94" s="81"/>
      <c r="G94" s="82"/>
    </row>
    <row r="95" spans="1:8" ht="12.75" customHeight="1">
      <c r="B95" s="160"/>
      <c r="C95" s="113"/>
      <c r="D95" s="77"/>
      <c r="E95" s="77"/>
      <c r="F95" s="81"/>
      <c r="G95" s="82"/>
    </row>
    <row r="96" spans="1:8" ht="12.75" customHeight="1">
      <c r="B96" s="160"/>
      <c r="C96" s="113"/>
      <c r="D96" s="77"/>
      <c r="E96" s="77"/>
      <c r="F96" s="81"/>
      <c r="G96" s="82"/>
    </row>
    <row r="97" spans="2:7" ht="12.75" customHeight="1">
      <c r="B97" s="160"/>
      <c r="C97" s="113"/>
      <c r="D97" s="77"/>
      <c r="E97" s="77"/>
      <c r="F97" s="81"/>
      <c r="G97" s="82"/>
    </row>
    <row r="98" spans="2:7" ht="12.75" customHeight="1">
      <c r="B98" s="160"/>
      <c r="C98" s="113"/>
      <c r="D98" s="77"/>
      <c r="E98" s="77"/>
      <c r="F98" s="81"/>
      <c r="G98" s="82"/>
    </row>
    <row r="99" spans="2:7" ht="12.75" customHeight="1">
      <c r="B99" s="160"/>
      <c r="C99" s="113"/>
      <c r="D99" s="77"/>
      <c r="E99" s="77"/>
      <c r="F99" s="81"/>
      <c r="G99" s="82"/>
    </row>
    <row r="100" spans="2:7" ht="3.75" customHeight="1">
      <c r="B100" s="160"/>
      <c r="C100" s="113"/>
      <c r="D100" s="77"/>
      <c r="E100" s="77"/>
      <c r="F100" s="81"/>
      <c r="G100" s="82"/>
    </row>
    <row r="101" spans="2:7" customFormat="1" ht="12.75" customHeight="1"/>
    <row r="102" spans="2:7" customFormat="1" ht="3.75" customHeight="1"/>
    <row r="103" spans="2:7" customFormat="1" ht="12.75" customHeight="1"/>
    <row r="104" spans="2:7" customFormat="1" ht="3.75" customHeight="1"/>
    <row r="105" spans="2:7" customFormat="1" ht="12.75" customHeight="1"/>
    <row r="106" spans="2:7" customFormat="1" ht="12.75" customHeight="1"/>
    <row r="107" spans="2:7" customFormat="1" ht="12.75" customHeight="1"/>
    <row r="108" spans="2:7" customFormat="1" ht="12.75" customHeight="1"/>
    <row r="109" spans="2:7" customFormat="1" ht="12.75" customHeight="1"/>
    <row r="110" spans="2:7" customFormat="1" ht="12.75" customHeight="1"/>
    <row r="111" spans="2:7" customFormat="1" ht="7.5" customHeight="1"/>
    <row r="112" spans="2:7" customFormat="1" ht="12.75" customHeight="1"/>
    <row r="113" customFormat="1" ht="3.75" customHeight="1"/>
    <row r="114" customFormat="1" ht="12.75" customHeight="1"/>
    <row r="115" customFormat="1" ht="12.75" customHeight="1"/>
    <row r="116" customFormat="1" ht="12.75" customHeight="1"/>
    <row r="117" customFormat="1" ht="12.75" customHeight="1"/>
    <row r="118" customFormat="1" ht="12.75" customHeight="1"/>
    <row r="119" customFormat="1" ht="12.75" customHeight="1"/>
    <row r="120" customFormat="1" ht="12.75" customHeight="1"/>
    <row r="121" customFormat="1" ht="3.75" customHeight="1"/>
    <row r="122" customFormat="1" ht="12.75" customHeight="1"/>
    <row r="123" customFormat="1" ht="12"/>
    <row r="124" customFormat="1" ht="12" customHeight="1"/>
    <row r="125" customFormat="1" ht="7.5" customHeight="1"/>
    <row r="126" customFormat="1" ht="12.75" customHeight="1"/>
    <row r="127" customFormat="1" ht="12.75" customHeight="1"/>
    <row r="128" customFormat="1" ht="13.5" customHeight="1"/>
    <row r="129" customFormat="1" ht="3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12.75" customHeight="1"/>
    <row r="137" customFormat="1" ht="12.75" customHeight="1"/>
    <row r="138" customFormat="1" ht="12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spans="1:8" customFormat="1" ht="12.75" customHeight="1"/>
    <row r="146" spans="1:8" customFormat="1" ht="12.75" customHeight="1"/>
    <row r="147" spans="1:8" customFormat="1" ht="12.75" customHeight="1"/>
    <row r="148" spans="1:8" customFormat="1" ht="12.75" customHeight="1"/>
    <row r="149" spans="1:8" customFormat="1" ht="12.75" customHeight="1"/>
    <row r="150" spans="1:8" customFormat="1" ht="12.75" customHeight="1"/>
    <row r="151" spans="1:8" customFormat="1" ht="12.75" customHeight="1"/>
    <row r="152" spans="1:8" customFormat="1" ht="12"/>
    <row r="153" spans="1:8" customFormat="1" ht="3.75" customHeight="1"/>
    <row r="154" spans="1:8" customFormat="1" ht="12"/>
    <row r="155" spans="1:8" customFormat="1" ht="12"/>
    <row r="156" spans="1:8" ht="3.75" customHeight="1"/>
    <row r="158" spans="1:8" s="159" customFormat="1" ht="12.75" customHeight="1">
      <c r="A158" s="161"/>
      <c r="C158" s="61"/>
      <c r="D158" s="101"/>
      <c r="E158" s="101"/>
      <c r="F158" s="61"/>
      <c r="G158" s="91"/>
      <c r="H158" s="59"/>
    </row>
    <row r="159" spans="1:8" s="159" customFormat="1">
      <c r="A159" s="161"/>
      <c r="C159" s="61"/>
      <c r="D159" s="101"/>
      <c r="E159" s="101"/>
      <c r="F159" s="61"/>
      <c r="G159" s="91"/>
      <c r="H159" s="59"/>
    </row>
  </sheetData>
  <mergeCells count="4">
    <mergeCell ref="B4:B5"/>
    <mergeCell ref="D4:E4"/>
    <mergeCell ref="C30:H30"/>
    <mergeCell ref="C46:H46"/>
  </mergeCells>
  <pageMargins left="0.7" right="0.7" top="0.75" bottom="0.75" header="0.3" footer="0.3"/>
  <pageSetup scale="99" orientation="portrait" r:id="rId1"/>
  <headerFooter alignWithMargins="0">
    <oddFooter>&amp;L_x000D_&amp;1#&amp;"Calibri"&amp;11&amp;K000000 Classification: Public</oddFooter>
  </headerFooter>
  <rowBreaks count="1" manualBreakCount="1">
    <brk id="12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</sheetPr>
  <dimension ref="A1:J53"/>
  <sheetViews>
    <sheetView showGridLines="0" zoomScaleNormal="100" workbookViewId="0">
      <selection activeCell="I20" sqref="I20"/>
    </sheetView>
  </sheetViews>
  <sheetFormatPr defaultColWidth="9" defaultRowHeight="11.25"/>
  <cols>
    <col min="1" max="1" width="53.85546875" style="40" customWidth="1"/>
    <col min="2" max="2" width="9.42578125" style="37" bestFit="1" customWidth="1"/>
    <col min="3" max="4" width="9.42578125" style="38" bestFit="1" customWidth="1"/>
    <col min="5" max="6" width="9.42578125" style="39" bestFit="1" customWidth="1"/>
    <col min="7" max="16384" width="9" style="39"/>
  </cols>
  <sheetData>
    <row r="1" spans="1:10" ht="15.75">
      <c r="A1" s="36" t="s">
        <v>516</v>
      </c>
    </row>
    <row r="2" spans="1:10">
      <c r="A2" s="4" t="s">
        <v>1</v>
      </c>
    </row>
    <row r="3" spans="1:10" ht="4.5" customHeight="1">
      <c r="A3" s="4"/>
    </row>
    <row r="4" spans="1:10" s="162" customFormat="1" ht="12.75" customHeight="1">
      <c r="A4" s="40"/>
      <c r="B4" s="643" t="s">
        <v>27</v>
      </c>
      <c r="C4" s="643"/>
      <c r="D4" s="643"/>
      <c r="E4" s="643"/>
      <c r="F4" s="643"/>
    </row>
    <row r="5" spans="1:10" s="162" customFormat="1" ht="12.75" customHeight="1">
      <c r="A5" s="41"/>
      <c r="B5" s="565" t="s">
        <v>28</v>
      </c>
      <c r="C5" s="566" t="s">
        <v>311</v>
      </c>
      <c r="D5" s="567" t="s">
        <v>326</v>
      </c>
      <c r="E5" s="566" t="s">
        <v>378</v>
      </c>
      <c r="F5" s="566" t="s">
        <v>444</v>
      </c>
    </row>
    <row r="6" spans="1:10" s="162" customFormat="1" ht="12.75" customHeight="1">
      <c r="A6" s="9"/>
      <c r="B6" s="562" t="s">
        <v>7</v>
      </c>
      <c r="C6" s="562" t="s">
        <v>9</v>
      </c>
      <c r="D6" s="563" t="s">
        <v>10</v>
      </c>
      <c r="E6" s="562" t="s">
        <v>11</v>
      </c>
      <c r="F6" s="562" t="s">
        <v>11</v>
      </c>
    </row>
    <row r="7" spans="1:10" s="164" customFormat="1" ht="18" customHeight="1">
      <c r="A7" s="46" t="s">
        <v>29</v>
      </c>
      <c r="B7" s="44"/>
      <c r="C7" s="163"/>
      <c r="D7" s="631"/>
      <c r="E7"/>
      <c r="F7"/>
    </row>
    <row r="8" spans="1:10" s="164" customFormat="1" ht="13.5" customHeight="1">
      <c r="A8" s="122" t="s">
        <v>58</v>
      </c>
      <c r="B8" s="44">
        <v>20872</v>
      </c>
      <c r="C8" s="163">
        <v>23438.683000000001</v>
      </c>
      <c r="D8" s="45">
        <v>24427.039000000001</v>
      </c>
      <c r="E8" s="163">
        <v>25655.213</v>
      </c>
      <c r="F8" s="163">
        <v>27117.614000000001</v>
      </c>
      <c r="G8" s="17"/>
      <c r="H8" s="17"/>
      <c r="I8" s="17"/>
      <c r="J8" s="17"/>
    </row>
    <row r="9" spans="1:10" s="164" customFormat="1" ht="13.5" customHeight="1">
      <c r="A9" s="122" t="s">
        <v>59</v>
      </c>
      <c r="B9" s="44"/>
      <c r="C9" s="163"/>
      <c r="D9" s="45"/>
      <c r="E9" s="163"/>
      <c r="F9" s="163"/>
      <c r="G9" s="17"/>
      <c r="H9" s="17"/>
      <c r="I9" s="17"/>
      <c r="J9" s="17"/>
    </row>
    <row r="10" spans="1:10" s="164" customFormat="1" ht="13.5" customHeight="1">
      <c r="A10" s="167" t="s">
        <v>60</v>
      </c>
      <c r="B10" s="44">
        <v>2202</v>
      </c>
      <c r="C10" s="163">
        <v>2502.6219999999998</v>
      </c>
      <c r="D10" s="45">
        <v>2602.1930000000002</v>
      </c>
      <c r="E10" s="163">
        <v>2714.877</v>
      </c>
      <c r="F10" s="163">
        <v>2848.346</v>
      </c>
      <c r="G10" s="17"/>
      <c r="H10" s="17"/>
      <c r="I10" s="17"/>
      <c r="J10" s="17"/>
    </row>
    <row r="11" spans="1:10" s="164" customFormat="1" ht="13.5" customHeight="1">
      <c r="A11" s="167" t="s">
        <v>61</v>
      </c>
      <c r="B11" s="44">
        <v>1288</v>
      </c>
      <c r="C11" s="163">
        <v>1460.143</v>
      </c>
      <c r="D11" s="45">
        <v>1516.3119999999999</v>
      </c>
      <c r="E11" s="163">
        <v>1580.7650000000001</v>
      </c>
      <c r="F11" s="163">
        <v>1657.1559999999999</v>
      </c>
      <c r="G11" s="17"/>
      <c r="H11" s="17"/>
      <c r="I11" s="17"/>
      <c r="J11" s="17"/>
    </row>
    <row r="12" spans="1:10" s="164" customFormat="1" ht="13.5" customHeight="1">
      <c r="A12" s="167" t="s">
        <v>62</v>
      </c>
      <c r="B12" s="44">
        <v>1459</v>
      </c>
      <c r="C12" s="163">
        <v>1621.1780000000001</v>
      </c>
      <c r="D12" s="45">
        <v>1686.866</v>
      </c>
      <c r="E12" s="163">
        <v>1761.165</v>
      </c>
      <c r="F12" s="163">
        <v>1846.7380000000001</v>
      </c>
      <c r="G12" s="17"/>
      <c r="H12" s="17"/>
      <c r="I12" s="17"/>
      <c r="J12" s="17"/>
    </row>
    <row r="13" spans="1:10" s="164" customFormat="1" ht="13.5" customHeight="1">
      <c r="A13" s="122" t="s">
        <v>63</v>
      </c>
      <c r="B13" s="44">
        <v>337</v>
      </c>
      <c r="C13" s="163">
        <v>336.27</v>
      </c>
      <c r="D13" s="45">
        <v>332.012</v>
      </c>
      <c r="E13" s="163">
        <v>327.75400000000002</v>
      </c>
      <c r="F13" s="163">
        <v>323.49599999999998</v>
      </c>
      <c r="G13" s="17"/>
      <c r="H13" s="17"/>
      <c r="I13" s="17"/>
      <c r="J13" s="17"/>
    </row>
    <row r="14" spans="1:10" s="164" customFormat="1" ht="13.5" customHeight="1">
      <c r="A14" s="122" t="s">
        <v>396</v>
      </c>
      <c r="B14" s="163">
        <v>1984</v>
      </c>
      <c r="C14" s="163">
        <v>1083.6469999999999</v>
      </c>
      <c r="D14" s="45">
        <v>0</v>
      </c>
      <c r="E14" s="44">
        <v>0</v>
      </c>
      <c r="F14" s="44">
        <v>0</v>
      </c>
      <c r="G14" s="17"/>
      <c r="H14" s="17"/>
      <c r="I14" s="17"/>
      <c r="J14" s="17"/>
    </row>
    <row r="15" spans="1:10" s="164" customFormat="1" ht="13.5" customHeight="1">
      <c r="A15" s="122" t="s">
        <v>428</v>
      </c>
      <c r="B15" s="163">
        <v>5035</v>
      </c>
      <c r="C15" s="163">
        <v>9982</v>
      </c>
      <c r="D15" s="45">
        <v>0</v>
      </c>
      <c r="E15" s="44">
        <v>0</v>
      </c>
      <c r="F15" s="44">
        <v>0</v>
      </c>
      <c r="G15" s="17"/>
      <c r="H15" s="17"/>
      <c r="I15" s="17"/>
      <c r="J15" s="17"/>
    </row>
    <row r="16" spans="1:10" s="164" customFormat="1" ht="13.5" customHeight="1">
      <c r="A16" s="122" t="s">
        <v>397</v>
      </c>
      <c r="B16" s="163">
        <v>3667</v>
      </c>
      <c r="C16" s="163">
        <v>1083.6469999999999</v>
      </c>
      <c r="D16" s="45">
        <v>0</v>
      </c>
      <c r="E16" s="44">
        <v>0</v>
      </c>
      <c r="F16" s="44">
        <v>0</v>
      </c>
      <c r="G16" s="17"/>
      <c r="H16" s="17"/>
      <c r="I16" s="17"/>
      <c r="J16" s="17"/>
    </row>
    <row r="17" spans="1:10" s="164" customFormat="1" ht="13.5" customHeight="1">
      <c r="A17" s="122" t="s">
        <v>64</v>
      </c>
      <c r="B17" s="17"/>
      <c r="C17" s="17"/>
      <c r="D17" s="18"/>
      <c r="E17" s="17"/>
      <c r="F17" s="17"/>
      <c r="G17" s="17"/>
      <c r="H17" s="17"/>
      <c r="I17" s="17"/>
      <c r="J17" s="17"/>
    </row>
    <row r="18" spans="1:10" s="164" customFormat="1" ht="13.5" customHeight="1">
      <c r="A18" s="167" t="s">
        <v>322</v>
      </c>
      <c r="B18" s="44">
        <v>14590</v>
      </c>
      <c r="C18" s="163">
        <v>14804</v>
      </c>
      <c r="D18" s="45">
        <v>15555</v>
      </c>
      <c r="E18" s="44">
        <v>16191</v>
      </c>
      <c r="F18" s="44">
        <v>16588</v>
      </c>
      <c r="G18" s="17"/>
      <c r="H18" s="17"/>
      <c r="I18" s="17"/>
      <c r="J18" s="17"/>
    </row>
    <row r="19" spans="1:10" s="164" customFormat="1" ht="13.5" customHeight="1">
      <c r="A19" s="167" t="s">
        <v>65</v>
      </c>
      <c r="B19" s="44">
        <v>2966</v>
      </c>
      <c r="C19" s="163">
        <v>2931.33</v>
      </c>
      <c r="D19" s="45">
        <v>3985.13</v>
      </c>
      <c r="E19" s="44">
        <v>5176.7240000000002</v>
      </c>
      <c r="F19" s="44">
        <v>6526.5370000000003</v>
      </c>
      <c r="G19" s="17"/>
      <c r="H19" s="17"/>
      <c r="I19" s="17"/>
      <c r="J19" s="17"/>
    </row>
    <row r="20" spans="1:10" s="164" customFormat="1" ht="13.5" customHeight="1">
      <c r="A20" s="122" t="s">
        <v>66</v>
      </c>
      <c r="B20" s="49">
        <v>862</v>
      </c>
      <c r="C20" s="169">
        <v>587.072</v>
      </c>
      <c r="D20" s="50">
        <v>552.072</v>
      </c>
      <c r="E20" s="169">
        <v>270.99799999999999</v>
      </c>
      <c r="F20" s="169">
        <v>60.997999999999998</v>
      </c>
      <c r="G20" s="17"/>
      <c r="H20" s="17"/>
      <c r="I20" s="17"/>
      <c r="J20" s="17"/>
    </row>
    <row r="21" spans="1:10" s="164" customFormat="1" ht="13.5" customHeight="1">
      <c r="A21" s="122" t="s">
        <v>67</v>
      </c>
      <c r="B21" s="49">
        <v>4640</v>
      </c>
      <c r="C21" s="169">
        <v>4983.3999999999996</v>
      </c>
      <c r="D21" s="50">
        <v>5300.1</v>
      </c>
      <c r="E21" s="169">
        <v>5682.2</v>
      </c>
      <c r="F21" s="169">
        <v>6124.2</v>
      </c>
      <c r="G21" s="17"/>
      <c r="H21" s="17"/>
      <c r="I21" s="17"/>
      <c r="J21" s="17"/>
    </row>
    <row r="22" spans="1:10" s="164" customFormat="1" ht="13.5" customHeight="1">
      <c r="A22" s="122" t="s">
        <v>208</v>
      </c>
      <c r="B22" s="634">
        <v>1017</v>
      </c>
      <c r="C22" s="169">
        <v>1069.7149999999999</v>
      </c>
      <c r="D22" s="50">
        <v>1070.0820000000001</v>
      </c>
      <c r="E22" s="169">
        <v>1070.4770000000001</v>
      </c>
      <c r="F22" s="169">
        <v>1070.4770000000001</v>
      </c>
      <c r="G22" s="17"/>
      <c r="H22" s="17"/>
      <c r="I22" s="17"/>
      <c r="J22" s="17"/>
    </row>
    <row r="23" spans="1:10" s="164" customFormat="1" ht="13.5" customHeight="1">
      <c r="A23" s="122" t="s">
        <v>68</v>
      </c>
      <c r="B23" s="169">
        <v>25970</v>
      </c>
      <c r="C23" s="169">
        <v>25140</v>
      </c>
      <c r="D23" s="632">
        <v>27325</v>
      </c>
      <c r="E23" s="169">
        <v>25150</v>
      </c>
      <c r="F23" s="169">
        <v>27960</v>
      </c>
      <c r="G23" s="17"/>
      <c r="H23" s="17"/>
      <c r="I23" s="17"/>
      <c r="J23" s="17"/>
    </row>
    <row r="24" spans="1:10" s="164" customFormat="1" ht="15" customHeight="1" thickBot="1">
      <c r="A24" s="29" t="s">
        <v>69</v>
      </c>
      <c r="B24" s="170">
        <v>86889</v>
      </c>
      <c r="C24" s="52">
        <v>91023.709000000003</v>
      </c>
      <c r="D24" s="633">
        <v>84351.805999999997</v>
      </c>
      <c r="E24" s="52">
        <v>85581.172999999995</v>
      </c>
      <c r="F24" s="52">
        <v>92123.562000000005</v>
      </c>
      <c r="G24" s="17"/>
      <c r="H24" s="17"/>
      <c r="I24" s="17"/>
      <c r="J24" s="17"/>
    </row>
    <row r="25" spans="1:10" s="164" customFormat="1" ht="4.5" customHeight="1">
      <c r="A25" s="32"/>
      <c r="B25" s="49"/>
      <c r="C25" s="169"/>
      <c r="D25" s="50"/>
      <c r="E25" s="49"/>
      <c r="F25" s="49"/>
      <c r="G25" s="17"/>
      <c r="H25" s="17"/>
      <c r="I25" s="17"/>
      <c r="J25" s="17"/>
    </row>
    <row r="26" spans="1:10" s="164" customFormat="1" ht="18" customHeight="1">
      <c r="A26" s="46" t="s">
        <v>30</v>
      </c>
      <c r="B26" s="17"/>
      <c r="C26" s="17"/>
      <c r="D26" s="18"/>
      <c r="E26" s="17"/>
      <c r="F26" s="17"/>
      <c r="G26" s="17"/>
      <c r="H26" s="17"/>
      <c r="I26" s="17"/>
      <c r="J26" s="17"/>
    </row>
    <row r="27" spans="1:10" s="164" customFormat="1" ht="12.75" customHeight="1">
      <c r="A27" s="172" t="s">
        <v>70</v>
      </c>
      <c r="B27" s="44"/>
      <c r="C27" s="163"/>
      <c r="D27" s="45"/>
      <c r="E27" s="44"/>
      <c r="F27" s="44"/>
      <c r="G27" s="17"/>
      <c r="H27" s="17"/>
      <c r="I27" s="17"/>
      <c r="J27" s="17"/>
    </row>
    <row r="28" spans="1:10" s="164" customFormat="1" ht="12.75" customHeight="1">
      <c r="A28" s="173" t="s">
        <v>71</v>
      </c>
      <c r="B28" s="44">
        <v>44957</v>
      </c>
      <c r="C28" s="163">
        <v>44967</v>
      </c>
      <c r="D28" s="45">
        <v>42382.754999999997</v>
      </c>
      <c r="E28" s="163">
        <v>49880.654999999999</v>
      </c>
      <c r="F28" s="163">
        <v>58250.493000000002</v>
      </c>
      <c r="G28" s="17"/>
      <c r="H28" s="17"/>
      <c r="I28" s="17"/>
      <c r="J28" s="17"/>
    </row>
    <row r="29" spans="1:10" s="164" customFormat="1" ht="12.75" customHeight="1">
      <c r="A29" s="173" t="s">
        <v>72</v>
      </c>
      <c r="B29" s="44">
        <v>2637</v>
      </c>
      <c r="C29" s="163">
        <v>2539.127</v>
      </c>
      <c r="D29" s="45">
        <v>2436.0259999999998</v>
      </c>
      <c r="E29" s="163">
        <v>2328.2800000000002</v>
      </c>
      <c r="F29" s="163">
        <v>2215.9670000000001</v>
      </c>
      <c r="G29" s="17"/>
      <c r="H29" s="17"/>
      <c r="I29" s="17"/>
      <c r="J29" s="17"/>
    </row>
    <row r="30" spans="1:10" s="164" customFormat="1" ht="12.75" customHeight="1">
      <c r="A30" s="174" t="s">
        <v>73</v>
      </c>
      <c r="B30" s="44">
        <v>478</v>
      </c>
      <c r="C30" s="163">
        <v>478</v>
      </c>
      <c r="D30" s="45">
        <v>478</v>
      </c>
      <c r="E30" s="44">
        <v>478</v>
      </c>
      <c r="F30" s="44">
        <v>478</v>
      </c>
      <c r="G30" s="17"/>
      <c r="H30" s="17"/>
      <c r="I30" s="17"/>
      <c r="J30" s="17"/>
    </row>
    <row r="31" spans="1:10" s="164" customFormat="1" ht="12.75" customHeight="1">
      <c r="A31" s="174" t="s">
        <v>74</v>
      </c>
      <c r="B31" s="44">
        <v>33763</v>
      </c>
      <c r="C31" s="163">
        <v>37458</v>
      </c>
      <c r="D31" s="45">
        <v>37459</v>
      </c>
      <c r="E31" s="163">
        <v>37460</v>
      </c>
      <c r="F31" s="163">
        <v>37461</v>
      </c>
      <c r="G31" s="17"/>
      <c r="H31" s="17"/>
      <c r="I31" s="17"/>
      <c r="J31" s="17"/>
    </row>
    <row r="32" spans="1:10" s="164" customFormat="1" ht="12.75" customHeight="1">
      <c r="A32" s="175" t="s">
        <v>75</v>
      </c>
      <c r="B32" s="176">
        <v>81835</v>
      </c>
      <c r="C32" s="177">
        <v>85442.126999999993</v>
      </c>
      <c r="D32" s="178">
        <v>82755.781000000003</v>
      </c>
      <c r="E32" s="176">
        <v>90146.934999999998</v>
      </c>
      <c r="F32" s="176">
        <v>98406.46</v>
      </c>
      <c r="G32" s="17"/>
      <c r="H32" s="17"/>
      <c r="I32" s="17"/>
      <c r="J32" s="17"/>
    </row>
    <row r="33" spans="1:10" s="51" customFormat="1" ht="13.5" customHeight="1">
      <c r="A33" s="179" t="s">
        <v>76</v>
      </c>
      <c r="B33" s="44"/>
      <c r="C33" s="163"/>
      <c r="D33" s="45"/>
      <c r="E33" s="44"/>
      <c r="F33" s="44"/>
      <c r="G33" s="17"/>
      <c r="H33" s="17"/>
      <c r="I33" s="17"/>
      <c r="J33" s="17"/>
    </row>
    <row r="34" spans="1:10" s="164" customFormat="1" ht="13.5" customHeight="1">
      <c r="A34" s="167" t="s">
        <v>323</v>
      </c>
      <c r="B34" s="44">
        <v>14590</v>
      </c>
      <c r="C34" s="163">
        <v>14804</v>
      </c>
      <c r="D34" s="45">
        <v>15555</v>
      </c>
      <c r="E34" s="44">
        <v>16191</v>
      </c>
      <c r="F34" s="44">
        <v>16588</v>
      </c>
      <c r="G34" s="17"/>
      <c r="H34" s="17"/>
      <c r="I34" s="17"/>
      <c r="J34" s="17"/>
    </row>
    <row r="35" spans="1:10" s="164" customFormat="1" ht="13.5" customHeight="1">
      <c r="A35" s="167" t="s">
        <v>65</v>
      </c>
      <c r="B35" s="44">
        <v>3125</v>
      </c>
      <c r="C35" s="163">
        <v>3282</v>
      </c>
      <c r="D35" s="45">
        <v>3499</v>
      </c>
      <c r="E35" s="44">
        <v>3719</v>
      </c>
      <c r="F35" s="44">
        <v>3941</v>
      </c>
      <c r="G35" s="17"/>
      <c r="H35" s="17"/>
      <c r="I35" s="17"/>
      <c r="J35" s="17"/>
    </row>
    <row r="36" spans="1:10" s="164" customFormat="1" ht="13.5" customHeight="1">
      <c r="A36" s="181" t="s">
        <v>77</v>
      </c>
      <c r="B36" s="176">
        <v>99550</v>
      </c>
      <c r="C36" s="177">
        <v>103528.12699999999</v>
      </c>
      <c r="D36" s="178">
        <v>101809.781</v>
      </c>
      <c r="E36" s="176">
        <v>110056.935</v>
      </c>
      <c r="F36" s="176">
        <v>118935.46</v>
      </c>
      <c r="G36" s="17"/>
      <c r="H36" s="17"/>
      <c r="I36" s="17"/>
      <c r="J36" s="17"/>
    </row>
    <row r="37" spans="1:10" s="164" customFormat="1" ht="3.75" customHeight="1">
      <c r="A37" s="181"/>
      <c r="B37" s="44"/>
      <c r="C37" s="163"/>
      <c r="D37" s="45"/>
      <c r="E37" s="44"/>
      <c r="F37" s="44"/>
      <c r="G37" s="17"/>
      <c r="H37" s="17"/>
      <c r="I37" s="17"/>
      <c r="J37" s="17"/>
    </row>
    <row r="38" spans="1:10" s="164" customFormat="1" ht="13.5" customHeight="1">
      <c r="A38" s="122" t="s">
        <v>78</v>
      </c>
      <c r="B38" s="169">
        <v>609</v>
      </c>
      <c r="C38" s="169">
        <v>530.53</v>
      </c>
      <c r="D38" s="50">
        <v>448.51100000000002</v>
      </c>
      <c r="E38" s="169">
        <v>364.03199999999998</v>
      </c>
      <c r="F38" s="169">
        <v>277.01799999999997</v>
      </c>
      <c r="G38" s="17"/>
      <c r="H38" s="17"/>
      <c r="I38" s="17"/>
      <c r="J38" s="17"/>
    </row>
    <row r="39" spans="1:10" s="164" customFormat="1" ht="13.5" customHeight="1">
      <c r="A39" s="122" t="s">
        <v>79</v>
      </c>
      <c r="B39" s="182">
        <v>7904</v>
      </c>
      <c r="C39" s="182">
        <v>7541</v>
      </c>
      <c r="D39" s="183">
        <v>7166.0110000000004</v>
      </c>
      <c r="E39" s="182">
        <v>6782.0219999999999</v>
      </c>
      <c r="F39" s="182">
        <v>6393.0330000000004</v>
      </c>
      <c r="G39" s="17"/>
      <c r="H39" s="17"/>
      <c r="I39" s="17"/>
      <c r="J39" s="17"/>
    </row>
    <row r="40" spans="1:10" s="164" customFormat="1" ht="13.5" customHeight="1">
      <c r="A40" s="122" t="s">
        <v>398</v>
      </c>
      <c r="B40" s="182">
        <v>2391</v>
      </c>
      <c r="C40" s="182">
        <v>2402</v>
      </c>
      <c r="D40" s="183">
        <v>2413.5619999999999</v>
      </c>
      <c r="E40" s="182">
        <v>2425.6350000000002</v>
      </c>
      <c r="F40" s="182">
        <v>2438.056</v>
      </c>
      <c r="G40" s="17"/>
      <c r="H40" s="17"/>
      <c r="I40" s="17"/>
      <c r="J40" s="17"/>
    </row>
    <row r="41" spans="1:10" s="187" customFormat="1" ht="13.5" customHeight="1">
      <c r="A41" s="122" t="s">
        <v>80</v>
      </c>
      <c r="B41" s="184">
        <v>17799</v>
      </c>
      <c r="C41" s="185">
        <v>13596</v>
      </c>
      <c r="D41" s="186">
        <v>15562</v>
      </c>
      <c r="E41" s="184">
        <v>12407</v>
      </c>
      <c r="F41" s="184">
        <v>13998</v>
      </c>
      <c r="G41" s="17"/>
      <c r="H41" s="17"/>
      <c r="I41" s="17"/>
      <c r="J41" s="17"/>
    </row>
    <row r="42" spans="1:10" s="164" customFormat="1" ht="15" customHeight="1" thickBot="1">
      <c r="A42" s="29" t="s">
        <v>81</v>
      </c>
      <c r="B42" s="170">
        <v>128253</v>
      </c>
      <c r="C42" s="52">
        <v>127597.65700000001</v>
      </c>
      <c r="D42" s="171">
        <v>127399.86500000001</v>
      </c>
      <c r="E42" s="52">
        <v>132035.62400000001</v>
      </c>
      <c r="F42" s="170">
        <v>142040.56700000001</v>
      </c>
      <c r="G42" s="17"/>
      <c r="H42" s="17"/>
      <c r="I42" s="17"/>
      <c r="J42" s="17"/>
    </row>
    <row r="43" spans="1:10" s="164" customFormat="1" ht="15" customHeight="1">
      <c r="A43" s="46" t="s">
        <v>31</v>
      </c>
      <c r="B43" s="22">
        <v>-41364</v>
      </c>
      <c r="C43" s="22">
        <v>-36573.947999999997</v>
      </c>
      <c r="D43" s="45">
        <v>-43048.059000000001</v>
      </c>
      <c r="E43" s="22">
        <v>-46455.451000000001</v>
      </c>
      <c r="F43" s="22">
        <v>-49917.004999999997</v>
      </c>
      <c r="G43" s="17"/>
      <c r="H43" s="17"/>
      <c r="I43" s="17"/>
      <c r="J43" s="17"/>
    </row>
    <row r="44" spans="1:10" s="164" customFormat="1" ht="15" customHeight="1">
      <c r="A44" s="32" t="s">
        <v>32</v>
      </c>
      <c r="B44" s="49">
        <v>61514.847000000002</v>
      </c>
      <c r="C44" s="169">
        <v>62543.974999999999</v>
      </c>
      <c r="D44" s="50">
        <v>63754.96</v>
      </c>
      <c r="E44" s="49">
        <v>64699.985000000001</v>
      </c>
      <c r="F44" s="49">
        <v>66075.282000000007</v>
      </c>
      <c r="G44" s="17"/>
      <c r="H44" s="17"/>
      <c r="I44" s="17"/>
      <c r="J44" s="17"/>
    </row>
    <row r="45" spans="1:10" s="164" customFormat="1" ht="13.5" customHeight="1">
      <c r="A45" s="34" t="s">
        <v>33</v>
      </c>
      <c r="B45" s="49">
        <v>-3964</v>
      </c>
      <c r="C45" s="169">
        <v>-4023.134</v>
      </c>
      <c r="D45" s="50">
        <v>-3970.4740000000002</v>
      </c>
      <c r="E45" s="169">
        <v>-3937.3270000000002</v>
      </c>
      <c r="F45" s="169">
        <v>-3897.5079999999998</v>
      </c>
      <c r="G45" s="17"/>
      <c r="H45" s="17"/>
      <c r="I45" s="17"/>
      <c r="J45" s="17"/>
    </row>
    <row r="46" spans="1:10" s="164" customFormat="1" ht="15" customHeight="1" thickBot="1">
      <c r="A46" s="29" t="s">
        <v>34</v>
      </c>
      <c r="B46" s="30">
        <v>16186.847</v>
      </c>
      <c r="C46" s="30">
        <v>21946.893</v>
      </c>
      <c r="D46" s="31">
        <v>16735.927</v>
      </c>
      <c r="E46" s="30">
        <v>14308.207</v>
      </c>
      <c r="F46" s="30">
        <v>12261.769</v>
      </c>
      <c r="G46" s="17"/>
      <c r="H46" s="17"/>
      <c r="I46" s="17"/>
      <c r="J46" s="17"/>
    </row>
    <row r="47" spans="1:10" s="164" customFormat="1" ht="15" customHeight="1">
      <c r="A47" s="122" t="s">
        <v>399</v>
      </c>
      <c r="B47" s="182">
        <v>12649</v>
      </c>
      <c r="C47" s="182">
        <v>18408.684000000001</v>
      </c>
      <c r="D47" s="183">
        <v>13197.824000000001</v>
      </c>
      <c r="E47" s="182">
        <v>10769.572</v>
      </c>
      <c r="F47" s="182">
        <v>8722.6229999999996</v>
      </c>
      <c r="G47" s="17"/>
      <c r="H47" s="17"/>
      <c r="I47" s="17"/>
      <c r="J47" s="17"/>
    </row>
    <row r="48" spans="1:10" s="164" customFormat="1" ht="15" customHeight="1">
      <c r="A48" s="122" t="s">
        <v>400</v>
      </c>
      <c r="B48" s="476">
        <v>3538</v>
      </c>
      <c r="C48" s="476">
        <v>3538</v>
      </c>
      <c r="D48" s="477">
        <v>3538</v>
      </c>
      <c r="E48" s="476">
        <v>3538</v>
      </c>
      <c r="F48" s="476">
        <v>3538</v>
      </c>
      <c r="G48" s="17"/>
      <c r="H48" s="17"/>
      <c r="I48" s="17"/>
      <c r="J48" s="17"/>
    </row>
    <row r="49" spans="1:10" s="164" customFormat="1" ht="15" customHeight="1" thickBot="1">
      <c r="A49" s="475" t="s">
        <v>404</v>
      </c>
      <c r="B49" s="440">
        <v>4285</v>
      </c>
      <c r="C49" s="30">
        <v>5759.6840000000002</v>
      </c>
      <c r="D49" s="31">
        <v>-5210.8599999999997</v>
      </c>
      <c r="E49" s="30">
        <v>-2428.252</v>
      </c>
      <c r="F49" s="30">
        <v>-2046.9480000000001</v>
      </c>
      <c r="G49" s="17"/>
      <c r="H49" s="17"/>
      <c r="I49" s="17"/>
      <c r="J49" s="17"/>
    </row>
    <row r="50" spans="1:10" s="164" customFormat="1" ht="18" customHeight="1" thickBot="1">
      <c r="A50" s="439" t="s">
        <v>320</v>
      </c>
      <c r="B50" s="534">
        <v>-9.418E-2</v>
      </c>
      <c r="C50" s="534">
        <v>-7.5800000000000006E-2</v>
      </c>
      <c r="D50" s="534">
        <v>-8.6610000000000006E-2</v>
      </c>
      <c r="E50" s="534">
        <v>-9.0300000000000005E-2</v>
      </c>
      <c r="F50" s="534">
        <v>-9.2999999999999999E-2</v>
      </c>
      <c r="G50" s="17"/>
      <c r="H50" s="17"/>
      <c r="I50" s="17"/>
      <c r="J50" s="17"/>
    </row>
    <row r="51" spans="1:10" s="164" customFormat="1" ht="18" customHeight="1">
      <c r="B51" s="455"/>
      <c r="C51" s="455"/>
      <c r="D51" s="455"/>
      <c r="E51" s="455"/>
      <c r="F51" s="455"/>
    </row>
    <row r="52" spans="1:10">
      <c r="A52" s="34"/>
    </row>
    <row r="53" spans="1:10">
      <c r="A53" s="575"/>
    </row>
  </sheetData>
  <mergeCells count="1">
    <mergeCell ref="B4:F4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  <ignoredErrors>
    <ignoredError sqref="B5:F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M73"/>
  <sheetViews>
    <sheetView showGridLines="0" zoomScaleNormal="100" zoomScaleSheetLayoutView="87" workbookViewId="0">
      <selection activeCell="K53" sqref="K53"/>
    </sheetView>
  </sheetViews>
  <sheetFormatPr defaultColWidth="8.5703125" defaultRowHeight="12"/>
  <cols>
    <col min="1" max="1" width="53.5703125" customWidth="1"/>
    <col min="2" max="7" width="8" customWidth="1"/>
  </cols>
  <sheetData>
    <row r="1" spans="1:8" ht="15.75">
      <c r="A1" s="1" t="s">
        <v>41</v>
      </c>
      <c r="B1" s="2"/>
      <c r="H1" s="222"/>
    </row>
    <row r="2" spans="1:8">
      <c r="A2" s="4" t="s">
        <v>1</v>
      </c>
      <c r="B2" s="5"/>
    </row>
    <row r="3" spans="1:8" ht="4.5" customHeight="1">
      <c r="A3" s="4"/>
      <c r="B3" s="5"/>
    </row>
    <row r="4" spans="1:8">
      <c r="A4" s="6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</row>
    <row r="5" spans="1:8">
      <c r="A5" s="9"/>
      <c r="B5" s="562" t="s">
        <v>7</v>
      </c>
      <c r="C5" s="562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</row>
    <row r="6" spans="1:8" ht="3.75" customHeight="1">
      <c r="A6" s="12"/>
      <c r="B6" s="13"/>
      <c r="C6" s="13"/>
      <c r="E6" s="53"/>
    </row>
    <row r="7" spans="1:8" ht="12.75" customHeight="1">
      <c r="A7" s="46" t="s">
        <v>12</v>
      </c>
      <c r="B7" s="22"/>
      <c r="C7" s="17"/>
      <c r="E7" s="53"/>
    </row>
    <row r="8" spans="1:8" ht="12.75" customHeight="1">
      <c r="A8" s="122" t="s">
        <v>88</v>
      </c>
      <c r="B8" s="17">
        <v>15160</v>
      </c>
      <c r="C8" s="17">
        <v>15604</v>
      </c>
      <c r="D8" s="17">
        <v>16119.993</v>
      </c>
      <c r="E8" s="18">
        <v>15509.644</v>
      </c>
      <c r="F8" s="17">
        <v>16270.87</v>
      </c>
      <c r="G8" s="17">
        <v>16980.97</v>
      </c>
    </row>
    <row r="9" spans="1:8" ht="12.75" customHeight="1">
      <c r="A9" s="122" t="s">
        <v>89</v>
      </c>
      <c r="B9" s="17">
        <v>7044.1</v>
      </c>
      <c r="C9" s="17">
        <v>7028</v>
      </c>
      <c r="D9" s="17">
        <v>7350.6490000000003</v>
      </c>
      <c r="E9" s="18">
        <v>6764.2659999999996</v>
      </c>
      <c r="F9" s="17">
        <v>6938.2309999999998</v>
      </c>
      <c r="G9" s="17">
        <v>7253.56</v>
      </c>
    </row>
    <row r="10" spans="1:8" ht="12.75" customHeight="1">
      <c r="A10" s="122" t="s">
        <v>90</v>
      </c>
      <c r="B10" s="17">
        <v>4542.6999999999989</v>
      </c>
      <c r="C10" s="17">
        <v>6013.018</v>
      </c>
      <c r="D10" s="17">
        <v>5994.94</v>
      </c>
      <c r="E10" s="18">
        <v>6563.36</v>
      </c>
      <c r="F10" s="17">
        <v>6941.4780000000001</v>
      </c>
      <c r="G10" s="17">
        <v>7155.78</v>
      </c>
    </row>
    <row r="11" spans="1:8" ht="12.75" customHeight="1">
      <c r="A11" s="204" t="s">
        <v>14</v>
      </c>
      <c r="B11" s="17">
        <v>19286.699999999997</v>
      </c>
      <c r="C11" s="17">
        <v>17315</v>
      </c>
      <c r="D11" s="17">
        <v>21509.102999999999</v>
      </c>
      <c r="E11" s="18">
        <v>17067.306</v>
      </c>
      <c r="F11" s="17">
        <v>17619.93</v>
      </c>
      <c r="G11" s="17">
        <v>17815.049000000003</v>
      </c>
    </row>
    <row r="12" spans="1:8" ht="12.75" customHeight="1">
      <c r="A12" s="204" t="s">
        <v>91</v>
      </c>
      <c r="B12" s="17">
        <v>12335.899999999998</v>
      </c>
      <c r="C12" s="17">
        <v>12639.787999999999</v>
      </c>
      <c r="D12" s="17">
        <v>12958.239000000001</v>
      </c>
      <c r="E12" s="18">
        <v>13287.499000000002</v>
      </c>
      <c r="F12" s="17">
        <v>13752.596</v>
      </c>
      <c r="G12" s="17">
        <v>14228.073</v>
      </c>
    </row>
    <row r="13" spans="1:8" ht="12.75" customHeight="1">
      <c r="A13" s="204" t="s">
        <v>16</v>
      </c>
      <c r="B13" s="17">
        <v>4581.1000000000004</v>
      </c>
      <c r="C13" s="17">
        <v>3266.7559999999999</v>
      </c>
      <c r="D13" s="17">
        <v>5171.4609999999993</v>
      </c>
      <c r="E13" s="18">
        <v>2882.0919999999996</v>
      </c>
      <c r="F13" s="17">
        <v>3134.8459999999995</v>
      </c>
      <c r="G13" s="17">
        <v>3467.248</v>
      </c>
    </row>
    <row r="14" spans="1:8" ht="12.75" customHeight="1">
      <c r="A14" s="204" t="s">
        <v>92</v>
      </c>
      <c r="B14" s="17">
        <v>1237.1000000000006</v>
      </c>
      <c r="C14" s="17">
        <v>2122.9370000000004</v>
      </c>
      <c r="D14" s="17">
        <v>2064.3819999999996</v>
      </c>
      <c r="E14" s="18">
        <v>2015.7360000000001</v>
      </c>
      <c r="F14" s="17">
        <v>2505.8190000000004</v>
      </c>
      <c r="G14" s="17">
        <v>2567.5110000000004</v>
      </c>
    </row>
    <row r="15" spans="1:8" ht="12.75" customHeight="1">
      <c r="A15" s="204" t="s">
        <v>93</v>
      </c>
      <c r="B15" s="17">
        <v>5564.9</v>
      </c>
      <c r="C15" s="17">
        <v>5383.4530000000004</v>
      </c>
      <c r="D15" s="17">
        <v>5564.9569999999994</v>
      </c>
      <c r="E15" s="18">
        <v>5635.74</v>
      </c>
      <c r="F15" s="17">
        <v>5873.527</v>
      </c>
      <c r="G15" s="17">
        <v>6031.8890000000001</v>
      </c>
    </row>
    <row r="16" spans="1:8" ht="12.75" customHeight="1">
      <c r="A16" s="122" t="s">
        <v>94</v>
      </c>
      <c r="B16" s="17">
        <v>4979.2000000000007</v>
      </c>
      <c r="C16" s="17">
        <v>4164.0360000000001</v>
      </c>
      <c r="D16" s="17">
        <v>3958.0310000000036</v>
      </c>
      <c r="E16" s="18">
        <v>4412.2530000000024</v>
      </c>
      <c r="F16" s="17">
        <v>4352.9170000000013</v>
      </c>
      <c r="G16" s="17">
        <v>4469.3570000000027</v>
      </c>
    </row>
    <row r="17" spans="1:8" ht="15" customHeight="1">
      <c r="A17" s="205" t="s">
        <v>18</v>
      </c>
      <c r="B17" s="47">
        <v>74731.699999999983</v>
      </c>
      <c r="C17" s="47">
        <v>73536.987999999983</v>
      </c>
      <c r="D17" s="47">
        <v>80691.755999999994</v>
      </c>
      <c r="E17" s="48">
        <v>74137.896999999997</v>
      </c>
      <c r="F17" s="47">
        <v>77390.213000000003</v>
      </c>
      <c r="G17" s="47">
        <v>79969.440000000002</v>
      </c>
    </row>
    <row r="18" spans="1:8" ht="7.5" customHeight="1">
      <c r="A18" s="206"/>
      <c r="B18" s="207"/>
      <c r="C18" s="207"/>
      <c r="D18" s="35"/>
      <c r="E18" s="15"/>
      <c r="F18" s="35"/>
      <c r="G18" s="35"/>
    </row>
    <row r="19" spans="1:8" ht="12.75" customHeight="1">
      <c r="A19" s="46" t="s">
        <v>42</v>
      </c>
      <c r="B19" s="208"/>
      <c r="C19" s="208"/>
      <c r="D19" s="35"/>
      <c r="E19" s="15"/>
      <c r="F19" s="35"/>
      <c r="G19" s="35"/>
    </row>
    <row r="20" spans="1:8" ht="12.75" customHeight="1">
      <c r="A20" s="122" t="s">
        <v>95</v>
      </c>
      <c r="B20" s="209">
        <v>6822.6750000000002</v>
      </c>
      <c r="C20" s="209">
        <v>7049.1170000000002</v>
      </c>
      <c r="D20" s="209">
        <v>7342.0149999999994</v>
      </c>
      <c r="E20" s="151">
        <v>7411.317</v>
      </c>
      <c r="F20" s="209">
        <v>7411.317</v>
      </c>
      <c r="G20" s="209">
        <v>7411.317</v>
      </c>
    </row>
    <row r="21" spans="1:8" ht="12.75" customHeight="1">
      <c r="A21" s="122" t="s">
        <v>327</v>
      </c>
      <c r="B21" s="209">
        <v>126.956</v>
      </c>
      <c r="C21" s="209">
        <v>92.140000000000015</v>
      </c>
      <c r="D21" s="209">
        <v>131.857</v>
      </c>
      <c r="E21" s="151">
        <v>168.24500000000003</v>
      </c>
      <c r="F21" s="209">
        <v>168.81800000000001</v>
      </c>
      <c r="G21" s="209">
        <v>166.35900000000001</v>
      </c>
      <c r="H21" s="198"/>
    </row>
    <row r="22" spans="1:8" ht="12.75" customHeight="1">
      <c r="A22" s="122" t="s">
        <v>328</v>
      </c>
      <c r="B22" s="209">
        <v>2650.0219999999999</v>
      </c>
      <c r="C22" s="209">
        <v>993.32400000000007</v>
      </c>
      <c r="D22" s="209">
        <v>2066.3980000000001</v>
      </c>
      <c r="E22" s="151">
        <v>984.24199999999996</v>
      </c>
      <c r="F22" s="209">
        <v>994.86699999999996</v>
      </c>
      <c r="G22" s="209">
        <v>926.53600000000006</v>
      </c>
    </row>
    <row r="23" spans="1:8" ht="12.75" customHeight="1">
      <c r="A23" s="122" t="s">
        <v>379</v>
      </c>
      <c r="B23" s="209">
        <v>262.34699999999998</v>
      </c>
      <c r="C23" s="209">
        <v>260.24599999999998</v>
      </c>
      <c r="D23" s="209">
        <v>250.56299999999999</v>
      </c>
      <c r="E23" s="151">
        <v>225.94499999999999</v>
      </c>
      <c r="F23" s="209">
        <v>211.57299999999998</v>
      </c>
      <c r="G23" s="209">
        <v>219.64500000000001</v>
      </c>
    </row>
    <row r="24" spans="1:8" ht="12.75" customHeight="1">
      <c r="A24" s="210" t="s">
        <v>371</v>
      </c>
      <c r="B24" s="209">
        <v>1606.3579999999999</v>
      </c>
      <c r="C24" s="209">
        <v>1497.5</v>
      </c>
      <c r="D24" s="209">
        <v>1504.45</v>
      </c>
      <c r="E24" s="151">
        <v>1595.1049999999998</v>
      </c>
      <c r="F24" s="209">
        <v>1645.4269999999999</v>
      </c>
      <c r="G24" s="209">
        <v>1649.84</v>
      </c>
    </row>
    <row r="25" spans="1:8" ht="12.75" customHeight="1">
      <c r="A25" s="122" t="s">
        <v>96</v>
      </c>
      <c r="B25" s="209">
        <v>9392.5149999999994</v>
      </c>
      <c r="C25" s="209">
        <v>9758.9639999999999</v>
      </c>
      <c r="D25" s="209">
        <v>9972.1569999999992</v>
      </c>
      <c r="E25" s="151">
        <v>10398.487000000001</v>
      </c>
      <c r="F25" s="209">
        <v>10790.502</v>
      </c>
      <c r="G25" s="209">
        <v>11212.582</v>
      </c>
    </row>
    <row r="26" spans="1:8" ht="12.75" customHeight="1">
      <c r="A26" s="122" t="s">
        <v>372</v>
      </c>
      <c r="B26" s="209">
        <v>965.41399999999999</v>
      </c>
      <c r="C26" s="209">
        <v>1041.0609999999999</v>
      </c>
      <c r="D26" s="209">
        <v>1057.0250000000001</v>
      </c>
      <c r="E26" s="151">
        <v>1122.0340000000001</v>
      </c>
      <c r="F26" s="209">
        <v>991.02700000000016</v>
      </c>
      <c r="G26" s="209">
        <v>1014.38</v>
      </c>
    </row>
    <row r="27" spans="1:8" ht="12.75" customHeight="1">
      <c r="A27" s="122" t="s">
        <v>330</v>
      </c>
      <c r="B27" s="209">
        <v>465.45400000000001</v>
      </c>
      <c r="C27" s="209">
        <v>557.18799999999999</v>
      </c>
      <c r="D27" s="209">
        <v>457.80499999999989</v>
      </c>
      <c r="E27" s="151">
        <v>570.46800000000007</v>
      </c>
      <c r="F27" s="209">
        <v>522.64499999999998</v>
      </c>
      <c r="G27" s="209">
        <v>536.78599999999994</v>
      </c>
    </row>
    <row r="28" spans="1:8" ht="12.75" customHeight="1">
      <c r="A28" s="122" t="s">
        <v>97</v>
      </c>
      <c r="B28" s="209">
        <v>48.481000000000002</v>
      </c>
      <c r="C28" s="209">
        <v>62.78</v>
      </c>
      <c r="D28" s="209">
        <v>62.465000000000003</v>
      </c>
      <c r="E28" s="151">
        <v>67.391999999999996</v>
      </c>
      <c r="F28" s="209">
        <v>67.382000000000005</v>
      </c>
      <c r="G28" s="209">
        <v>67.382000000000005</v>
      </c>
    </row>
    <row r="29" spans="1:8" ht="12.75" customHeight="1">
      <c r="A29" s="122" t="s">
        <v>373</v>
      </c>
      <c r="B29" s="209">
        <v>1165.6579999999999</v>
      </c>
      <c r="C29" s="209">
        <v>409.916</v>
      </c>
      <c r="D29" s="209">
        <v>1115.8399999999999</v>
      </c>
      <c r="E29" s="151">
        <v>403.13599999999991</v>
      </c>
      <c r="F29" s="209">
        <v>404.92599999999999</v>
      </c>
      <c r="G29" s="209">
        <v>394.54699999999997</v>
      </c>
    </row>
    <row r="30" spans="1:8" ht="12.75" customHeight="1">
      <c r="A30" s="122" t="s">
        <v>98</v>
      </c>
      <c r="B30" s="209">
        <v>22090.694</v>
      </c>
      <c r="C30" s="209">
        <v>22602.305</v>
      </c>
      <c r="D30" s="209">
        <v>23694.538</v>
      </c>
      <c r="E30" s="151">
        <v>24036.61</v>
      </c>
      <c r="F30" s="209">
        <v>24557.035</v>
      </c>
      <c r="G30" s="209">
        <v>25723.728999999999</v>
      </c>
    </row>
    <row r="31" spans="1:8" ht="12.75" customHeight="1">
      <c r="A31" s="122" t="s">
        <v>374</v>
      </c>
      <c r="B31" s="209">
        <v>39.347000000000001</v>
      </c>
      <c r="C31" s="209">
        <v>41.823</v>
      </c>
      <c r="D31" s="209">
        <v>40.420999999999999</v>
      </c>
      <c r="E31" s="151">
        <v>41.847999999999999</v>
      </c>
      <c r="F31" s="209">
        <v>41.847999999999999</v>
      </c>
      <c r="G31" s="209">
        <v>41.847999999999999</v>
      </c>
    </row>
    <row r="32" spans="1:8" ht="12.75" customHeight="1">
      <c r="A32" s="122" t="s">
        <v>99</v>
      </c>
      <c r="B32" s="209">
        <v>224.51399999999998</v>
      </c>
      <c r="C32" s="209">
        <v>220.25700000000001</v>
      </c>
      <c r="D32" s="209">
        <v>237.17299999999997</v>
      </c>
      <c r="E32" s="151">
        <v>238.07399999999998</v>
      </c>
      <c r="F32" s="209">
        <v>237.42499999999995</v>
      </c>
      <c r="G32" s="209">
        <v>238.14999999999998</v>
      </c>
    </row>
    <row r="33" spans="1:13" ht="12.75" customHeight="1">
      <c r="A33" s="122" t="s">
        <v>100</v>
      </c>
      <c r="B33" s="209">
        <v>861.60399999999993</v>
      </c>
      <c r="C33" s="209">
        <v>884.51499999999999</v>
      </c>
      <c r="D33" s="209">
        <v>944.06200000000001</v>
      </c>
      <c r="E33" s="151">
        <v>921.48800000000006</v>
      </c>
      <c r="F33" s="209">
        <v>952.26200000000006</v>
      </c>
      <c r="G33" s="209">
        <v>933.29700000000003</v>
      </c>
    </row>
    <row r="34" spans="1:13" ht="12.75" customHeight="1">
      <c r="A34" s="210" t="s">
        <v>375</v>
      </c>
      <c r="B34" s="209">
        <v>1557.941</v>
      </c>
      <c r="C34" s="209">
        <v>1862.0729999999999</v>
      </c>
      <c r="D34" s="209">
        <v>1948.704</v>
      </c>
      <c r="E34" s="151">
        <v>2314.7139999999999</v>
      </c>
      <c r="F34" s="209">
        <v>1766.8999999999999</v>
      </c>
      <c r="G34" s="209">
        <v>1773.0089999999998</v>
      </c>
    </row>
    <row r="35" spans="1:13" ht="12.75" customHeight="1">
      <c r="A35" s="122" t="s">
        <v>331</v>
      </c>
      <c r="B35" s="209">
        <v>659.13</v>
      </c>
      <c r="C35" s="209">
        <v>690.71800000000007</v>
      </c>
      <c r="D35" s="209">
        <v>693.61800000000005</v>
      </c>
      <c r="E35" s="151">
        <v>706.91200000000015</v>
      </c>
      <c r="F35" s="209">
        <v>715.76300000000015</v>
      </c>
      <c r="G35" s="209">
        <v>711.20300000000009</v>
      </c>
    </row>
    <row r="36" spans="1:13" ht="12.75" customHeight="1">
      <c r="A36" s="122" t="s">
        <v>332</v>
      </c>
      <c r="B36" s="209">
        <v>1587.7890000000002</v>
      </c>
      <c r="C36" s="209">
        <v>1699.6100000000001</v>
      </c>
      <c r="D36" s="209">
        <v>1740.7380000000001</v>
      </c>
      <c r="E36" s="151">
        <v>1792.0660000000003</v>
      </c>
      <c r="F36" s="209">
        <v>1788.3519999999999</v>
      </c>
      <c r="G36" s="209">
        <v>1760.816</v>
      </c>
    </row>
    <row r="37" spans="1:13" ht="12.75" customHeight="1">
      <c r="A37" s="122" t="s">
        <v>101</v>
      </c>
      <c r="B37" s="209">
        <v>989.28499999999997</v>
      </c>
      <c r="C37" s="209">
        <v>1287.258</v>
      </c>
      <c r="D37" s="209">
        <v>1310.816</v>
      </c>
      <c r="E37" s="151">
        <v>1387.645</v>
      </c>
      <c r="F37" s="209">
        <v>1377.0719999999999</v>
      </c>
      <c r="G37" s="209">
        <v>1475.4830000000002</v>
      </c>
    </row>
    <row r="38" spans="1:13" ht="12.75" customHeight="1">
      <c r="A38" s="122" t="s">
        <v>333</v>
      </c>
      <c r="B38" s="209">
        <v>1494.02</v>
      </c>
      <c r="C38" s="209">
        <v>1279.164</v>
      </c>
      <c r="D38" s="209">
        <v>1459.6129999999998</v>
      </c>
      <c r="E38" s="151">
        <v>1350.0669999999998</v>
      </c>
      <c r="F38" s="209">
        <v>1367.49</v>
      </c>
      <c r="G38" s="209">
        <v>1365.616</v>
      </c>
    </row>
    <row r="39" spans="1:13" ht="12.75" customHeight="1">
      <c r="A39" s="122" t="s">
        <v>329</v>
      </c>
      <c r="B39" s="209">
        <v>8928.5990000000002</v>
      </c>
      <c r="C39" s="209">
        <v>9590.2369999999992</v>
      </c>
      <c r="D39" s="209">
        <v>9770.14</v>
      </c>
      <c r="E39" s="151">
        <v>10602.88</v>
      </c>
      <c r="F39" s="209">
        <v>10711.941999999999</v>
      </c>
      <c r="G39" s="209">
        <v>10867.419</v>
      </c>
    </row>
    <row r="40" spans="1:13" ht="12.75" customHeight="1">
      <c r="A40" s="122" t="s">
        <v>334</v>
      </c>
      <c r="B40" s="209">
        <v>179.35699999999997</v>
      </c>
      <c r="C40" s="209">
        <v>203.25</v>
      </c>
      <c r="D40" s="209">
        <v>208.20000000000002</v>
      </c>
      <c r="E40" s="151">
        <v>203.25</v>
      </c>
      <c r="F40" s="209">
        <v>203.25000000000003</v>
      </c>
      <c r="G40" s="209">
        <v>203.25</v>
      </c>
    </row>
    <row r="41" spans="1:13" ht="12.75" customHeight="1">
      <c r="A41" s="122" t="s">
        <v>335</v>
      </c>
      <c r="B41" s="209">
        <v>811.91100000000006</v>
      </c>
      <c r="C41" s="209">
        <v>937.78499999999997</v>
      </c>
      <c r="D41" s="209">
        <v>930.18500000000006</v>
      </c>
      <c r="E41" s="151">
        <v>1010.1270000000001</v>
      </c>
      <c r="F41" s="209">
        <v>1108.72</v>
      </c>
      <c r="G41" s="209">
        <v>916.65800000000002</v>
      </c>
    </row>
    <row r="42" spans="1:13" ht="12.75" customHeight="1">
      <c r="A42" s="210" t="s">
        <v>376</v>
      </c>
      <c r="B42" s="209">
        <v>111.919</v>
      </c>
      <c r="C42" s="209">
        <v>135.566</v>
      </c>
      <c r="D42" s="209">
        <v>135.566</v>
      </c>
      <c r="E42" s="151">
        <v>132.72</v>
      </c>
      <c r="F42" s="209">
        <v>124.88999999999999</v>
      </c>
      <c r="G42" s="209">
        <v>121.35</v>
      </c>
    </row>
    <row r="43" spans="1:13" ht="12.75" customHeight="1">
      <c r="A43" s="122" t="s">
        <v>336</v>
      </c>
      <c r="B43" s="209">
        <v>2205.2869999999998</v>
      </c>
      <c r="C43" s="209">
        <v>2733.76</v>
      </c>
      <c r="D43" s="209">
        <v>2715.3530000000001</v>
      </c>
      <c r="E43" s="151">
        <v>2680.5749999999998</v>
      </c>
      <c r="F43" s="209">
        <v>3041.6219999999998</v>
      </c>
      <c r="G43" s="209">
        <v>2892.4569999999999</v>
      </c>
    </row>
    <row r="44" spans="1:13" ht="12.75" customHeight="1">
      <c r="A44" s="122" t="s">
        <v>103</v>
      </c>
      <c r="B44" s="209">
        <v>2259.6060000000002</v>
      </c>
      <c r="C44" s="209">
        <v>2107.864</v>
      </c>
      <c r="D44" s="209">
        <v>2158.7280000000001</v>
      </c>
      <c r="E44" s="151">
        <v>2226.5870000000004</v>
      </c>
      <c r="F44" s="209">
        <v>2256.268</v>
      </c>
      <c r="G44" s="209">
        <v>2264.5040000000004</v>
      </c>
    </row>
    <row r="45" spans="1:13" ht="12.75" customHeight="1">
      <c r="A45" s="122" t="s">
        <v>104</v>
      </c>
      <c r="B45" s="209">
        <v>162</v>
      </c>
      <c r="C45" s="209">
        <v>158.035</v>
      </c>
      <c r="D45" s="209">
        <v>147.87700000000001</v>
      </c>
      <c r="E45" s="151">
        <v>164.08</v>
      </c>
      <c r="F45" s="209">
        <v>185.179</v>
      </c>
      <c r="G45" s="209">
        <v>188.346</v>
      </c>
    </row>
    <row r="46" spans="1:13" ht="12.75" customHeight="1">
      <c r="A46" s="211" t="s">
        <v>350</v>
      </c>
      <c r="B46" s="212">
        <v>67669.883000000002</v>
      </c>
      <c r="C46" s="212">
        <v>68156.956000000006</v>
      </c>
      <c r="D46" s="212">
        <v>72096.307000000001</v>
      </c>
      <c r="E46" s="213">
        <v>72756.014999999999</v>
      </c>
      <c r="F46" s="212">
        <v>73644.501999999993</v>
      </c>
      <c r="G46" s="212">
        <v>75076.509000000005</v>
      </c>
      <c r="H46" s="35"/>
      <c r="I46" s="35"/>
      <c r="J46" s="35"/>
      <c r="K46" s="35"/>
      <c r="L46" s="35"/>
      <c r="M46" s="35"/>
    </row>
    <row r="47" spans="1:13" ht="12.75" customHeight="1">
      <c r="A47" s="122" t="s">
        <v>22</v>
      </c>
      <c r="B47" s="209">
        <v>3149.1170000000002</v>
      </c>
      <c r="C47" s="209">
        <v>3389.1170000000002</v>
      </c>
      <c r="D47" s="209">
        <v>3198.5949999999998</v>
      </c>
      <c r="E47" s="151">
        <v>2967.6149999999998</v>
      </c>
      <c r="F47" s="209">
        <v>3257.837</v>
      </c>
      <c r="G47" s="209">
        <v>3628.7530000000002</v>
      </c>
      <c r="H47" s="35"/>
      <c r="I47" s="35"/>
      <c r="J47" s="35"/>
      <c r="K47" s="35"/>
      <c r="L47" s="35"/>
      <c r="M47" s="35"/>
    </row>
    <row r="48" spans="1:13" ht="12.75" customHeight="1">
      <c r="A48" s="214" t="s">
        <v>23</v>
      </c>
      <c r="B48" s="38">
        <v>-372</v>
      </c>
      <c r="C48" s="38">
        <v>-364</v>
      </c>
      <c r="D48" s="38">
        <v>-363</v>
      </c>
      <c r="E48" s="23">
        <v>-374.98899999999998</v>
      </c>
      <c r="F48" s="38">
        <v>-383.98899999999998</v>
      </c>
      <c r="G48" s="38">
        <v>-389.02199999999999</v>
      </c>
      <c r="H48" s="35"/>
      <c r="I48" s="35"/>
      <c r="J48" s="35"/>
      <c r="K48" s="35"/>
      <c r="L48" s="35"/>
      <c r="M48" s="35"/>
    </row>
    <row r="49" spans="1:13" ht="15" customHeight="1">
      <c r="A49" s="205" t="s">
        <v>351</v>
      </c>
      <c r="B49" s="47">
        <v>70447</v>
      </c>
      <c r="C49" s="47">
        <v>71182.073000000004</v>
      </c>
      <c r="D49" s="47">
        <v>74932.301999999996</v>
      </c>
      <c r="E49" s="48">
        <v>75348.641000000003</v>
      </c>
      <c r="F49" s="47">
        <v>76518.350000000006</v>
      </c>
      <c r="G49" s="47">
        <v>78316.240000000005</v>
      </c>
      <c r="H49" s="35"/>
      <c r="I49" s="35"/>
      <c r="J49" s="35"/>
      <c r="K49" s="35"/>
      <c r="L49" s="35"/>
      <c r="M49" s="35"/>
    </row>
    <row r="50" spans="1:13" ht="15" customHeight="1">
      <c r="A50" s="123" t="s">
        <v>352</v>
      </c>
      <c r="B50" s="28">
        <v>4284.7</v>
      </c>
      <c r="C50" s="28">
        <v>2354.915</v>
      </c>
      <c r="D50" s="28">
        <v>5760.4539999999997</v>
      </c>
      <c r="E50" s="27">
        <v>-1210.7439999999999</v>
      </c>
      <c r="F50" s="28">
        <v>871.86400000000003</v>
      </c>
      <c r="G50" s="28">
        <v>1653.201</v>
      </c>
      <c r="H50" s="35"/>
      <c r="I50" s="35"/>
      <c r="J50" s="35"/>
      <c r="K50" s="35"/>
      <c r="L50" s="35"/>
      <c r="M50" s="35"/>
    </row>
    <row r="51" spans="1:13" ht="12.75" customHeight="1">
      <c r="A51" s="46" t="s">
        <v>392</v>
      </c>
      <c r="B51" s="150">
        <v>0</v>
      </c>
      <c r="C51" s="150">
        <v>2000</v>
      </c>
      <c r="D51" s="150">
        <v>0</v>
      </c>
      <c r="E51" s="151">
        <v>4000</v>
      </c>
      <c r="F51" s="150">
        <v>3300</v>
      </c>
      <c r="G51" s="150">
        <v>3700</v>
      </c>
      <c r="H51" s="35"/>
      <c r="I51" s="35"/>
      <c r="J51" s="35"/>
      <c r="K51" s="35"/>
      <c r="L51" s="35"/>
      <c r="M51" s="35"/>
    </row>
    <row r="52" spans="1:13" ht="12.75" customHeight="1">
      <c r="A52" s="215" t="s">
        <v>24</v>
      </c>
      <c r="B52" s="216">
        <v>70447</v>
      </c>
      <c r="C52" s="216">
        <v>73182.073000000004</v>
      </c>
      <c r="D52" s="216">
        <v>74932.301999999996</v>
      </c>
      <c r="E52" s="217">
        <v>79348.641000000003</v>
      </c>
      <c r="F52" s="216">
        <v>79818.350000000006</v>
      </c>
      <c r="G52" s="216">
        <v>82016.240000000005</v>
      </c>
      <c r="H52" s="35"/>
      <c r="I52" s="35"/>
      <c r="J52" s="35"/>
      <c r="K52" s="35"/>
      <c r="L52" s="35"/>
      <c r="M52" s="35"/>
    </row>
    <row r="53" spans="1:13" ht="12.75" customHeight="1">
      <c r="A53" s="215" t="s">
        <v>25</v>
      </c>
      <c r="B53" s="47">
        <v>4284.7</v>
      </c>
      <c r="C53" s="47">
        <v>354.91500000000002</v>
      </c>
      <c r="D53" s="47">
        <v>5760.4539999999997</v>
      </c>
      <c r="E53" s="48">
        <v>-5210.7439999999997</v>
      </c>
      <c r="F53" s="47">
        <v>-2428.136</v>
      </c>
      <c r="G53" s="47">
        <v>-2046.799</v>
      </c>
      <c r="H53" s="35"/>
      <c r="I53" s="35"/>
      <c r="J53" s="35"/>
      <c r="K53" s="35"/>
      <c r="L53" s="35"/>
      <c r="M53" s="35"/>
    </row>
    <row r="54" spans="1:13" ht="12.75" customHeight="1">
      <c r="B54" s="35"/>
      <c r="C54" s="2"/>
      <c r="D54" s="35"/>
      <c r="E54" s="15"/>
      <c r="F54" s="35"/>
      <c r="G54" s="35"/>
      <c r="H54" s="35"/>
      <c r="I54" s="35"/>
      <c r="J54" s="35"/>
      <c r="K54" s="35"/>
      <c r="L54" s="35"/>
      <c r="M54" s="35"/>
    </row>
    <row r="55" spans="1:13" ht="12" customHeight="1">
      <c r="A55" s="32" t="s">
        <v>105</v>
      </c>
      <c r="B55" s="22">
        <v>11901.823</v>
      </c>
      <c r="C55" s="22">
        <v>16186.522999999999</v>
      </c>
      <c r="D55" s="22">
        <v>16186.522999999999</v>
      </c>
      <c r="E55" s="18">
        <v>21946.976999999999</v>
      </c>
      <c r="F55" s="22">
        <v>16736.233</v>
      </c>
      <c r="G55" s="22">
        <v>14308.096</v>
      </c>
      <c r="H55" s="35"/>
      <c r="I55" s="35"/>
      <c r="J55" s="35"/>
      <c r="K55" s="35"/>
      <c r="L55" s="35"/>
      <c r="M55" s="35"/>
    </row>
    <row r="56" spans="1:13" ht="12.75" customHeight="1" thickBot="1">
      <c r="A56" s="29" t="s">
        <v>38</v>
      </c>
      <c r="B56" s="30">
        <v>16186.522999999999</v>
      </c>
      <c r="C56" s="30">
        <v>16542.437999999998</v>
      </c>
      <c r="D56" s="30">
        <v>21946.976999999999</v>
      </c>
      <c r="E56" s="31">
        <v>16736.233</v>
      </c>
      <c r="F56" s="30">
        <v>14308.096</v>
      </c>
      <c r="G56" s="30">
        <v>12261.297</v>
      </c>
      <c r="H56" s="35"/>
      <c r="I56" s="35"/>
      <c r="J56" s="35"/>
      <c r="K56" s="35"/>
      <c r="L56" s="35"/>
      <c r="M56" s="35"/>
    </row>
    <row r="57" spans="1:13" s="39" customFormat="1" ht="15" customHeight="1"/>
    <row r="58" spans="1:13" s="39" customFormat="1" ht="12.75" customHeight="1">
      <c r="B58" s="38"/>
      <c r="C58" s="38"/>
      <c r="D58" s="38"/>
      <c r="E58" s="38"/>
      <c r="F58" s="38"/>
      <c r="G58" s="38"/>
    </row>
    <row r="59" spans="1:13" ht="12.75" customHeight="1">
      <c r="B59" s="38"/>
      <c r="C59" s="38"/>
      <c r="D59" s="38"/>
      <c r="E59" s="38"/>
      <c r="F59" s="38"/>
      <c r="G59" s="38"/>
      <c r="H59" s="554"/>
    </row>
    <row r="60" spans="1:13" ht="12.75" customHeight="1">
      <c r="B60" s="551"/>
      <c r="C60" s="551"/>
      <c r="D60" s="551"/>
      <c r="E60" s="551"/>
      <c r="F60" s="551"/>
      <c r="G60" s="551"/>
      <c r="H60" s="164"/>
    </row>
    <row r="61" spans="1:13">
      <c r="B61" s="493"/>
      <c r="C61" s="493"/>
      <c r="D61" s="493"/>
      <c r="E61" s="493"/>
      <c r="F61" s="493"/>
      <c r="G61" s="493"/>
    </row>
    <row r="62" spans="1:13">
      <c r="B62" s="551"/>
      <c r="C62" s="551"/>
      <c r="D62" s="551"/>
      <c r="E62" s="551"/>
      <c r="F62" s="551"/>
      <c r="G62" s="551"/>
    </row>
    <row r="64" spans="1:13">
      <c r="C64" t="s">
        <v>180</v>
      </c>
    </row>
    <row r="65" spans="2:7">
      <c r="B65" s="38"/>
      <c r="C65" s="38"/>
      <c r="D65" s="38"/>
      <c r="E65" s="38"/>
      <c r="F65" s="38"/>
      <c r="G65" s="38"/>
    </row>
    <row r="66" spans="2:7">
      <c r="B66" s="551"/>
      <c r="C66" s="551"/>
      <c r="D66" s="551"/>
      <c r="E66" s="551"/>
      <c r="F66" s="551"/>
      <c r="G66" s="551"/>
    </row>
    <row r="69" spans="2:7">
      <c r="B69" s="38"/>
      <c r="C69" s="38"/>
      <c r="D69" s="38"/>
      <c r="E69" s="38"/>
      <c r="F69" s="38"/>
      <c r="G69" s="38"/>
    </row>
    <row r="73" spans="2:7">
      <c r="B73" s="35"/>
      <c r="C73" s="581"/>
      <c r="D73" s="581"/>
      <c r="E73" s="581"/>
      <c r="F73" s="581"/>
      <c r="G73" s="581"/>
    </row>
  </sheetData>
  <mergeCells count="1">
    <mergeCell ref="C4:D4"/>
  </mergeCells>
  <pageMargins left="0.75" right="0.75" top="0.75" bottom="0.75" header="0.3" footer="0.3"/>
  <pageSetup scale="99" orientation="portrait" r:id="rId1"/>
  <headerFooter alignWithMargins="0">
    <oddFooter>&amp;L_x000D_&amp;1#&amp;"Calibri"&amp;11&amp;K000000 Classification: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C000"/>
  </sheetPr>
  <dimension ref="A1:K67"/>
  <sheetViews>
    <sheetView showGridLines="0" zoomScale="110" zoomScaleNormal="110" zoomScaleSheetLayoutView="84" workbookViewId="0">
      <selection activeCell="I11" sqref="I11"/>
    </sheetView>
  </sheetViews>
  <sheetFormatPr defaultColWidth="9" defaultRowHeight="12"/>
  <cols>
    <col min="1" max="1" width="53" customWidth="1"/>
    <col min="2" max="5" width="8" customWidth="1"/>
    <col min="6" max="7" width="8" style="39" customWidth="1"/>
    <col min="8" max="8" width="9.42578125" bestFit="1" customWidth="1"/>
  </cols>
  <sheetData>
    <row r="1" spans="1:11" ht="15.75">
      <c r="A1" s="1" t="s">
        <v>12</v>
      </c>
      <c r="B1" s="568"/>
      <c r="C1" s="574"/>
      <c r="D1" s="574"/>
      <c r="E1" s="569"/>
      <c r="F1" s="574"/>
      <c r="G1" s="574"/>
    </row>
    <row r="2" spans="1:11">
      <c r="A2" s="4" t="s">
        <v>446</v>
      </c>
      <c r="B2" s="568"/>
      <c r="C2" s="569"/>
      <c r="D2" s="569"/>
      <c r="E2" s="569"/>
      <c r="F2" s="569"/>
      <c r="G2" s="569"/>
    </row>
    <row r="3" spans="1:11">
      <c r="A3" s="6"/>
      <c r="B3" s="558" t="s">
        <v>6</v>
      </c>
      <c r="C3" s="642" t="s">
        <v>285</v>
      </c>
      <c r="D3" s="642"/>
      <c r="E3" s="560" t="s">
        <v>325</v>
      </c>
      <c r="F3" s="558" t="s">
        <v>364</v>
      </c>
      <c r="G3" s="558" t="s">
        <v>365</v>
      </c>
    </row>
    <row r="4" spans="1:11">
      <c r="A4" s="9"/>
      <c r="B4" s="562" t="s">
        <v>7</v>
      </c>
      <c r="C4" s="580" t="s">
        <v>8</v>
      </c>
      <c r="D4" s="562" t="s">
        <v>9</v>
      </c>
      <c r="E4" s="563" t="s">
        <v>10</v>
      </c>
      <c r="F4" s="562" t="s">
        <v>11</v>
      </c>
      <c r="G4" s="562" t="s">
        <v>11</v>
      </c>
    </row>
    <row r="5" spans="1:11" ht="10.7" customHeight="1">
      <c r="A5" s="46" t="s">
        <v>106</v>
      </c>
      <c r="B5" s="17"/>
      <c r="C5" s="17"/>
      <c r="D5" s="17"/>
      <c r="E5" s="15"/>
      <c r="F5" s="35"/>
      <c r="G5" s="35"/>
    </row>
    <row r="6" spans="1:11" ht="10.7" customHeight="1">
      <c r="A6" s="122" t="s">
        <v>88</v>
      </c>
      <c r="B6" s="17">
        <v>15160</v>
      </c>
      <c r="C6" s="17">
        <v>15604</v>
      </c>
      <c r="D6" s="17">
        <v>16119.993</v>
      </c>
      <c r="E6" s="18">
        <v>15509.644</v>
      </c>
      <c r="F6" s="17">
        <v>16270.87</v>
      </c>
      <c r="G6" s="17">
        <v>16980.97</v>
      </c>
    </row>
    <row r="7" spans="1:11" ht="10.7" customHeight="1">
      <c r="A7" s="122" t="s">
        <v>89</v>
      </c>
      <c r="B7" s="17">
        <v>7044.1</v>
      </c>
      <c r="C7" s="17">
        <v>7028</v>
      </c>
      <c r="D7" s="17">
        <v>7350.6490000000003</v>
      </c>
      <c r="E7" s="18">
        <v>6764.2659999999996</v>
      </c>
      <c r="F7" s="17">
        <v>6938.2309999999998</v>
      </c>
      <c r="G7" s="17">
        <v>7253.56</v>
      </c>
    </row>
    <row r="8" spans="1:11" ht="10.7" customHeight="1">
      <c r="A8" s="218"/>
      <c r="B8" s="47">
        <v>22204.1</v>
      </c>
      <c r="C8" s="47">
        <v>22632</v>
      </c>
      <c r="D8" s="47">
        <v>23470.642</v>
      </c>
      <c r="E8" s="48">
        <v>22273.91</v>
      </c>
      <c r="F8" s="47">
        <v>23209.101000000002</v>
      </c>
      <c r="G8" s="47">
        <v>24234.530000000002</v>
      </c>
    </row>
    <row r="9" spans="1:11" ht="10.7" customHeight="1">
      <c r="A9" s="46" t="s">
        <v>107</v>
      </c>
      <c r="B9" s="17"/>
      <c r="C9" s="22"/>
      <c r="D9" s="22"/>
      <c r="E9" s="18"/>
      <c r="F9" s="17"/>
      <c r="G9" s="17"/>
    </row>
    <row r="10" spans="1:11" ht="10.7" customHeight="1">
      <c r="A10" s="122" t="s">
        <v>386</v>
      </c>
      <c r="B10" s="609">
        <v>2526.3000000000002</v>
      </c>
      <c r="C10" s="17">
        <v>2733.018</v>
      </c>
      <c r="D10" s="17">
        <v>2731.9029999999998</v>
      </c>
      <c r="E10" s="18">
        <v>3124</v>
      </c>
      <c r="F10" s="17">
        <v>3435</v>
      </c>
      <c r="G10" s="17">
        <v>3576</v>
      </c>
    </row>
    <row r="11" spans="1:11" ht="10.7" customHeight="1">
      <c r="A11" s="122" t="s">
        <v>394</v>
      </c>
      <c r="B11" s="17">
        <v>268.60000000000002</v>
      </c>
      <c r="C11" s="17">
        <v>1398</v>
      </c>
      <c r="D11" s="17">
        <v>1414.8040000000001</v>
      </c>
      <c r="E11" s="18">
        <v>1438.104</v>
      </c>
      <c r="F11" s="17">
        <v>1457.124</v>
      </c>
      <c r="G11" s="17">
        <v>1481.3310000000001</v>
      </c>
    </row>
    <row r="12" spans="1:11" ht="10.7" customHeight="1">
      <c r="A12" s="122" t="s">
        <v>108</v>
      </c>
      <c r="B12" s="17">
        <v>439.2</v>
      </c>
      <c r="C12" s="17">
        <v>473</v>
      </c>
      <c r="D12" s="17">
        <v>437.00400000000002</v>
      </c>
      <c r="E12" s="18">
        <v>420.49799999999999</v>
      </c>
      <c r="F12" s="17">
        <v>384.83300000000003</v>
      </c>
      <c r="G12" s="17">
        <v>354.44600000000003</v>
      </c>
      <c r="H12" s="35"/>
      <c r="I12" s="35"/>
      <c r="J12" s="35"/>
      <c r="K12" s="35"/>
    </row>
    <row r="13" spans="1:11" ht="10.7" customHeight="1">
      <c r="A13" s="122" t="s">
        <v>109</v>
      </c>
      <c r="B13" s="17">
        <v>857.8</v>
      </c>
      <c r="C13" s="17">
        <v>908</v>
      </c>
      <c r="D13" s="17">
        <v>906.27599999999995</v>
      </c>
      <c r="E13" s="18">
        <v>971.98199999999997</v>
      </c>
      <c r="F13" s="17">
        <v>1043.1210000000001</v>
      </c>
      <c r="G13" s="17">
        <v>1120.2329999999999</v>
      </c>
      <c r="H13" s="35"/>
      <c r="I13" s="35"/>
      <c r="J13" s="35"/>
      <c r="K13" s="35"/>
    </row>
    <row r="14" spans="1:11" ht="10.7" customHeight="1">
      <c r="A14" s="122" t="s">
        <v>111</v>
      </c>
      <c r="B14" s="17">
        <v>209.7</v>
      </c>
      <c r="C14" s="17">
        <v>196</v>
      </c>
      <c r="D14" s="17">
        <v>209.661</v>
      </c>
      <c r="E14" s="18">
        <v>214.739</v>
      </c>
      <c r="F14" s="17">
        <v>218.31800000000001</v>
      </c>
      <c r="G14" s="17">
        <v>221.95400000000001</v>
      </c>
      <c r="H14" s="35"/>
      <c r="I14" s="35"/>
      <c r="J14" s="35"/>
      <c r="K14" s="35"/>
    </row>
    <row r="15" spans="1:11" ht="10.7" customHeight="1">
      <c r="A15" s="122" t="s">
        <v>110</v>
      </c>
      <c r="B15" s="17">
        <v>116.2</v>
      </c>
      <c r="C15" s="17">
        <v>118</v>
      </c>
      <c r="D15" s="17">
        <v>120.273</v>
      </c>
      <c r="E15" s="18">
        <v>122.43600000000001</v>
      </c>
      <c r="F15" s="17">
        <v>125.627</v>
      </c>
      <c r="G15" s="17">
        <v>129.48400000000001</v>
      </c>
      <c r="H15" s="35"/>
      <c r="I15" s="35"/>
      <c r="J15" s="35"/>
      <c r="K15" s="35"/>
    </row>
    <row r="16" spans="1:11" ht="10.7" customHeight="1">
      <c r="A16" s="122" t="s">
        <v>90</v>
      </c>
      <c r="B16" s="17">
        <v>124.9</v>
      </c>
      <c r="C16" s="17">
        <v>187</v>
      </c>
      <c r="D16" s="17">
        <v>175.02</v>
      </c>
      <c r="E16" s="18">
        <v>271.60199999999998</v>
      </c>
      <c r="F16" s="17">
        <v>277.45499999999998</v>
      </c>
      <c r="G16" s="17">
        <v>272.33600000000001</v>
      </c>
      <c r="H16" s="35"/>
      <c r="I16" s="35"/>
      <c r="J16" s="35"/>
      <c r="K16" s="35"/>
    </row>
    <row r="17" spans="1:11" ht="10.7" customHeight="1">
      <c r="A17" s="218"/>
      <c r="B17" s="47">
        <v>4542.6999999999989</v>
      </c>
      <c r="C17" s="47">
        <v>6013.018</v>
      </c>
      <c r="D17" s="47">
        <v>5994.9409999999998</v>
      </c>
      <c r="E17" s="48">
        <v>6563.3609999999999</v>
      </c>
      <c r="F17" s="47">
        <v>6941.4780000000001</v>
      </c>
      <c r="G17" s="47">
        <v>7155.7839999999997</v>
      </c>
      <c r="H17" s="35"/>
      <c r="I17" s="35"/>
      <c r="J17" s="35"/>
      <c r="K17" s="35"/>
    </row>
    <row r="18" spans="1:11" ht="10.7" customHeight="1">
      <c r="A18" s="206" t="s">
        <v>112</v>
      </c>
      <c r="B18" s="17"/>
      <c r="C18" s="22"/>
      <c r="D18" s="22"/>
      <c r="E18" s="18"/>
      <c r="F18" s="17"/>
      <c r="G18" s="17"/>
      <c r="H18" s="35"/>
      <c r="I18" s="35"/>
      <c r="J18" s="35"/>
      <c r="K18" s="35"/>
    </row>
    <row r="19" spans="1:11" ht="10.7" customHeight="1">
      <c r="A19" s="204" t="s">
        <v>113</v>
      </c>
      <c r="B19" s="17">
        <v>14517.6</v>
      </c>
      <c r="C19" s="17">
        <v>12538</v>
      </c>
      <c r="D19" s="17">
        <v>16859.333999999999</v>
      </c>
      <c r="E19" s="18">
        <v>12830.42</v>
      </c>
      <c r="F19" s="17">
        <v>13137.823</v>
      </c>
      <c r="G19" s="17">
        <v>13498.546</v>
      </c>
      <c r="H19" s="35"/>
      <c r="I19" s="35"/>
      <c r="J19" s="35"/>
      <c r="K19" s="35"/>
    </row>
    <row r="20" spans="1:11" ht="10.7" customHeight="1">
      <c r="A20" s="204" t="s">
        <v>114</v>
      </c>
      <c r="B20" s="17">
        <v>2971.5</v>
      </c>
      <c r="C20" s="17">
        <v>2779</v>
      </c>
      <c r="D20" s="17">
        <v>2945.68</v>
      </c>
      <c r="E20" s="18">
        <v>2509.5230000000001</v>
      </c>
      <c r="F20" s="17">
        <v>2530.35</v>
      </c>
      <c r="G20" s="17">
        <v>2695.0450000000001</v>
      </c>
      <c r="H20" s="35"/>
      <c r="I20" s="35"/>
      <c r="J20" s="35"/>
      <c r="K20" s="35"/>
    </row>
    <row r="21" spans="1:11" ht="10.7" customHeight="1">
      <c r="A21" s="204" t="s">
        <v>115</v>
      </c>
      <c r="B21" s="17">
        <v>1057.5</v>
      </c>
      <c r="C21" s="17">
        <v>1468</v>
      </c>
      <c r="D21" s="17">
        <v>1161.2329999999999</v>
      </c>
      <c r="E21" s="18">
        <v>1228.2</v>
      </c>
      <c r="F21" s="17">
        <v>1434.3119999999999</v>
      </c>
      <c r="G21" s="17">
        <v>1093.1110000000001</v>
      </c>
      <c r="H21" s="35"/>
      <c r="I21" s="35"/>
      <c r="J21" s="35"/>
      <c r="K21" s="35"/>
    </row>
    <row r="22" spans="1:11" ht="10.7" customHeight="1">
      <c r="A22" s="204" t="s">
        <v>116</v>
      </c>
      <c r="B22" s="17">
        <v>498.5</v>
      </c>
      <c r="C22" s="17">
        <v>321</v>
      </c>
      <c r="D22" s="17">
        <v>382.13900000000001</v>
      </c>
      <c r="E22" s="18">
        <v>361.12700000000001</v>
      </c>
      <c r="F22" s="17">
        <v>380.25900000000001</v>
      </c>
      <c r="G22" s="17">
        <v>392.39699999999999</v>
      </c>
      <c r="H22" s="35"/>
      <c r="I22" s="35"/>
      <c r="J22" s="35"/>
      <c r="K22" s="35"/>
    </row>
    <row r="23" spans="1:11" ht="10.7" customHeight="1">
      <c r="A23" s="204" t="s">
        <v>117</v>
      </c>
      <c r="B23" s="17">
        <v>241.6</v>
      </c>
      <c r="C23" s="17">
        <v>209</v>
      </c>
      <c r="D23" s="17">
        <v>160.71700000000001</v>
      </c>
      <c r="E23" s="18">
        <v>138.036</v>
      </c>
      <c r="F23" s="17">
        <v>137.18600000000001</v>
      </c>
      <c r="G23" s="17">
        <v>135.94999999999999</v>
      </c>
      <c r="H23" s="35"/>
      <c r="I23" s="35"/>
      <c r="J23" s="35"/>
      <c r="K23" s="35"/>
    </row>
    <row r="24" spans="1:11" ht="10.7" customHeight="1">
      <c r="A24" s="218"/>
      <c r="B24" s="47">
        <v>19286.699999999997</v>
      </c>
      <c r="C24" s="219">
        <v>17315</v>
      </c>
      <c r="D24" s="219">
        <v>21509.102999999999</v>
      </c>
      <c r="E24" s="48">
        <v>17067.306</v>
      </c>
      <c r="F24" s="47">
        <v>17619.93</v>
      </c>
      <c r="G24" s="47">
        <v>17815.049000000003</v>
      </c>
      <c r="H24" s="35"/>
      <c r="I24" s="35"/>
      <c r="J24" s="35"/>
      <c r="K24" s="35"/>
    </row>
    <row r="25" spans="1:11" ht="10.7" customHeight="1">
      <c r="A25" s="206" t="s">
        <v>91</v>
      </c>
      <c r="B25" s="17"/>
      <c r="C25" s="22"/>
      <c r="D25" s="22"/>
      <c r="E25" s="18"/>
      <c r="F25" s="17"/>
      <c r="G25" s="17"/>
      <c r="H25" s="35"/>
      <c r="I25" s="35"/>
      <c r="J25" s="35"/>
      <c r="K25" s="35"/>
    </row>
    <row r="26" spans="1:11" ht="10.7" customHeight="1">
      <c r="A26" s="204" t="s">
        <v>118</v>
      </c>
      <c r="B26" s="17">
        <v>5963.7</v>
      </c>
      <c r="C26" s="17">
        <v>6164</v>
      </c>
      <c r="D26" s="17">
        <v>6155.7079999999996</v>
      </c>
      <c r="E26" s="18">
        <v>6559.6390000000001</v>
      </c>
      <c r="F26" s="17">
        <v>7033.12</v>
      </c>
      <c r="G26" s="17">
        <v>7456.2129999999997</v>
      </c>
      <c r="H26" s="35"/>
      <c r="I26" s="35"/>
      <c r="J26" s="35"/>
      <c r="K26" s="35"/>
    </row>
    <row r="27" spans="1:11" ht="10.7" customHeight="1">
      <c r="A27" s="204" t="s">
        <v>119</v>
      </c>
      <c r="B27" s="17">
        <v>1907.9</v>
      </c>
      <c r="C27" s="17">
        <v>2001.2360000000001</v>
      </c>
      <c r="D27" s="17">
        <v>1993.078</v>
      </c>
      <c r="E27" s="18">
        <v>2089.1219999999998</v>
      </c>
      <c r="F27" s="17">
        <v>2197.252</v>
      </c>
      <c r="G27" s="17">
        <v>2285.0619999999999</v>
      </c>
      <c r="H27" s="35"/>
      <c r="I27" s="35"/>
      <c r="J27" s="35"/>
      <c r="K27" s="35"/>
    </row>
    <row r="28" spans="1:11" ht="10.7" customHeight="1">
      <c r="A28" s="204" t="s">
        <v>120</v>
      </c>
      <c r="B28" s="17">
        <v>608.4</v>
      </c>
      <c r="C28" s="17">
        <v>633.33399999999995</v>
      </c>
      <c r="D28" s="17">
        <v>668.19</v>
      </c>
      <c r="E28" s="18">
        <v>692.92100000000005</v>
      </c>
      <c r="F28" s="17">
        <v>704.08299999999986</v>
      </c>
      <c r="G28" s="17">
        <v>714.58399999999983</v>
      </c>
      <c r="H28" s="35"/>
      <c r="I28" s="35"/>
      <c r="J28" s="35"/>
      <c r="K28" s="35"/>
    </row>
    <row r="29" spans="1:11" ht="10.7" customHeight="1">
      <c r="A29" s="204" t="s">
        <v>121</v>
      </c>
      <c r="B29" s="17">
        <v>714.8</v>
      </c>
      <c r="C29" s="17">
        <v>839.98099999999999</v>
      </c>
      <c r="D29" s="17">
        <v>874.54900000000032</v>
      </c>
      <c r="E29" s="18">
        <v>807.48300000000017</v>
      </c>
      <c r="F29" s="17">
        <v>980.83899999999994</v>
      </c>
      <c r="G29" s="17">
        <v>981.38400000000001</v>
      </c>
      <c r="H29" s="35"/>
      <c r="I29" s="35"/>
      <c r="J29" s="35"/>
      <c r="K29" s="35"/>
    </row>
    <row r="30" spans="1:11" ht="10.7" customHeight="1">
      <c r="A30" s="204" t="s">
        <v>122</v>
      </c>
      <c r="B30" s="17">
        <v>615</v>
      </c>
      <c r="C30" s="17">
        <v>536.65899999999999</v>
      </c>
      <c r="D30" s="17">
        <v>577.65599999999995</v>
      </c>
      <c r="E30" s="18">
        <v>551.928</v>
      </c>
      <c r="F30" s="17">
        <v>594.67499999999995</v>
      </c>
      <c r="G30" s="17">
        <v>627.89400000000001</v>
      </c>
      <c r="H30" s="35"/>
      <c r="I30" s="35"/>
      <c r="J30" s="35"/>
      <c r="K30" s="35"/>
    </row>
    <row r="31" spans="1:11" ht="10.7" customHeight="1">
      <c r="A31" s="204" t="s">
        <v>123</v>
      </c>
      <c r="B31" s="17">
        <v>322</v>
      </c>
      <c r="C31" s="17">
        <v>321.77299999999997</v>
      </c>
      <c r="D31" s="17">
        <v>257.09899999999999</v>
      </c>
      <c r="E31" s="18">
        <v>257.48399999999998</v>
      </c>
      <c r="F31" s="17">
        <v>257.48400000000004</v>
      </c>
      <c r="G31" s="17">
        <v>257.48400000000004</v>
      </c>
      <c r="H31" s="35"/>
      <c r="I31" s="35"/>
      <c r="J31" s="35"/>
      <c r="K31" s="35"/>
    </row>
    <row r="32" spans="1:11" ht="10.7" customHeight="1">
      <c r="A32" s="204" t="s">
        <v>337</v>
      </c>
      <c r="B32" s="17">
        <v>880.8</v>
      </c>
      <c r="C32" s="17">
        <v>1139.2</v>
      </c>
      <c r="D32" s="17">
        <v>1251.4940000000001</v>
      </c>
      <c r="E32" s="18">
        <v>1146.598</v>
      </c>
      <c r="F32" s="17">
        <v>1121.0239999999999</v>
      </c>
      <c r="G32" s="17">
        <v>1121.0239999999999</v>
      </c>
      <c r="H32" s="35"/>
      <c r="I32" s="35"/>
      <c r="J32" s="35"/>
      <c r="K32" s="35"/>
    </row>
    <row r="33" spans="1:11" ht="10.7" customHeight="1">
      <c r="A33" s="122" t="s">
        <v>366</v>
      </c>
      <c r="B33" s="17">
        <v>1323.3000000000002</v>
      </c>
      <c r="C33" s="17">
        <v>1003.605</v>
      </c>
      <c r="D33" s="17">
        <v>1180.4650000000001</v>
      </c>
      <c r="E33" s="18">
        <v>1182.3240000000001</v>
      </c>
      <c r="F33" s="17">
        <v>864.11900000000003</v>
      </c>
      <c r="G33" s="17">
        <v>784.428</v>
      </c>
      <c r="H33" s="35"/>
      <c r="I33" s="35"/>
      <c r="J33" s="35"/>
      <c r="K33" s="35"/>
    </row>
    <row r="34" spans="1:11" ht="10.7" customHeight="1">
      <c r="A34" s="218"/>
      <c r="B34" s="47">
        <v>12335.899999999998</v>
      </c>
      <c r="C34" s="219">
        <v>12639.787999999999</v>
      </c>
      <c r="D34" s="219">
        <v>12958.239000000001</v>
      </c>
      <c r="E34" s="48">
        <v>13287.499000000002</v>
      </c>
      <c r="F34" s="47">
        <v>13752.596</v>
      </c>
      <c r="G34" s="47">
        <v>14228.073</v>
      </c>
      <c r="H34" s="35"/>
      <c r="I34" s="35"/>
      <c r="J34" s="35"/>
      <c r="K34" s="35"/>
    </row>
    <row r="35" spans="1:11" ht="10.7" customHeight="1">
      <c r="A35" s="206" t="s">
        <v>124</v>
      </c>
      <c r="B35" s="17"/>
      <c r="C35" s="22"/>
      <c r="D35" s="22"/>
      <c r="E35" s="18"/>
      <c r="F35" s="17"/>
      <c r="G35" s="17"/>
      <c r="H35" s="35"/>
      <c r="I35" s="35"/>
      <c r="J35" s="35"/>
      <c r="K35" s="35"/>
    </row>
    <row r="36" spans="1:11" ht="10.7" customHeight="1">
      <c r="A36" s="204" t="s">
        <v>58</v>
      </c>
      <c r="B36" s="17">
        <v>2064.8000000000002</v>
      </c>
      <c r="C36" s="17">
        <v>1042.0319999999999</v>
      </c>
      <c r="D36" s="17">
        <v>2298.4859999999999</v>
      </c>
      <c r="E36" s="18">
        <v>1128.664</v>
      </c>
      <c r="F36" s="17">
        <v>1372.9860000000001</v>
      </c>
      <c r="G36" s="17">
        <v>1611.739</v>
      </c>
      <c r="H36" s="35"/>
      <c r="I36" s="35"/>
      <c r="J36" s="35"/>
      <c r="K36" s="35"/>
    </row>
    <row r="37" spans="1:11" ht="10.7" customHeight="1">
      <c r="A37" s="204" t="s">
        <v>125</v>
      </c>
      <c r="B37" s="17">
        <v>526.79999999999995</v>
      </c>
      <c r="C37" s="17">
        <v>291.00200000000001</v>
      </c>
      <c r="D37" s="17">
        <v>672.58900000000006</v>
      </c>
      <c r="E37" s="18">
        <v>260.55399999999997</v>
      </c>
      <c r="F37" s="17">
        <v>289.887</v>
      </c>
      <c r="G37" s="17">
        <v>334.334</v>
      </c>
      <c r="H37" s="35"/>
      <c r="I37" s="35"/>
      <c r="J37" s="35"/>
      <c r="K37" s="35"/>
    </row>
    <row r="38" spans="1:11" ht="10.7" customHeight="1">
      <c r="A38" s="204" t="s">
        <v>312</v>
      </c>
      <c r="B38" s="17">
        <v>801.9</v>
      </c>
      <c r="C38" s="17">
        <v>757.69999999999993</v>
      </c>
      <c r="D38" s="17">
        <v>725.17700000000002</v>
      </c>
      <c r="E38" s="18">
        <v>576.81799999999998</v>
      </c>
      <c r="F38" s="17">
        <v>592.28300000000002</v>
      </c>
      <c r="G38" s="17">
        <v>626.423</v>
      </c>
      <c r="H38" s="35"/>
      <c r="I38" s="35"/>
      <c r="J38" s="35"/>
      <c r="K38" s="35"/>
    </row>
    <row r="39" spans="1:11" ht="10.7" customHeight="1">
      <c r="A39" s="204" t="s">
        <v>65</v>
      </c>
      <c r="B39" s="17">
        <v>92.8</v>
      </c>
      <c r="C39" s="17">
        <v>148.34299999999999</v>
      </c>
      <c r="D39" s="17">
        <v>153.77600000000001</v>
      </c>
      <c r="E39" s="18">
        <v>148.71700000000001</v>
      </c>
      <c r="F39" s="17">
        <v>155.11100000000002</v>
      </c>
      <c r="G39" s="17">
        <v>165.71400000000003</v>
      </c>
      <c r="H39" s="35"/>
      <c r="I39" s="35"/>
      <c r="J39" s="35"/>
      <c r="K39" s="35"/>
    </row>
    <row r="40" spans="1:11" ht="10.7" customHeight="1">
      <c r="A40" s="122" t="s">
        <v>126</v>
      </c>
      <c r="B40" s="17">
        <v>1094.8000000000002</v>
      </c>
      <c r="C40" s="17">
        <v>1027.6790000000001</v>
      </c>
      <c r="D40" s="17">
        <v>1321.433</v>
      </c>
      <c r="E40" s="18">
        <v>767.33899999999994</v>
      </c>
      <c r="F40" s="17">
        <v>724.57899999999995</v>
      </c>
      <c r="G40" s="17">
        <v>729.0379999999999</v>
      </c>
      <c r="H40" s="35"/>
      <c r="I40" s="35"/>
      <c r="J40" s="35"/>
      <c r="K40" s="35"/>
    </row>
    <row r="41" spans="1:11" ht="10.7" customHeight="1">
      <c r="A41" s="218"/>
      <c r="B41" s="47">
        <v>4581.1000000000004</v>
      </c>
      <c r="C41" s="219">
        <v>3266.7559999999999</v>
      </c>
      <c r="D41" s="219">
        <v>5171.4609999999993</v>
      </c>
      <c r="E41" s="48">
        <v>2882.0919999999996</v>
      </c>
      <c r="F41" s="47">
        <v>3134.8459999999995</v>
      </c>
      <c r="G41" s="47">
        <v>3467.248</v>
      </c>
      <c r="H41" s="35"/>
      <c r="I41" s="35"/>
      <c r="J41" s="35"/>
      <c r="K41" s="35"/>
    </row>
    <row r="42" spans="1:11" ht="10.7" customHeight="1">
      <c r="A42" s="206" t="s">
        <v>127</v>
      </c>
      <c r="B42" s="17"/>
      <c r="C42" s="22"/>
      <c r="D42" s="22"/>
      <c r="E42" s="18"/>
      <c r="F42" s="17"/>
      <c r="G42" s="17"/>
      <c r="H42" s="35"/>
      <c r="I42" s="35"/>
      <c r="J42" s="35"/>
      <c r="K42" s="35"/>
    </row>
    <row r="43" spans="1:11" ht="10.7" customHeight="1">
      <c r="A43" s="204" t="s">
        <v>128</v>
      </c>
      <c r="B43" s="17">
        <v>1568.8</v>
      </c>
      <c r="C43" s="17">
        <v>1486.9</v>
      </c>
      <c r="D43" s="17">
        <v>1517.6709999999998</v>
      </c>
      <c r="E43" s="18">
        <v>1539.67</v>
      </c>
      <c r="F43" s="17">
        <v>1577.2620000000006</v>
      </c>
      <c r="G43" s="17">
        <v>1620.9680000000005</v>
      </c>
      <c r="H43" s="35"/>
      <c r="I43" s="35"/>
      <c r="J43" s="35"/>
      <c r="K43" s="35"/>
    </row>
    <row r="44" spans="1:11" ht="10.7" customHeight="1">
      <c r="A44" s="204" t="s">
        <v>129</v>
      </c>
      <c r="B44" s="17">
        <v>790.6</v>
      </c>
      <c r="C44" s="17">
        <v>807.7</v>
      </c>
      <c r="D44" s="17">
        <v>777.92800000000011</v>
      </c>
      <c r="E44" s="18">
        <v>783.42000000000007</v>
      </c>
      <c r="F44" s="17">
        <v>769.75</v>
      </c>
      <c r="G44" s="17">
        <v>760.91799999999989</v>
      </c>
      <c r="H44" s="35"/>
      <c r="I44" s="35"/>
      <c r="J44" s="35"/>
      <c r="K44" s="35"/>
    </row>
    <row r="45" spans="1:11" ht="10.7" customHeight="1">
      <c r="A45" s="204" t="s">
        <v>130</v>
      </c>
      <c r="B45" s="17">
        <v>10.8</v>
      </c>
      <c r="C45" s="17">
        <v>7.2</v>
      </c>
      <c r="D45" s="17">
        <v>8.7100000000000009</v>
      </c>
      <c r="E45" s="18">
        <v>9.0380000000000003</v>
      </c>
      <c r="F45" s="17">
        <v>13.532000000000007</v>
      </c>
      <c r="G45" s="17">
        <v>25.404000000000003</v>
      </c>
      <c r="H45" s="35"/>
      <c r="I45" s="35"/>
      <c r="J45" s="35"/>
      <c r="K45" s="35"/>
    </row>
    <row r="46" spans="1:11" ht="10.7" customHeight="1">
      <c r="A46" s="204" t="s">
        <v>131</v>
      </c>
      <c r="B46" s="17">
        <v>336.8</v>
      </c>
      <c r="C46" s="17">
        <v>265.94600000000003</v>
      </c>
      <c r="D46" s="17">
        <v>284.83399999999995</v>
      </c>
      <c r="E46" s="18">
        <v>284.94899999999984</v>
      </c>
      <c r="F46" s="17">
        <v>352.59999999999985</v>
      </c>
      <c r="G46" s="17">
        <v>409.59600000000023</v>
      </c>
      <c r="H46" s="35"/>
      <c r="I46" s="35"/>
      <c r="J46" s="35"/>
      <c r="K46" s="35"/>
    </row>
    <row r="47" spans="1:11" ht="10.7" customHeight="1">
      <c r="A47" s="204" t="s">
        <v>132</v>
      </c>
      <c r="B47" s="17">
        <v>160.4</v>
      </c>
      <c r="C47" s="17">
        <v>64.510000000000005</v>
      </c>
      <c r="D47" s="17">
        <v>61.32399999999997</v>
      </c>
      <c r="E47" s="18">
        <v>57.39</v>
      </c>
      <c r="F47" s="17">
        <v>53.130999999999993</v>
      </c>
      <c r="G47" s="17">
        <v>56.126999999999981</v>
      </c>
      <c r="H47" s="35"/>
      <c r="I47" s="35"/>
      <c r="J47" s="35"/>
      <c r="K47" s="35"/>
    </row>
    <row r="48" spans="1:11" ht="10.7" customHeight="1">
      <c r="A48" s="122" t="s">
        <v>133</v>
      </c>
      <c r="B48" s="17">
        <v>-1630.3</v>
      </c>
      <c r="C48" s="17">
        <v>-509.31900000000002</v>
      </c>
      <c r="D48" s="17">
        <v>-586.08600000000001</v>
      </c>
      <c r="E48" s="18">
        <v>-658.73099999999999</v>
      </c>
      <c r="F48" s="17">
        <v>-260.45600000000002</v>
      </c>
      <c r="G48" s="17">
        <v>-305.50200000000001</v>
      </c>
      <c r="H48" s="35"/>
      <c r="I48" s="35"/>
      <c r="J48" s="35"/>
      <c r="K48" s="35"/>
    </row>
    <row r="49" spans="1:11" ht="10.7" customHeight="1">
      <c r="A49" s="218"/>
      <c r="B49" s="47">
        <v>1237.1000000000006</v>
      </c>
      <c r="C49" s="219">
        <v>2122.9370000000004</v>
      </c>
      <c r="D49" s="219">
        <v>2064.3819999999996</v>
      </c>
      <c r="E49" s="48">
        <v>2015.7360000000001</v>
      </c>
      <c r="F49" s="47">
        <v>2505.8190000000004</v>
      </c>
      <c r="G49" s="47">
        <v>2567.5110000000004</v>
      </c>
      <c r="H49" s="35"/>
      <c r="I49" s="35"/>
      <c r="J49" s="35"/>
      <c r="K49" s="35"/>
    </row>
    <row r="50" spans="1:11" ht="10.7" customHeight="1">
      <c r="A50" s="206" t="s">
        <v>134</v>
      </c>
      <c r="B50" s="17"/>
      <c r="C50" s="22"/>
      <c r="D50" s="22"/>
      <c r="E50" s="18"/>
      <c r="F50" s="17"/>
      <c r="G50" s="17"/>
      <c r="H50" s="35"/>
      <c r="I50" s="35"/>
      <c r="J50" s="35"/>
      <c r="K50" s="35"/>
    </row>
    <row r="51" spans="1:11" ht="10.7" customHeight="1">
      <c r="A51" s="204" t="s">
        <v>135</v>
      </c>
      <c r="B51" s="17">
        <v>1835.5</v>
      </c>
      <c r="C51" s="17">
        <v>1998.9649999999999</v>
      </c>
      <c r="D51" s="17">
        <v>2153.6410000000001</v>
      </c>
      <c r="E51" s="18">
        <v>2133.3119999999999</v>
      </c>
      <c r="F51" s="17">
        <v>2214.1600000000003</v>
      </c>
      <c r="G51" s="17">
        <v>2260.0500000000002</v>
      </c>
      <c r="H51" s="35"/>
      <c r="I51" s="35"/>
      <c r="J51" s="35"/>
      <c r="K51" s="35"/>
    </row>
    <row r="52" spans="1:11" ht="10.7" customHeight="1">
      <c r="A52" s="204" t="s">
        <v>136</v>
      </c>
      <c r="B52" s="17">
        <v>817.6</v>
      </c>
      <c r="C52" s="17">
        <v>845.39199999999994</v>
      </c>
      <c r="D52" s="17">
        <v>905.57100000000003</v>
      </c>
      <c r="E52" s="18">
        <v>911.58199999999988</v>
      </c>
      <c r="F52" s="17">
        <v>936.74300000000005</v>
      </c>
      <c r="G52" s="17">
        <v>961.41100000000006</v>
      </c>
      <c r="H52" s="35"/>
      <c r="I52" s="35"/>
      <c r="J52" s="35"/>
      <c r="K52" s="35"/>
    </row>
    <row r="53" spans="1:11" ht="10.7" customHeight="1">
      <c r="A53" s="204" t="s">
        <v>137</v>
      </c>
      <c r="B53" s="17">
        <v>969.1</v>
      </c>
      <c r="C53" s="17">
        <v>593.94100000000003</v>
      </c>
      <c r="D53" s="17">
        <v>597.60500000000002</v>
      </c>
      <c r="E53" s="18">
        <v>633.58900000000006</v>
      </c>
      <c r="F53" s="17">
        <v>643.49800000000005</v>
      </c>
      <c r="G53" s="17">
        <v>641.80200000000002</v>
      </c>
      <c r="H53" s="35"/>
      <c r="I53" s="35"/>
      <c r="J53" s="35"/>
      <c r="K53" s="35"/>
    </row>
    <row r="54" spans="1:11" ht="10.7" customHeight="1">
      <c r="A54" s="122" t="s">
        <v>138</v>
      </c>
      <c r="B54" s="17">
        <v>618.9</v>
      </c>
      <c r="C54" s="17">
        <v>695.47</v>
      </c>
      <c r="D54" s="17">
        <v>629.78399999999999</v>
      </c>
      <c r="E54" s="18">
        <v>673.66</v>
      </c>
      <c r="F54" s="17">
        <v>723.25</v>
      </c>
      <c r="G54" s="17">
        <v>785.04</v>
      </c>
      <c r="H54" s="35"/>
      <c r="I54" s="35"/>
      <c r="J54" s="35"/>
      <c r="K54" s="35"/>
    </row>
    <row r="55" spans="1:11" ht="10.7" customHeight="1">
      <c r="A55" s="204" t="s">
        <v>139</v>
      </c>
      <c r="B55" s="17">
        <v>399.8</v>
      </c>
      <c r="C55" s="17">
        <v>393.76099999999997</v>
      </c>
      <c r="D55" s="17">
        <v>405.62099999999998</v>
      </c>
      <c r="E55" s="18">
        <v>429.25299999999999</v>
      </c>
      <c r="F55" s="17">
        <v>452.75</v>
      </c>
      <c r="G55" s="17">
        <v>475.94400000000002</v>
      </c>
      <c r="H55" s="35"/>
      <c r="I55" s="35"/>
      <c r="J55" s="35"/>
      <c r="K55" s="35"/>
    </row>
    <row r="56" spans="1:11" ht="10.7" customHeight="1">
      <c r="A56" s="122" t="s">
        <v>94</v>
      </c>
      <c r="B56" s="17">
        <v>924.00000000000011</v>
      </c>
      <c r="C56" s="17">
        <v>855.92399999999986</v>
      </c>
      <c r="D56" s="17">
        <v>872.73500000000001</v>
      </c>
      <c r="E56" s="18">
        <v>854.34399999999982</v>
      </c>
      <c r="F56" s="17">
        <v>903.12599999999998</v>
      </c>
      <c r="G56" s="17">
        <v>907.64199999999994</v>
      </c>
      <c r="H56" s="35"/>
      <c r="I56" s="35"/>
      <c r="J56" s="35"/>
      <c r="K56" s="35"/>
    </row>
    <row r="57" spans="1:11" ht="10.7" customHeight="1">
      <c r="A57" s="218"/>
      <c r="B57" s="47">
        <v>5564.9</v>
      </c>
      <c r="C57" s="219">
        <v>5383.4530000000004</v>
      </c>
      <c r="D57" s="219">
        <v>5564.9569999999994</v>
      </c>
      <c r="E57" s="48">
        <v>5635.74</v>
      </c>
      <c r="F57" s="47">
        <v>5873.527</v>
      </c>
      <c r="G57" s="47">
        <v>6031.8890000000001</v>
      </c>
      <c r="H57" s="35"/>
      <c r="I57" s="35"/>
      <c r="J57" s="35"/>
      <c r="K57" s="35"/>
    </row>
    <row r="58" spans="1:11" ht="10.7" customHeight="1">
      <c r="A58" s="206" t="s">
        <v>94</v>
      </c>
      <c r="B58" s="17"/>
      <c r="C58" s="22"/>
      <c r="D58" s="22"/>
      <c r="E58" s="18"/>
      <c r="F58" s="17"/>
      <c r="G58" s="17"/>
      <c r="H58" s="35"/>
      <c r="I58" s="35"/>
      <c r="J58" s="35"/>
      <c r="K58" s="35"/>
    </row>
    <row r="59" spans="1:11" ht="10.7" customHeight="1">
      <c r="A59" s="204" t="s">
        <v>140</v>
      </c>
      <c r="B59" s="17">
        <v>1123</v>
      </c>
      <c r="C59" s="17">
        <v>946.7</v>
      </c>
      <c r="D59" s="17">
        <v>1024.3179999999998</v>
      </c>
      <c r="E59" s="18">
        <v>1277.0360000000001</v>
      </c>
      <c r="F59" s="17">
        <v>1309.7559999999999</v>
      </c>
      <c r="G59" s="17">
        <v>1374.462</v>
      </c>
      <c r="H59" s="35"/>
      <c r="I59" s="35"/>
      <c r="J59" s="35"/>
      <c r="K59" s="35"/>
    </row>
    <row r="60" spans="1:11" ht="10.7" customHeight="1">
      <c r="A60" s="204" t="s">
        <v>141</v>
      </c>
      <c r="B60" s="17">
        <v>788.30000000000007</v>
      </c>
      <c r="C60" s="17">
        <v>783.69399999999996</v>
      </c>
      <c r="D60" s="17">
        <v>848.35699999999997</v>
      </c>
      <c r="E60" s="18">
        <v>821.10899999999992</v>
      </c>
      <c r="F60" s="17">
        <v>865.97800000000007</v>
      </c>
      <c r="G60" s="17">
        <v>881.9</v>
      </c>
      <c r="H60" s="35"/>
      <c r="I60" s="35"/>
      <c r="J60" s="35"/>
      <c r="K60" s="35"/>
    </row>
    <row r="61" spans="1:11" ht="10.7" customHeight="1">
      <c r="A61" s="204" t="s">
        <v>142</v>
      </c>
      <c r="B61" s="17">
        <v>860.2</v>
      </c>
      <c r="C61" s="17">
        <v>936.4</v>
      </c>
      <c r="D61" s="17">
        <v>946.23400000000026</v>
      </c>
      <c r="E61" s="18">
        <v>988.34300000000007</v>
      </c>
      <c r="F61" s="17">
        <v>1011.9030000000001</v>
      </c>
      <c r="G61" s="17">
        <v>1018.3759999999997</v>
      </c>
      <c r="H61" s="35"/>
      <c r="I61" s="35"/>
      <c r="J61" s="35"/>
      <c r="K61" s="35"/>
    </row>
    <row r="62" spans="1:11" ht="10.7" customHeight="1">
      <c r="A62" s="204" t="s">
        <v>143</v>
      </c>
      <c r="B62" s="17">
        <v>173.70000000000002</v>
      </c>
      <c r="C62" s="17">
        <v>203</v>
      </c>
      <c r="D62" s="17">
        <v>203</v>
      </c>
      <c r="E62" s="18">
        <v>185.8</v>
      </c>
      <c r="F62" s="17">
        <v>185.8</v>
      </c>
      <c r="G62" s="17">
        <v>185.8</v>
      </c>
      <c r="H62" s="35"/>
      <c r="I62" s="35"/>
      <c r="J62" s="35"/>
      <c r="K62" s="35"/>
    </row>
    <row r="63" spans="1:11" ht="10.7" customHeight="1">
      <c r="A63" s="204" t="s">
        <v>144</v>
      </c>
      <c r="B63" s="17">
        <v>431.4</v>
      </c>
      <c r="C63" s="17">
        <v>137.49099999999999</v>
      </c>
      <c r="D63" s="17">
        <v>145.916</v>
      </c>
      <c r="E63" s="18">
        <v>170.70599999999999</v>
      </c>
      <c r="F63" s="17">
        <v>173.72099999999998</v>
      </c>
      <c r="G63" s="17">
        <v>170.72099999999998</v>
      </c>
      <c r="H63" s="35"/>
      <c r="I63" s="35"/>
      <c r="J63" s="35"/>
      <c r="K63" s="35"/>
    </row>
    <row r="64" spans="1:11" ht="10.7" customHeight="1">
      <c r="A64" s="204" t="s">
        <v>145</v>
      </c>
      <c r="B64" s="17">
        <v>907</v>
      </c>
      <c r="C64" s="17">
        <v>539</v>
      </c>
      <c r="D64" s="17">
        <v>264.75000000000011</v>
      </c>
      <c r="E64" s="18">
        <v>409</v>
      </c>
      <c r="F64" s="17">
        <v>271</v>
      </c>
      <c r="G64" s="17">
        <v>313</v>
      </c>
      <c r="H64" s="35"/>
      <c r="I64" s="35"/>
      <c r="J64" s="35"/>
      <c r="K64" s="35"/>
    </row>
    <row r="65" spans="1:11" ht="10.7" customHeight="1">
      <c r="A65" s="204" t="s">
        <v>385</v>
      </c>
      <c r="B65" s="17">
        <v>695.59999999999991</v>
      </c>
      <c r="C65" s="17">
        <v>617.75099999999998</v>
      </c>
      <c r="D65" s="17">
        <v>525.45600000000002</v>
      </c>
      <c r="E65" s="18">
        <v>560.25900000000001</v>
      </c>
      <c r="F65" s="17">
        <v>534.75900000000001</v>
      </c>
      <c r="G65" s="17">
        <v>525.09799999999996</v>
      </c>
      <c r="H65" s="35"/>
      <c r="I65" s="35"/>
      <c r="J65" s="35"/>
      <c r="K65" s="35"/>
    </row>
    <row r="66" spans="1:11" ht="10.7" customHeight="1">
      <c r="A66" s="218"/>
      <c r="B66" s="47">
        <v>4979.2000000000007</v>
      </c>
      <c r="C66" s="219">
        <v>4164.0360000000001</v>
      </c>
      <c r="D66" s="219">
        <v>3958.0309999999999</v>
      </c>
      <c r="E66" s="48">
        <v>4412.2529999999997</v>
      </c>
      <c r="F66" s="47">
        <v>4352.9170000000004</v>
      </c>
      <c r="G66" s="47">
        <v>4469.357</v>
      </c>
      <c r="H66" s="35"/>
      <c r="I66" s="35"/>
      <c r="J66" s="35"/>
      <c r="K66" s="35"/>
    </row>
    <row r="67" spans="1:11" ht="10.7" customHeight="1" thickBot="1">
      <c r="A67" s="29" t="s">
        <v>18</v>
      </c>
      <c r="B67" s="220">
        <v>74731.699999999983</v>
      </c>
      <c r="C67" s="220">
        <v>73536.987999999983</v>
      </c>
      <c r="D67" s="220">
        <v>80691.755999999994</v>
      </c>
      <c r="E67" s="221">
        <v>74137.896999999997</v>
      </c>
      <c r="F67" s="220">
        <v>77390.214000000007</v>
      </c>
      <c r="G67" s="220">
        <v>79969.441000000006</v>
      </c>
      <c r="H67" s="35"/>
      <c r="I67" s="35"/>
      <c r="J67" s="35"/>
      <c r="K67" s="35"/>
    </row>
  </sheetData>
  <mergeCells count="1">
    <mergeCell ref="C3:D3"/>
  </mergeCells>
  <pageMargins left="0.7" right="0.7" top="0.75" bottom="0.75" header="0.3" footer="0.3"/>
  <pageSetup scale="93" orientation="portrait" r:id="rId1"/>
  <headerFooter alignWithMargins="0">
    <oddFooter>&amp;L_x000D_&amp;1#&amp;"Calibri"&amp;11&amp;K000000 Classification: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FFC000"/>
  </sheetPr>
  <dimension ref="A1:G65"/>
  <sheetViews>
    <sheetView showGridLines="0" zoomScale="120" zoomScaleNormal="120" zoomScaleSheetLayoutView="98" workbookViewId="0">
      <selection activeCell="I14" sqref="I14"/>
    </sheetView>
  </sheetViews>
  <sheetFormatPr defaultColWidth="9" defaultRowHeight="11.25"/>
  <cols>
    <col min="1" max="1" width="52.5703125" style="222" customWidth="1"/>
    <col min="2" max="2" width="8" style="82" customWidth="1"/>
    <col min="3" max="7" width="8" style="222" customWidth="1"/>
    <col min="8" max="16384" width="9" style="222"/>
  </cols>
  <sheetData>
    <row r="1" spans="1:7" ht="15.75">
      <c r="A1" s="248" t="s">
        <v>159</v>
      </c>
    </row>
    <row r="2" spans="1:7" ht="12">
      <c r="A2" s="249" t="s">
        <v>1</v>
      </c>
      <c r="F2"/>
      <c r="G2"/>
    </row>
    <row r="3" spans="1:7" ht="4.5" customHeight="1">
      <c r="A3" s="249"/>
      <c r="F3"/>
      <c r="G3"/>
    </row>
    <row r="4" spans="1:7"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</row>
    <row r="5" spans="1:7" s="250" customFormat="1" ht="12" customHeight="1">
      <c r="A5" s="9"/>
      <c r="B5" s="562" t="s">
        <v>7</v>
      </c>
      <c r="C5" s="562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</row>
    <row r="6" spans="1:7" ht="3.75" customHeight="1">
      <c r="A6" s="251"/>
      <c r="B6" s="209"/>
      <c r="C6" s="77"/>
      <c r="D6" s="77"/>
      <c r="E6" s="252"/>
      <c r="F6"/>
      <c r="G6"/>
    </row>
    <row r="7" spans="1:7" s="254" customFormat="1" ht="12.75" customHeight="1">
      <c r="A7" s="255" t="s">
        <v>95</v>
      </c>
      <c r="B7" s="209">
        <v>6232.9560000000001</v>
      </c>
      <c r="C7" s="89">
        <v>6304.9319999999998</v>
      </c>
      <c r="D7" s="89">
        <v>6628.2529999999997</v>
      </c>
      <c r="E7" s="151">
        <v>6635.1980000000003</v>
      </c>
      <c r="F7" s="209">
        <v>6628.9120000000003</v>
      </c>
      <c r="G7" s="89">
        <v>6628.9120000000003</v>
      </c>
    </row>
    <row r="8" spans="1:7" s="254" customFormat="1" ht="12.75" customHeight="1">
      <c r="A8" s="255" t="s">
        <v>327</v>
      </c>
      <c r="B8" s="209">
        <v>118.64100000000001</v>
      </c>
      <c r="C8" s="89">
        <v>84.132000000000005</v>
      </c>
      <c r="D8" s="89">
        <v>123.849</v>
      </c>
      <c r="E8" s="151">
        <v>160.23700000000002</v>
      </c>
      <c r="F8" s="209">
        <v>160.81</v>
      </c>
      <c r="G8" s="89">
        <v>158.351</v>
      </c>
    </row>
    <row r="9" spans="1:7" s="254" customFormat="1" ht="12.75" customHeight="1">
      <c r="A9" s="255" t="s">
        <v>328</v>
      </c>
      <c r="B9" s="209">
        <v>742.92700000000002</v>
      </c>
      <c r="C9" s="89">
        <v>869.65200000000004</v>
      </c>
      <c r="D9" s="89">
        <v>829.60600000000011</v>
      </c>
      <c r="E9" s="151">
        <v>859.58199999999999</v>
      </c>
      <c r="F9" s="209">
        <v>851.24400000000003</v>
      </c>
      <c r="G9" s="89">
        <v>841.80000000000007</v>
      </c>
    </row>
    <row r="10" spans="1:7" s="254" customFormat="1" ht="12.75" customHeight="1">
      <c r="A10" s="255" t="s">
        <v>379</v>
      </c>
      <c r="B10" s="209">
        <v>131.61000000000001</v>
      </c>
      <c r="C10" s="89">
        <v>156.512</v>
      </c>
      <c r="D10" s="89">
        <v>146.149</v>
      </c>
      <c r="E10" s="151">
        <v>157.09699999999998</v>
      </c>
      <c r="F10" s="209">
        <v>162.43199999999999</v>
      </c>
      <c r="G10" s="89">
        <v>151.244</v>
      </c>
    </row>
    <row r="11" spans="1:7" s="254" customFormat="1" ht="12.75" customHeight="1">
      <c r="A11" s="255" t="s">
        <v>371</v>
      </c>
      <c r="B11" s="209">
        <v>1602.808</v>
      </c>
      <c r="C11" s="89">
        <v>1497.5</v>
      </c>
      <c r="D11" s="89">
        <v>1503.45</v>
      </c>
      <c r="E11" s="151">
        <v>1595.0329999999999</v>
      </c>
      <c r="F11" s="209">
        <v>1645.355</v>
      </c>
      <c r="G11" s="89">
        <v>1649.768</v>
      </c>
    </row>
    <row r="12" spans="1:7" s="254" customFormat="1" ht="12.75" customHeight="1">
      <c r="A12" s="255" t="s">
        <v>96</v>
      </c>
      <c r="B12" s="209">
        <v>8877.6419999999998</v>
      </c>
      <c r="C12" s="89">
        <v>9251.9920000000002</v>
      </c>
      <c r="D12" s="89">
        <v>9456.6920000000009</v>
      </c>
      <c r="E12" s="151">
        <v>9882.6190000000006</v>
      </c>
      <c r="F12" s="209">
        <v>10285.280000000001</v>
      </c>
      <c r="G12" s="89">
        <v>10707.53</v>
      </c>
    </row>
    <row r="13" spans="1:7" s="254" customFormat="1" ht="12.75" customHeight="1">
      <c r="A13" s="255" t="s">
        <v>372</v>
      </c>
      <c r="B13" s="209">
        <v>822.24300000000005</v>
      </c>
      <c r="C13" s="89">
        <v>816.33299999999997</v>
      </c>
      <c r="D13" s="89">
        <v>880</v>
      </c>
      <c r="E13" s="151">
        <v>892.25500000000011</v>
      </c>
      <c r="F13" s="209">
        <v>917.60100000000011</v>
      </c>
      <c r="G13" s="89">
        <v>933.08500000000004</v>
      </c>
    </row>
    <row r="14" spans="1:7" s="254" customFormat="1" ht="12.75" customHeight="1">
      <c r="A14" s="255" t="s">
        <v>330</v>
      </c>
      <c r="B14" s="209">
        <v>377.411</v>
      </c>
      <c r="C14" s="89">
        <v>511.93200000000002</v>
      </c>
      <c r="D14" s="89">
        <v>407.91399999999993</v>
      </c>
      <c r="E14" s="151">
        <v>514.404</v>
      </c>
      <c r="F14" s="209">
        <v>477.928</v>
      </c>
      <c r="G14" s="89">
        <v>491.85199999999998</v>
      </c>
    </row>
    <row r="15" spans="1:7" s="254" customFormat="1" ht="12.75" customHeight="1">
      <c r="A15" s="255" t="s">
        <v>97</v>
      </c>
      <c r="B15" s="209">
        <v>47.481000000000002</v>
      </c>
      <c r="C15" s="89">
        <v>62.78</v>
      </c>
      <c r="D15" s="89">
        <v>62.465000000000003</v>
      </c>
      <c r="E15" s="151">
        <v>67.381999999999991</v>
      </c>
      <c r="F15" s="209">
        <v>67.382000000000005</v>
      </c>
      <c r="G15" s="89">
        <v>67.382000000000005</v>
      </c>
    </row>
    <row r="16" spans="1:7" s="254" customFormat="1" ht="12.75" customHeight="1">
      <c r="A16" s="255" t="s">
        <v>373</v>
      </c>
      <c r="B16" s="209">
        <v>284.60199999999998</v>
      </c>
      <c r="C16" s="89">
        <v>351.13900000000001</v>
      </c>
      <c r="D16" s="89">
        <v>358.02199999999999</v>
      </c>
      <c r="E16" s="151">
        <v>362.25999999999993</v>
      </c>
      <c r="F16" s="209">
        <v>360.04999999999995</v>
      </c>
      <c r="G16" s="89">
        <v>348.67099999999994</v>
      </c>
    </row>
    <row r="17" spans="1:7" s="254" customFormat="1" ht="12.75" customHeight="1">
      <c r="A17" s="255" t="s">
        <v>98</v>
      </c>
      <c r="B17" s="209">
        <v>20342.526000000002</v>
      </c>
      <c r="C17" s="89">
        <v>20984.821</v>
      </c>
      <c r="D17" s="89">
        <v>21974.085999999999</v>
      </c>
      <c r="E17" s="151">
        <v>22095.732</v>
      </c>
      <c r="F17" s="209">
        <v>22537.672999999999</v>
      </c>
      <c r="G17" s="89">
        <v>23711.713</v>
      </c>
    </row>
    <row r="18" spans="1:7" ht="12.75" customHeight="1">
      <c r="A18" s="255" t="s">
        <v>374</v>
      </c>
      <c r="B18" s="209">
        <v>39.347000000000001</v>
      </c>
      <c r="C18" s="89">
        <v>41.823</v>
      </c>
      <c r="D18" s="89">
        <v>40.420999999999999</v>
      </c>
      <c r="E18" s="151">
        <v>41.823</v>
      </c>
      <c r="F18" s="209">
        <v>41.823</v>
      </c>
      <c r="G18" s="89">
        <v>41.823</v>
      </c>
    </row>
    <row r="19" spans="1:7" s="254" customFormat="1" ht="12.75" customHeight="1">
      <c r="A19" s="255" t="s">
        <v>99</v>
      </c>
      <c r="B19" s="209">
        <v>213.64</v>
      </c>
      <c r="C19" s="89">
        <v>210.25700000000001</v>
      </c>
      <c r="D19" s="89">
        <v>219.76399999999998</v>
      </c>
      <c r="E19" s="151">
        <v>228.011</v>
      </c>
      <c r="F19" s="209">
        <v>227.36199999999997</v>
      </c>
      <c r="G19" s="89">
        <v>228.08699999999999</v>
      </c>
    </row>
    <row r="20" spans="1:7" s="254" customFormat="1" ht="12.75" customHeight="1">
      <c r="A20" s="255" t="s">
        <v>100</v>
      </c>
      <c r="B20" s="209">
        <v>462.16699999999997</v>
      </c>
      <c r="C20" s="89">
        <v>488.11500000000001</v>
      </c>
      <c r="D20" s="89">
        <v>485.11500000000001</v>
      </c>
      <c r="E20" s="151">
        <v>491.08499999999998</v>
      </c>
      <c r="F20" s="209">
        <v>500.85900000000004</v>
      </c>
      <c r="G20" s="89">
        <v>479.49400000000003</v>
      </c>
    </row>
    <row r="21" spans="1:7" s="254" customFormat="1" ht="12.75" customHeight="1">
      <c r="A21" s="255" t="s">
        <v>375</v>
      </c>
      <c r="B21" s="209">
        <v>1557.162</v>
      </c>
      <c r="C21" s="89">
        <v>1849.9469999999999</v>
      </c>
      <c r="D21" s="89">
        <v>1936.578</v>
      </c>
      <c r="E21" s="151">
        <v>2304.5879999999997</v>
      </c>
      <c r="F21" s="209">
        <v>1764.7739999999999</v>
      </c>
      <c r="G21" s="89">
        <v>1770.8829999999998</v>
      </c>
    </row>
    <row r="22" spans="1:7" s="254" customFormat="1" ht="12.75" customHeight="1">
      <c r="A22" s="255" t="s">
        <v>331</v>
      </c>
      <c r="B22" s="209">
        <v>658.14499999999998</v>
      </c>
      <c r="C22" s="89">
        <v>686.88300000000004</v>
      </c>
      <c r="D22" s="89">
        <v>689.78300000000002</v>
      </c>
      <c r="E22" s="151">
        <v>700.07700000000011</v>
      </c>
      <c r="F22" s="209">
        <v>708.92800000000011</v>
      </c>
      <c r="G22" s="89">
        <v>704.36800000000005</v>
      </c>
    </row>
    <row r="23" spans="1:7" s="254" customFormat="1" ht="12.75" customHeight="1">
      <c r="A23" s="255" t="s">
        <v>332</v>
      </c>
      <c r="B23" s="91">
        <v>1547.8330000000001</v>
      </c>
      <c r="C23" s="91">
        <v>1548.249</v>
      </c>
      <c r="D23" s="89">
        <v>1598.5650000000001</v>
      </c>
      <c r="E23" s="151">
        <v>1662.5350000000001</v>
      </c>
      <c r="F23" s="209">
        <v>1770.3579999999999</v>
      </c>
      <c r="G23" s="89">
        <v>1742.3320000000001</v>
      </c>
    </row>
    <row r="24" spans="1:7" s="254" customFormat="1" ht="12.75" customHeight="1">
      <c r="A24" s="255" t="s">
        <v>101</v>
      </c>
      <c r="B24" s="209">
        <v>219.67599999999999</v>
      </c>
      <c r="C24" s="89">
        <v>234.572</v>
      </c>
      <c r="D24" s="89">
        <v>233.27500000000001</v>
      </c>
      <c r="E24" s="151">
        <v>258.322</v>
      </c>
      <c r="F24" s="209">
        <v>275.32600000000002</v>
      </c>
      <c r="G24" s="89">
        <v>280.27299999999997</v>
      </c>
    </row>
    <row r="25" spans="1:7" s="254" customFormat="1" ht="12.75" customHeight="1">
      <c r="A25" s="255" t="s">
        <v>333</v>
      </c>
      <c r="B25" s="209">
        <v>1204.7829999999999</v>
      </c>
      <c r="C25" s="89">
        <v>1248.9449999999999</v>
      </c>
      <c r="D25" s="89">
        <v>1265.3209999999999</v>
      </c>
      <c r="E25" s="151">
        <v>1311.7069999999999</v>
      </c>
      <c r="F25" s="209">
        <v>1332.954</v>
      </c>
      <c r="G25" s="89">
        <v>1333.8870000000002</v>
      </c>
    </row>
    <row r="26" spans="1:7" s="254" customFormat="1" ht="12.75" customHeight="1">
      <c r="A26" s="255" t="s">
        <v>329</v>
      </c>
      <c r="B26" s="209">
        <v>8708.8760000000002</v>
      </c>
      <c r="C26" s="89">
        <v>9074.1119999999992</v>
      </c>
      <c r="D26" s="89">
        <v>9323.83</v>
      </c>
      <c r="E26" s="151">
        <v>10015.89</v>
      </c>
      <c r="F26" s="209">
        <v>9984.44</v>
      </c>
      <c r="G26" s="89">
        <v>10055.67</v>
      </c>
    </row>
    <row r="27" spans="1:7" s="254" customFormat="1" ht="12.75" customHeight="1">
      <c r="A27" s="255" t="s">
        <v>334</v>
      </c>
      <c r="B27" s="209">
        <v>159.33099999999999</v>
      </c>
      <c r="C27" s="89">
        <v>179.65</v>
      </c>
      <c r="D27" s="89">
        <v>184.60000000000002</v>
      </c>
      <c r="E27" s="151">
        <v>179.65</v>
      </c>
      <c r="F27" s="209">
        <v>179.65000000000003</v>
      </c>
      <c r="G27" s="89">
        <v>179.65</v>
      </c>
    </row>
    <row r="28" spans="1:7" s="254" customFormat="1" ht="12.75" customHeight="1">
      <c r="A28" s="255" t="s">
        <v>335</v>
      </c>
      <c r="B28" s="209">
        <v>723.05399999999997</v>
      </c>
      <c r="C28" s="89">
        <v>759.33100000000002</v>
      </c>
      <c r="D28" s="89">
        <v>792.33100000000002</v>
      </c>
      <c r="E28" s="151">
        <v>833.78800000000001</v>
      </c>
      <c r="F28" s="209">
        <v>842.87199999999996</v>
      </c>
      <c r="G28" s="89">
        <v>844.98400000000004</v>
      </c>
    </row>
    <row r="29" spans="1:7" s="254" customFormat="1" ht="12.75" customHeight="1">
      <c r="A29" s="255" t="s">
        <v>376</v>
      </c>
      <c r="B29" s="209">
        <v>111.919</v>
      </c>
      <c r="C29" s="89">
        <v>125.566</v>
      </c>
      <c r="D29" s="89">
        <v>125.566</v>
      </c>
      <c r="E29" s="151">
        <v>117.633</v>
      </c>
      <c r="F29" s="209">
        <v>114.82299999999999</v>
      </c>
      <c r="G29" s="89">
        <v>111.32299999999999</v>
      </c>
    </row>
    <row r="30" spans="1:7" s="254" customFormat="1" ht="12.75" customHeight="1">
      <c r="A30" s="255" t="s">
        <v>336</v>
      </c>
      <c r="B30" s="209">
        <v>557.27099999999996</v>
      </c>
      <c r="C30" s="89">
        <v>542.90800000000002</v>
      </c>
      <c r="D30" s="89">
        <v>551.85700000000008</v>
      </c>
      <c r="E30" s="151">
        <v>579.86699999999996</v>
      </c>
      <c r="F30" s="209">
        <v>566.95000000000005</v>
      </c>
      <c r="G30" s="89">
        <v>565.84999999999991</v>
      </c>
    </row>
    <row r="31" spans="1:7" s="254" customFormat="1" ht="12.75" customHeight="1">
      <c r="A31" s="255" t="s">
        <v>103</v>
      </c>
      <c r="B31" s="209">
        <v>2236.9850000000001</v>
      </c>
      <c r="C31" s="89">
        <v>2085.7049999999999</v>
      </c>
      <c r="D31" s="89">
        <v>2134.7950000000001</v>
      </c>
      <c r="E31" s="151">
        <v>2202.3320000000003</v>
      </c>
      <c r="F31" s="209">
        <v>2242.4780000000001</v>
      </c>
      <c r="G31" s="89">
        <v>2248.9440000000004</v>
      </c>
    </row>
    <row r="32" spans="1:7" s="254" customFormat="1" ht="12.75" customHeight="1">
      <c r="A32" s="255" t="s">
        <v>104</v>
      </c>
      <c r="B32" s="209">
        <v>160</v>
      </c>
      <c r="C32" s="89">
        <v>155.952</v>
      </c>
      <c r="D32" s="89">
        <v>145.79400000000001</v>
      </c>
      <c r="E32" s="151">
        <v>161.44200000000001</v>
      </c>
      <c r="F32" s="209">
        <v>182.584</v>
      </c>
      <c r="G32" s="89">
        <v>185.792</v>
      </c>
    </row>
    <row r="33" spans="1:7" s="254" customFormat="1" ht="12.75" customHeight="1" thickBot="1">
      <c r="A33" s="257" t="s">
        <v>160</v>
      </c>
      <c r="B33" s="170">
        <v>58143.035999999993</v>
      </c>
      <c r="C33" s="170">
        <v>60123.74</v>
      </c>
      <c r="D33" s="170">
        <v>62098.08100000002</v>
      </c>
      <c r="E33" s="171">
        <v>64310.548999999999</v>
      </c>
      <c r="F33" s="170">
        <v>64830.847999999998</v>
      </c>
      <c r="G33" s="170">
        <v>66463.668000000005</v>
      </c>
    </row>
    <row r="34" spans="1:7" s="254" customFormat="1" ht="12.75" customHeight="1"/>
    <row r="35" spans="1:7" s="254" customFormat="1" ht="14.25" customHeight="1">
      <c r="A35" s="222"/>
      <c r="B35" s="35"/>
      <c r="C35"/>
      <c r="D35"/>
      <c r="E35" s="38"/>
      <c r="F35" s="38"/>
      <c r="G35" s="38"/>
    </row>
    <row r="36" spans="1:7" ht="12">
      <c r="B36" s="35"/>
      <c r="C36"/>
      <c r="D36"/>
    </row>
    <row r="37" spans="1:7" ht="12">
      <c r="B37" s="35"/>
      <c r="C37"/>
      <c r="D37" s="39"/>
      <c r="E37" s="39"/>
      <c r="F37" s="39"/>
      <c r="G37" s="39"/>
    </row>
    <row r="38" spans="1:7" ht="12">
      <c r="A38"/>
      <c r="B38" s="35"/>
      <c r="C38"/>
      <c r="D38" s="39"/>
      <c r="E38" s="39"/>
      <c r="F38" s="39"/>
      <c r="G38" s="39"/>
    </row>
    <row r="39" spans="1:7" ht="12">
      <c r="A39"/>
      <c r="B39" s="35"/>
      <c r="C39"/>
      <c r="D39" s="39"/>
      <c r="E39" s="39"/>
      <c r="F39" s="39"/>
      <c r="G39" s="39"/>
    </row>
    <row r="40" spans="1:7" ht="12">
      <c r="A40"/>
      <c r="B40" s="35"/>
      <c r="C40"/>
      <c r="D40" s="39"/>
      <c r="E40" s="258"/>
      <c r="F40" s="258"/>
      <c r="G40" s="39"/>
    </row>
    <row r="41" spans="1:7" ht="12">
      <c r="A41"/>
      <c r="B41" s="35"/>
      <c r="C41"/>
      <c r="D41"/>
      <c r="E41"/>
      <c r="F41"/>
      <c r="G41"/>
    </row>
    <row r="42" spans="1:7" ht="12">
      <c r="A42"/>
      <c r="B42" s="35"/>
      <c r="C42"/>
      <c r="D42"/>
      <c r="E42"/>
      <c r="F42"/>
      <c r="G42"/>
    </row>
    <row r="43" spans="1:7" ht="12">
      <c r="A43"/>
      <c r="B43" s="35"/>
      <c r="C43"/>
      <c r="D43"/>
      <c r="E43"/>
      <c r="F43"/>
      <c r="G43"/>
    </row>
    <row r="44" spans="1:7" ht="12">
      <c r="B44" s="35"/>
    </row>
    <row r="45" spans="1:7" ht="12">
      <c r="B45" s="35"/>
    </row>
    <row r="46" spans="1:7" ht="12">
      <c r="B46" s="35"/>
    </row>
    <row r="47" spans="1:7" ht="12">
      <c r="B47" s="35"/>
    </row>
    <row r="48" spans="1:7" ht="12">
      <c r="B48" s="35"/>
    </row>
    <row r="49" spans="2:2" ht="12">
      <c r="B49" s="35"/>
    </row>
    <row r="50" spans="2:2" ht="12">
      <c r="B50" s="35"/>
    </row>
    <row r="51" spans="2:2" ht="12">
      <c r="B51" s="35"/>
    </row>
    <row r="52" spans="2:2" ht="12">
      <c r="B52" s="35"/>
    </row>
    <row r="53" spans="2:2" ht="12">
      <c r="B53" s="35"/>
    </row>
    <row r="54" spans="2:2" ht="12">
      <c r="B54" s="35"/>
    </row>
    <row r="55" spans="2:2" ht="12">
      <c r="B55" s="35"/>
    </row>
    <row r="56" spans="2:2" ht="12">
      <c r="B56" s="35"/>
    </row>
    <row r="57" spans="2:2" ht="12">
      <c r="B57" s="35"/>
    </row>
    <row r="58" spans="2:2" ht="12">
      <c r="B58" s="35"/>
    </row>
    <row r="59" spans="2:2" ht="12">
      <c r="B59" s="35"/>
    </row>
    <row r="60" spans="2:2" ht="12">
      <c r="B60" s="35"/>
    </row>
    <row r="61" spans="2:2" ht="12">
      <c r="B61" s="35"/>
    </row>
    <row r="62" spans="2:2" ht="12">
      <c r="B62" s="35"/>
    </row>
    <row r="63" spans="2:2" ht="12">
      <c r="B63" s="35"/>
    </row>
    <row r="64" spans="2:2" ht="12">
      <c r="B64" s="35"/>
    </row>
    <row r="65" spans="2:2" ht="12">
      <c r="B65" s="35"/>
    </row>
  </sheetData>
  <mergeCells count="1">
    <mergeCell ref="C4:D4"/>
  </mergeCells>
  <pageMargins left="0.7" right="0.7" top="0.75" bottom="0.75" header="0.3" footer="0.3"/>
  <pageSetup scale="84" orientation="portrait" r:id="rId1"/>
  <headerFooter alignWithMargins="0">
    <oddFooter>&amp;L_x000D_&amp;1#&amp;"Calibri"&amp;11&amp;K000000 Classification: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FFC000"/>
  </sheetPr>
  <dimension ref="A1:G31"/>
  <sheetViews>
    <sheetView showGridLines="0" zoomScaleNormal="100" zoomScaleSheetLayoutView="96" zoomScalePageLayoutView="87" workbookViewId="0">
      <selection activeCell="L11" sqref="L11"/>
    </sheetView>
  </sheetViews>
  <sheetFormatPr defaultColWidth="9" defaultRowHeight="12"/>
  <cols>
    <col min="1" max="1" width="52.5703125" style="39" customWidth="1"/>
    <col min="2" max="2" width="8" style="38" customWidth="1"/>
    <col min="3" max="3" width="8" style="39" customWidth="1"/>
    <col min="4" max="5" width="8" customWidth="1"/>
    <col min="6" max="6" width="8.85546875" customWidth="1"/>
    <col min="7" max="7" width="8" customWidth="1"/>
    <col min="8" max="16384" width="9" style="39"/>
  </cols>
  <sheetData>
    <row r="1" spans="1:7" ht="15.75">
      <c r="A1" s="1" t="s">
        <v>161</v>
      </c>
    </row>
    <row r="2" spans="1:7">
      <c r="A2" s="40" t="s">
        <v>1</v>
      </c>
    </row>
    <row r="3" spans="1:7">
      <c r="B3" s="82"/>
      <c r="C3" s="222"/>
    </row>
    <row r="4" spans="1:7" s="223" customFormat="1" ht="12.75" customHeight="1">
      <c r="A4" s="6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</row>
    <row r="5" spans="1:7" s="269" customFormat="1" ht="12" customHeight="1">
      <c r="A5" s="9"/>
      <c r="B5" s="562" t="s">
        <v>7</v>
      </c>
      <c r="C5" s="570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</row>
    <row r="6" spans="1:7" s="164" customFormat="1" ht="8.25" customHeight="1">
      <c r="A6" s="251"/>
      <c r="B6" s="163"/>
      <c r="C6" s="270"/>
      <c r="D6"/>
      <c r="E6" s="50"/>
    </row>
    <row r="7" spans="1:7" s="164" customFormat="1" ht="11.25" customHeight="1">
      <c r="A7" s="255" t="s">
        <v>95</v>
      </c>
      <c r="B7" s="44">
        <v>525.84100000000001</v>
      </c>
      <c r="C7" s="270">
        <v>547.80399999999997</v>
      </c>
      <c r="D7" s="49">
        <v>539.23399999999992</v>
      </c>
      <c r="E7" s="50">
        <v>573.21699999999998</v>
      </c>
      <c r="F7" s="49">
        <v>579.17399999999998</v>
      </c>
      <c r="G7" s="49">
        <v>579.17399999999998</v>
      </c>
    </row>
    <row r="8" spans="1:7" s="164" customFormat="1" ht="11.25" customHeight="1">
      <c r="A8" s="255" t="s">
        <v>327</v>
      </c>
      <c r="B8" s="44">
        <v>1.39</v>
      </c>
      <c r="C8" s="270">
        <v>1.6080000000000001</v>
      </c>
      <c r="D8" s="49">
        <v>1.6080000000000001</v>
      </c>
      <c r="E8" s="50">
        <v>1.6080000000000001</v>
      </c>
      <c r="F8" s="49">
        <v>1.6080000000000001</v>
      </c>
      <c r="G8" s="49">
        <v>1.6080000000000001</v>
      </c>
    </row>
    <row r="9" spans="1:7" s="164" customFormat="1" ht="11.25" customHeight="1">
      <c r="A9" s="255" t="s">
        <v>328</v>
      </c>
      <c r="B9" s="44">
        <v>30.064</v>
      </c>
      <c r="C9" s="270">
        <v>36.51</v>
      </c>
      <c r="D9" s="49">
        <v>37.287999999999997</v>
      </c>
      <c r="E9" s="50">
        <v>39.559000000000019</v>
      </c>
      <c r="F9" s="49">
        <v>43.016000000000012</v>
      </c>
      <c r="G9" s="49">
        <v>45.432000000000009</v>
      </c>
    </row>
    <row r="10" spans="1:7" s="164" customFormat="1" ht="11.25" customHeight="1">
      <c r="A10" s="255" t="s">
        <v>379</v>
      </c>
      <c r="B10" s="44">
        <v>7.3440000000000003</v>
      </c>
      <c r="C10" s="270">
        <v>7.2640000000000002</v>
      </c>
      <c r="D10" s="49">
        <v>7.2640000000000002</v>
      </c>
      <c r="E10" s="50">
        <v>6.9639999999999995</v>
      </c>
      <c r="F10" s="49">
        <v>6.9640000000000004</v>
      </c>
      <c r="G10" s="49">
        <v>6.9640000000000004</v>
      </c>
    </row>
    <row r="11" spans="1:7" s="164" customFormat="1" ht="11.25" customHeight="1">
      <c r="A11" s="255" t="s">
        <v>96</v>
      </c>
      <c r="B11" s="44">
        <v>474.774</v>
      </c>
      <c r="C11" s="270">
        <v>480.89499999999998</v>
      </c>
      <c r="D11" s="49">
        <v>505.58499999999998</v>
      </c>
      <c r="E11" s="50">
        <v>504.39100000000002</v>
      </c>
      <c r="F11" s="49">
        <v>504.44499999999999</v>
      </c>
      <c r="G11" s="49">
        <v>504.27499999999998</v>
      </c>
    </row>
    <row r="12" spans="1:7" s="271" customFormat="1" ht="11.25" customHeight="1">
      <c r="A12" s="255" t="s">
        <v>372</v>
      </c>
      <c r="B12" s="44">
        <v>12.962</v>
      </c>
      <c r="C12" s="270">
        <v>12.5</v>
      </c>
      <c r="D12" s="49">
        <v>12.5</v>
      </c>
      <c r="E12" s="50">
        <v>12.5</v>
      </c>
      <c r="F12" s="49">
        <v>12.5</v>
      </c>
      <c r="G12" s="49">
        <v>12.5</v>
      </c>
    </row>
    <row r="13" spans="1:7" s="164" customFormat="1" ht="11.25" customHeight="1">
      <c r="A13" s="255" t="s">
        <v>330</v>
      </c>
      <c r="B13" s="44">
        <v>3.8530000000000002</v>
      </c>
      <c r="C13" s="270">
        <v>4.1740000000000004</v>
      </c>
      <c r="D13" s="49">
        <v>4.1740000000000004</v>
      </c>
      <c r="E13" s="50">
        <v>4.4639999999999995</v>
      </c>
      <c r="F13" s="49">
        <v>4.617</v>
      </c>
      <c r="G13" s="49">
        <v>4.8340000000000005</v>
      </c>
    </row>
    <row r="14" spans="1:7" s="164" customFormat="1" ht="11.25" customHeight="1">
      <c r="A14" s="255" t="s">
        <v>373</v>
      </c>
      <c r="B14" s="44">
        <v>28.059000000000001</v>
      </c>
      <c r="C14" s="270">
        <v>45.933</v>
      </c>
      <c r="D14" s="49">
        <v>45.933</v>
      </c>
      <c r="E14" s="50">
        <v>39.066000000000003</v>
      </c>
      <c r="F14" s="49">
        <v>43.066000000000003</v>
      </c>
      <c r="G14" s="49">
        <v>44.066000000000003</v>
      </c>
    </row>
    <row r="15" spans="1:7" s="164" customFormat="1" ht="11.25" customHeight="1">
      <c r="A15" s="255" t="s">
        <v>98</v>
      </c>
      <c r="B15" s="44">
        <v>310.68099999999998</v>
      </c>
      <c r="C15" s="270">
        <v>328.428</v>
      </c>
      <c r="D15" s="49">
        <v>312.62400000000002</v>
      </c>
      <c r="E15" s="50">
        <v>333.02</v>
      </c>
      <c r="F15" s="49">
        <v>342.30599999999998</v>
      </c>
      <c r="G15" s="49">
        <v>345.80599999999998</v>
      </c>
    </row>
    <row r="16" spans="1:7" s="164" customFormat="1" ht="11.25" customHeight="1">
      <c r="A16" s="255" t="s">
        <v>100</v>
      </c>
      <c r="B16" s="44">
        <v>383.48900000000003</v>
      </c>
      <c r="C16" s="270">
        <v>394.9</v>
      </c>
      <c r="D16" s="49">
        <v>409.90300000000002</v>
      </c>
      <c r="E16" s="50">
        <v>424.90300000000002</v>
      </c>
      <c r="F16" s="49">
        <v>434.90300000000002</v>
      </c>
      <c r="G16" s="49">
        <v>418.90300000000002</v>
      </c>
    </row>
    <row r="17" spans="1:7" s="164" customFormat="1" ht="11.25" customHeight="1">
      <c r="A17" s="255" t="s">
        <v>375</v>
      </c>
      <c r="B17" s="44">
        <v>0.77900000000000003</v>
      </c>
      <c r="C17" s="270">
        <v>2.1259999999999999</v>
      </c>
      <c r="D17" s="49">
        <v>2.1259999999999999</v>
      </c>
      <c r="E17" s="50">
        <v>2.1260000000000003</v>
      </c>
      <c r="F17" s="49">
        <v>2.1260000000000003</v>
      </c>
      <c r="G17" s="49">
        <v>2.1260000000000003</v>
      </c>
    </row>
    <row r="18" spans="1:7" s="271" customFormat="1" ht="11.25" customHeight="1">
      <c r="A18" s="255" t="s">
        <v>331</v>
      </c>
      <c r="B18" s="44">
        <v>0.98499999999999999</v>
      </c>
      <c r="C18" s="270">
        <v>3.835</v>
      </c>
      <c r="D18" s="49">
        <v>3.835</v>
      </c>
      <c r="E18" s="50">
        <v>6.835</v>
      </c>
      <c r="F18" s="49">
        <v>6.835</v>
      </c>
      <c r="G18" s="49">
        <v>6.835</v>
      </c>
    </row>
    <row r="19" spans="1:7" s="271" customFormat="1" ht="11.25" customHeight="1">
      <c r="A19" s="255" t="s">
        <v>101</v>
      </c>
      <c r="B19" s="44">
        <v>0.876</v>
      </c>
      <c r="C19" s="270">
        <v>3.585</v>
      </c>
      <c r="D19" s="38">
        <v>0</v>
      </c>
      <c r="E19" s="50">
        <v>0</v>
      </c>
      <c r="F19" s="49">
        <v>0.56999999999999984</v>
      </c>
      <c r="G19" s="49">
        <v>0.56999999999999973</v>
      </c>
    </row>
    <row r="20" spans="1:7" s="164" customFormat="1" ht="11.25" customHeight="1">
      <c r="A20" s="255" t="s">
        <v>333</v>
      </c>
      <c r="B20" s="44">
        <v>28.699000000000002</v>
      </c>
      <c r="C20" s="270">
        <v>29.219000000000001</v>
      </c>
      <c r="D20" s="49">
        <v>29.219000000000001</v>
      </c>
      <c r="E20" s="50">
        <v>29.224000000000004</v>
      </c>
      <c r="F20" s="49">
        <v>29.229000000000003</v>
      </c>
      <c r="G20" s="49">
        <v>29.234000000000002</v>
      </c>
    </row>
    <row r="21" spans="1:7" s="164" customFormat="1" ht="11.25" customHeight="1">
      <c r="A21" s="255" t="s">
        <v>329</v>
      </c>
      <c r="B21" s="44">
        <v>68.093000000000004</v>
      </c>
      <c r="C21" s="270">
        <v>68.930999999999997</v>
      </c>
      <c r="D21" s="49">
        <v>68.932999999999993</v>
      </c>
      <c r="E21" s="50">
        <v>69.783000000000001</v>
      </c>
      <c r="F21" s="49">
        <v>69.783000000000001</v>
      </c>
      <c r="G21" s="49">
        <v>69.783000000000001</v>
      </c>
    </row>
    <row r="22" spans="1:7" s="164" customFormat="1" ht="11.25" customHeight="1">
      <c r="A22" s="255" t="s">
        <v>334</v>
      </c>
      <c r="B22" s="44">
        <v>16.033999999999999</v>
      </c>
      <c r="C22" s="270">
        <v>18.100000000000001</v>
      </c>
      <c r="D22" s="49">
        <v>18.100000000000001</v>
      </c>
      <c r="E22" s="50">
        <v>18.100000000000001</v>
      </c>
      <c r="F22" s="49">
        <v>18.100000000000001</v>
      </c>
      <c r="G22" s="49">
        <v>18.100000000000001</v>
      </c>
    </row>
    <row r="23" spans="1:7" s="164" customFormat="1" ht="11.25" customHeight="1">
      <c r="A23" s="255" t="s">
        <v>335</v>
      </c>
      <c r="B23" s="44">
        <v>57.417000000000002</v>
      </c>
      <c r="C23" s="270">
        <v>80.153999999999996</v>
      </c>
      <c r="D23" s="49">
        <v>80.153999999999996</v>
      </c>
      <c r="E23" s="50">
        <v>70.13900000000001</v>
      </c>
      <c r="F23" s="49">
        <v>71.369</v>
      </c>
      <c r="G23" s="49">
        <v>71.674000000000007</v>
      </c>
    </row>
    <row r="24" spans="1:7" s="164" customFormat="1" ht="11.25" customHeight="1">
      <c r="A24" s="255" t="s">
        <v>336</v>
      </c>
      <c r="B24" s="44">
        <v>787.91499999999996</v>
      </c>
      <c r="C24" s="270">
        <v>852.851</v>
      </c>
      <c r="D24" s="49">
        <v>852.28300000000002</v>
      </c>
      <c r="E24" s="50">
        <v>884.22199999999998</v>
      </c>
      <c r="F24" s="49">
        <v>924.72199999999998</v>
      </c>
      <c r="G24" s="49">
        <v>953.22199999999998</v>
      </c>
    </row>
    <row r="25" spans="1:7" s="164" customFormat="1" ht="11.25" customHeight="1">
      <c r="A25" s="255" t="s">
        <v>103</v>
      </c>
      <c r="B25" s="44">
        <v>22.620999999999999</v>
      </c>
      <c r="C25" s="270">
        <v>22.158999999999999</v>
      </c>
      <c r="D25" s="49">
        <v>23.933</v>
      </c>
      <c r="E25" s="50">
        <v>24.254999999999999</v>
      </c>
      <c r="F25" s="49">
        <v>13.79</v>
      </c>
      <c r="G25" s="49">
        <v>15.56</v>
      </c>
    </row>
    <row r="26" spans="1:7" s="164" customFormat="1" ht="11.25" customHeight="1">
      <c r="A26" s="255" t="s">
        <v>104</v>
      </c>
      <c r="B26" s="44">
        <v>2</v>
      </c>
      <c r="C26" s="270">
        <v>2.0830000000000002</v>
      </c>
      <c r="D26" s="272">
        <v>2.0829999999999997</v>
      </c>
      <c r="E26" s="273">
        <v>2.532</v>
      </c>
      <c r="F26" s="272">
        <v>2.4889999999999999</v>
      </c>
      <c r="G26" s="272">
        <v>2.448</v>
      </c>
    </row>
    <row r="27" spans="1:7" s="164" customFormat="1" ht="15" customHeight="1" thickBot="1">
      <c r="A27" s="274" t="s">
        <v>162</v>
      </c>
      <c r="B27" s="275">
        <v>2763.8760000000002</v>
      </c>
      <c r="C27" s="276">
        <v>2943.0590000000007</v>
      </c>
      <c r="D27" s="275">
        <v>2957.7789999999995</v>
      </c>
      <c r="E27" s="607">
        <v>3047.9080000000004</v>
      </c>
      <c r="F27" s="275">
        <v>3111.8119999999994</v>
      </c>
      <c r="G27" s="275">
        <v>3133.3139999999994</v>
      </c>
    </row>
    <row r="28" spans="1:7" s="164" customFormat="1" ht="12" customHeight="1">
      <c r="B28" s="44"/>
      <c r="F28"/>
      <c r="G28"/>
    </row>
    <row r="31" spans="1:7">
      <c r="E31" s="605"/>
      <c r="F31" s="39"/>
    </row>
  </sheetData>
  <mergeCells count="1">
    <mergeCell ref="C4:D4"/>
  </mergeCells>
  <pageMargins left="0.7" right="0.7" top="0.75" bottom="0.75" header="0.3" footer="0.3"/>
  <pageSetup scale="99" orientation="portrait" r:id="rId1"/>
  <headerFooter alignWithMargins="0">
    <oddFooter>&amp;L_x000D_&amp;1#&amp;"Calibri"&amp;11&amp;K000000 Classification: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rgb="FFFFC000"/>
  </sheetPr>
  <dimension ref="A1:L30"/>
  <sheetViews>
    <sheetView showGridLines="0" zoomScaleNormal="100" zoomScaleSheetLayoutView="100" workbookViewId="0">
      <selection activeCell="L11" sqref="L11"/>
    </sheetView>
  </sheetViews>
  <sheetFormatPr defaultColWidth="8.5703125" defaultRowHeight="12"/>
  <cols>
    <col min="1" max="1" width="53.85546875" customWidth="1"/>
    <col min="2" max="4" width="8" customWidth="1"/>
    <col min="5" max="5" width="8" style="39" customWidth="1"/>
    <col min="6" max="7" width="8" customWidth="1"/>
  </cols>
  <sheetData>
    <row r="1" spans="1:8" ht="15.75">
      <c r="A1" s="1" t="s">
        <v>163</v>
      </c>
      <c r="B1" s="38"/>
      <c r="C1" s="39"/>
      <c r="D1" s="39"/>
      <c r="H1" s="222"/>
    </row>
    <row r="2" spans="1:8">
      <c r="A2" s="40" t="s">
        <v>1</v>
      </c>
      <c r="B2" s="38"/>
      <c r="C2" s="39"/>
      <c r="D2" s="39"/>
    </row>
    <row r="3" spans="1:8">
      <c r="A3" s="39"/>
      <c r="B3" s="82"/>
      <c r="C3" s="222"/>
      <c r="D3" s="222"/>
    </row>
    <row r="4" spans="1:8">
      <c r="A4" s="6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</row>
    <row r="5" spans="1:8">
      <c r="A5" s="9"/>
      <c r="B5" s="562" t="s">
        <v>7</v>
      </c>
      <c r="C5" s="562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</row>
    <row r="6" spans="1:8" ht="12.75" customHeight="1">
      <c r="A6" s="253" t="s">
        <v>95</v>
      </c>
      <c r="B6" s="38">
        <v>53.552999999999997</v>
      </c>
      <c r="C6" s="38">
        <v>196.381</v>
      </c>
      <c r="D6" s="38">
        <v>174.52799999999999</v>
      </c>
      <c r="E6" s="23">
        <v>202.90199999999999</v>
      </c>
      <c r="F6" s="38">
        <v>203.23099999999999</v>
      </c>
      <c r="G6" s="38">
        <v>203.23099999999999</v>
      </c>
    </row>
    <row r="7" spans="1:8" ht="12.75" customHeight="1">
      <c r="A7" s="253" t="s">
        <v>379</v>
      </c>
      <c r="B7" s="38">
        <v>0.68300000000000005</v>
      </c>
      <c r="C7" s="38">
        <v>1.0900000000000001</v>
      </c>
      <c r="D7" s="169">
        <v>0.81500000000000006</v>
      </c>
      <c r="E7" s="606">
        <v>1.0900000000000001</v>
      </c>
      <c r="F7" s="44">
        <v>1.0900000000000001</v>
      </c>
      <c r="G7" s="44">
        <v>1.0900000000000001</v>
      </c>
    </row>
    <row r="8" spans="1:8" ht="12.75" customHeight="1">
      <c r="A8" s="253" t="s">
        <v>96</v>
      </c>
      <c r="B8" s="38">
        <v>21.806999999999999</v>
      </c>
      <c r="C8" s="38">
        <v>0</v>
      </c>
      <c r="D8" s="169">
        <v>0</v>
      </c>
      <c r="E8" s="45">
        <v>0</v>
      </c>
      <c r="F8" s="44">
        <v>0</v>
      </c>
      <c r="G8" s="44">
        <v>0</v>
      </c>
    </row>
    <row r="9" spans="1:8" ht="12.75" customHeight="1">
      <c r="A9" s="253" t="s">
        <v>373</v>
      </c>
      <c r="B9" s="38">
        <v>0.996</v>
      </c>
      <c r="C9" s="38">
        <v>1.31</v>
      </c>
      <c r="D9" s="169">
        <v>1.31</v>
      </c>
      <c r="E9" s="45">
        <v>1.31</v>
      </c>
      <c r="F9" s="44">
        <v>1.31</v>
      </c>
      <c r="G9" s="44">
        <v>1.31</v>
      </c>
    </row>
    <row r="10" spans="1:8" ht="12.75" customHeight="1">
      <c r="A10" s="253" t="s">
        <v>98</v>
      </c>
      <c r="B10" s="278">
        <v>1431.1949999999999</v>
      </c>
      <c r="C10" s="89">
        <v>1289.056</v>
      </c>
      <c r="D10" s="89">
        <v>1407.828</v>
      </c>
      <c r="E10" s="151">
        <v>1607.8579999999999</v>
      </c>
      <c r="F10" s="278">
        <v>1677.056</v>
      </c>
      <c r="G10" s="278">
        <v>1666.21</v>
      </c>
    </row>
    <row r="11" spans="1:8" ht="12.75" customHeight="1">
      <c r="A11" s="253" t="s">
        <v>100</v>
      </c>
      <c r="B11" s="278">
        <v>0.873</v>
      </c>
      <c r="C11" s="89">
        <v>1.5</v>
      </c>
      <c r="D11" s="169">
        <v>1.5</v>
      </c>
      <c r="E11" s="45">
        <v>1.5</v>
      </c>
      <c r="F11" s="44">
        <v>1.5</v>
      </c>
      <c r="G11" s="44">
        <v>0</v>
      </c>
    </row>
    <row r="12" spans="1:8" ht="12.75" customHeight="1">
      <c r="A12" s="254" t="s">
        <v>332</v>
      </c>
      <c r="B12" s="322">
        <v>13.988</v>
      </c>
      <c r="C12" s="89">
        <v>16.404</v>
      </c>
      <c r="D12" s="169">
        <v>16.405999999999999</v>
      </c>
      <c r="E12" s="50">
        <v>17.332000000000001</v>
      </c>
      <c r="F12" s="49">
        <v>17.994</v>
      </c>
      <c r="G12" s="49">
        <v>18.484000000000002</v>
      </c>
    </row>
    <row r="13" spans="1:8" ht="12.75" customHeight="1">
      <c r="A13" s="253" t="s">
        <v>333</v>
      </c>
      <c r="B13" s="44">
        <v>0.77100000000000002</v>
      </c>
      <c r="C13" s="169">
        <v>1</v>
      </c>
      <c r="D13" s="169">
        <v>1</v>
      </c>
      <c r="E13" s="45">
        <v>1</v>
      </c>
      <c r="F13" s="44">
        <v>1</v>
      </c>
      <c r="G13" s="44">
        <v>1</v>
      </c>
    </row>
    <row r="14" spans="1:8" ht="12.75" customHeight="1">
      <c r="A14" s="255" t="s">
        <v>329</v>
      </c>
      <c r="B14" s="49">
        <v>36</v>
      </c>
      <c r="C14" s="169">
        <v>39</v>
      </c>
      <c r="D14" s="169">
        <v>39.003</v>
      </c>
      <c r="E14" s="50">
        <v>40.953000000000003</v>
      </c>
      <c r="F14" s="49">
        <v>40.953000000000003</v>
      </c>
      <c r="G14" s="49">
        <v>40.953000000000003</v>
      </c>
    </row>
    <row r="15" spans="1:8" ht="12.75" customHeight="1">
      <c r="A15" s="253" t="s">
        <v>334</v>
      </c>
      <c r="B15" s="44">
        <v>3.992</v>
      </c>
      <c r="C15" s="169">
        <v>5.5</v>
      </c>
      <c r="D15" s="169">
        <v>5.5</v>
      </c>
      <c r="E15" s="45">
        <v>5.5</v>
      </c>
      <c r="F15" s="44">
        <v>5.5</v>
      </c>
      <c r="G15" s="44">
        <v>5.5</v>
      </c>
    </row>
    <row r="16" spans="1:8" ht="12.75" customHeight="1">
      <c r="A16" s="253" t="s">
        <v>336</v>
      </c>
      <c r="B16" s="44">
        <v>41.311999999999998</v>
      </c>
      <c r="C16" s="169">
        <v>64.614999999999995</v>
      </c>
      <c r="D16" s="169">
        <v>64.614999999999995</v>
      </c>
      <c r="E16" s="45">
        <v>65.906999999999996</v>
      </c>
      <c r="F16" s="44">
        <v>65.906999999999996</v>
      </c>
      <c r="G16" s="44">
        <v>65.906999999999996</v>
      </c>
    </row>
    <row r="17" spans="1:12" ht="12.75" hidden="1" customHeight="1">
      <c r="A17" s="253" t="s">
        <v>169</v>
      </c>
      <c r="B17" s="44"/>
      <c r="C17" s="169"/>
      <c r="D17" s="169">
        <v>0.1</v>
      </c>
      <c r="E17" s="45">
        <v>0.106</v>
      </c>
      <c r="F17" s="44">
        <v>0.106</v>
      </c>
      <c r="G17" s="44">
        <v>0.106</v>
      </c>
      <c r="H17" t="s">
        <v>513</v>
      </c>
    </row>
    <row r="18" spans="1:12" s="279" customFormat="1" ht="15" customHeight="1" thickBot="1">
      <c r="A18" s="29" t="s">
        <v>165</v>
      </c>
      <c r="B18" s="170">
        <v>1605.1699999999998</v>
      </c>
      <c r="C18" s="30">
        <v>1615.856</v>
      </c>
      <c r="D18" s="30">
        <v>1712.6049999999998</v>
      </c>
      <c r="E18" s="171">
        <v>1945.4579999999999</v>
      </c>
      <c r="F18" s="170">
        <v>2015.6469999999999</v>
      </c>
      <c r="G18" s="170">
        <v>2003.7909999999999</v>
      </c>
      <c r="J18"/>
      <c r="K18"/>
      <c r="L18"/>
    </row>
    <row r="19" spans="1:12">
      <c r="A19" s="40"/>
      <c r="B19" s="44"/>
      <c r="D19" s="164"/>
      <c r="E19" s="164"/>
      <c r="F19" s="164"/>
      <c r="G19" s="38"/>
      <c r="H19" s="38"/>
      <c r="I19" s="38"/>
    </row>
    <row r="20" spans="1:12">
      <c r="A20" s="456"/>
      <c r="B20" s="457"/>
      <c r="C20" s="457"/>
      <c r="D20" s="457"/>
      <c r="E20" s="457"/>
      <c r="F20" s="457"/>
      <c r="G20" s="457"/>
      <c r="H20" s="38"/>
      <c r="I20" s="39"/>
    </row>
    <row r="21" spans="1:12">
      <c r="E21"/>
    </row>
    <row r="22" spans="1:12">
      <c r="E22"/>
    </row>
    <row r="23" spans="1:12">
      <c r="E23"/>
    </row>
    <row r="24" spans="1:12">
      <c r="B24" s="44"/>
      <c r="C24" s="44"/>
      <c r="D24" s="44"/>
      <c r="E24" s="44"/>
      <c r="F24" s="44"/>
    </row>
    <row r="25" spans="1:12">
      <c r="B25" s="44"/>
      <c r="C25" s="44"/>
      <c r="D25" s="44"/>
      <c r="E25" s="44"/>
      <c r="F25" s="44"/>
    </row>
    <row r="26" spans="1:12">
      <c r="B26" s="44"/>
      <c r="C26" s="44"/>
      <c r="D26" s="44"/>
      <c r="E26" s="44"/>
      <c r="F26" s="44"/>
      <c r="G26" s="35"/>
    </row>
    <row r="27" spans="1:12">
      <c r="A27" s="253"/>
      <c r="B27" s="44"/>
      <c r="C27" s="44"/>
      <c r="D27" s="44"/>
      <c r="E27" s="44"/>
      <c r="F27" s="44"/>
    </row>
    <row r="28" spans="1:12">
      <c r="A28" s="253"/>
      <c r="B28" s="44"/>
      <c r="C28" s="44"/>
      <c r="D28" s="44"/>
      <c r="E28" s="44"/>
      <c r="F28" s="44"/>
    </row>
    <row r="29" spans="1:12">
      <c r="B29" s="44"/>
      <c r="C29" s="44"/>
      <c r="D29" s="44"/>
      <c r="E29" s="44"/>
      <c r="F29" s="44"/>
    </row>
    <row r="30" spans="1:12">
      <c r="B30" s="44"/>
      <c r="C30" s="44"/>
      <c r="D30" s="44"/>
      <c r="E30" s="44"/>
      <c r="F30" s="44"/>
    </row>
  </sheetData>
  <mergeCells count="1">
    <mergeCell ref="C4:D4"/>
  </mergeCells>
  <pageMargins left="0.7" right="0.7" top="0.75" bottom="0.75" header="0.3" footer="0.3"/>
  <pageSetup scale="99" orientation="portrait" r:id="rId1"/>
  <headerFooter alignWithMargins="0">
    <oddFooter>&amp;L_x000D_&amp;1#&amp;"Calibri"&amp;11&amp;K000000 Classification: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tabColor rgb="FFFFC000"/>
  </sheetPr>
  <dimension ref="A1:O25"/>
  <sheetViews>
    <sheetView showGridLines="0" zoomScaleNormal="100" zoomScaleSheetLayoutView="112" workbookViewId="0">
      <selection activeCell="J7" sqref="J7"/>
    </sheetView>
  </sheetViews>
  <sheetFormatPr defaultColWidth="9" defaultRowHeight="11.25"/>
  <cols>
    <col min="1" max="1" width="52.5703125" style="39" customWidth="1"/>
    <col min="2" max="4" width="8" style="38" customWidth="1"/>
    <col min="5" max="7" width="8" style="39" customWidth="1"/>
    <col min="8" max="8" width="9" style="39"/>
    <col min="9" max="9" width="9" style="39" customWidth="1"/>
    <col min="10" max="16384" width="9" style="39"/>
  </cols>
  <sheetData>
    <row r="1" spans="1:15" ht="15.75">
      <c r="A1" s="280" t="s">
        <v>166</v>
      </c>
      <c r="H1" s="222"/>
    </row>
    <row r="2" spans="1:15" ht="12">
      <c r="A2" s="40" t="s">
        <v>1</v>
      </c>
      <c r="J2"/>
      <c r="K2"/>
      <c r="L2"/>
      <c r="M2"/>
      <c r="N2"/>
      <c r="O2"/>
    </row>
    <row r="3" spans="1:15" ht="12" customHeight="1">
      <c r="J3"/>
      <c r="K3"/>
      <c r="L3"/>
      <c r="M3"/>
      <c r="N3"/>
      <c r="O3"/>
    </row>
    <row r="4" spans="1:15" s="223" customFormat="1" ht="12" customHeight="1">
      <c r="A4" s="6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  <c r="J4"/>
      <c r="K4"/>
      <c r="L4"/>
      <c r="M4"/>
      <c r="N4"/>
      <c r="O4"/>
    </row>
    <row r="5" spans="1:15" s="223" customFormat="1" ht="12" customHeight="1">
      <c r="A5" s="9"/>
      <c r="B5" s="562" t="s">
        <v>7</v>
      </c>
      <c r="C5" s="562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  <c r="J5"/>
      <c r="K5"/>
      <c r="L5"/>
      <c r="M5"/>
      <c r="N5"/>
      <c r="O5"/>
    </row>
    <row r="6" spans="1:15" ht="12.75" customHeight="1">
      <c r="A6" s="40" t="s">
        <v>95</v>
      </c>
      <c r="B6" s="557">
        <v>53.186</v>
      </c>
      <c r="C6" s="89">
        <v>194.626</v>
      </c>
      <c r="D6" s="89">
        <v>172.773</v>
      </c>
      <c r="E6" s="151">
        <v>197.49199999999999</v>
      </c>
      <c r="F6" s="278">
        <v>197.821</v>
      </c>
      <c r="G6" s="278">
        <v>197.821</v>
      </c>
      <c r="J6"/>
      <c r="K6"/>
      <c r="L6"/>
      <c r="M6"/>
      <c r="N6"/>
      <c r="O6"/>
    </row>
    <row r="7" spans="1:15" ht="12.75" customHeight="1">
      <c r="A7" s="255" t="s">
        <v>379</v>
      </c>
      <c r="B7" s="557">
        <v>0.64100000000000001</v>
      </c>
      <c r="C7" s="89">
        <v>1.0900000000000001</v>
      </c>
      <c r="D7" s="89">
        <v>1.0900000000000001</v>
      </c>
      <c r="E7" s="151">
        <v>1.0900000000000001</v>
      </c>
      <c r="F7" s="278">
        <v>1.0900000000000001</v>
      </c>
      <c r="G7" s="278">
        <v>1.0900000000000001</v>
      </c>
      <c r="J7"/>
      <c r="K7"/>
      <c r="L7"/>
      <c r="M7"/>
      <c r="N7"/>
      <c r="O7"/>
    </row>
    <row r="8" spans="1:15" ht="12.75" customHeight="1">
      <c r="A8" s="39" t="s">
        <v>96</v>
      </c>
      <c r="B8" s="557">
        <v>23.443999999999999</v>
      </c>
      <c r="C8" s="89">
        <v>0</v>
      </c>
      <c r="D8" s="89">
        <v>0</v>
      </c>
      <c r="E8" s="151">
        <v>0</v>
      </c>
      <c r="F8" s="278">
        <v>0</v>
      </c>
      <c r="G8" s="278">
        <v>0</v>
      </c>
      <c r="J8"/>
      <c r="K8"/>
      <c r="L8"/>
      <c r="M8"/>
      <c r="N8"/>
      <c r="O8"/>
    </row>
    <row r="9" spans="1:15" ht="12.75" customHeight="1">
      <c r="A9" s="39" t="s">
        <v>373</v>
      </c>
      <c r="B9" s="557">
        <v>0</v>
      </c>
      <c r="C9" s="89">
        <v>1.31</v>
      </c>
      <c r="D9" s="89">
        <v>1.31</v>
      </c>
      <c r="E9" s="151">
        <v>1.31</v>
      </c>
      <c r="F9" s="278">
        <v>1.31</v>
      </c>
      <c r="G9" s="278">
        <v>1.31</v>
      </c>
      <c r="J9"/>
      <c r="K9"/>
      <c r="L9"/>
      <c r="M9"/>
      <c r="N9"/>
      <c r="O9"/>
    </row>
    <row r="10" spans="1:15" ht="12.75" customHeight="1">
      <c r="A10" s="281" t="s">
        <v>164</v>
      </c>
      <c r="B10" s="458">
        <v>1107.2449999999999</v>
      </c>
      <c r="C10" s="169">
        <v>1356.692</v>
      </c>
      <c r="D10" s="169">
        <v>1356.692</v>
      </c>
      <c r="E10" s="50">
        <v>1526.355</v>
      </c>
      <c r="F10" s="49">
        <v>1591.7159999999999</v>
      </c>
      <c r="G10" s="49">
        <v>1566.3119999999999</v>
      </c>
      <c r="H10" s="281"/>
      <c r="J10"/>
      <c r="K10"/>
      <c r="L10"/>
      <c r="M10"/>
      <c r="N10"/>
      <c r="O10"/>
    </row>
    <row r="11" spans="1:15" s="164" customFormat="1" ht="12.75" customHeight="1">
      <c r="A11" s="281" t="s">
        <v>100</v>
      </c>
      <c r="B11" s="458">
        <v>1.026</v>
      </c>
      <c r="C11" s="169">
        <v>1.5</v>
      </c>
      <c r="D11" s="169">
        <v>1.5</v>
      </c>
      <c r="E11" s="45">
        <v>1.5</v>
      </c>
      <c r="F11" s="44">
        <v>1.5</v>
      </c>
      <c r="G11" s="278">
        <v>0</v>
      </c>
      <c r="H11" s="281"/>
      <c r="J11"/>
      <c r="K11"/>
      <c r="L11"/>
      <c r="M11"/>
      <c r="N11"/>
      <c r="O11"/>
    </row>
    <row r="12" spans="1:15" s="164" customFormat="1" ht="12.75" customHeight="1">
      <c r="A12" s="281" t="s">
        <v>332</v>
      </c>
      <c r="B12" s="458">
        <v>13.988</v>
      </c>
      <c r="C12" s="169">
        <v>16.404</v>
      </c>
      <c r="D12" s="169">
        <v>16.405999999999999</v>
      </c>
      <c r="E12" s="50">
        <v>17.332000000000001</v>
      </c>
      <c r="F12" s="49">
        <v>17.994</v>
      </c>
      <c r="G12" s="49">
        <v>18.484000000000002</v>
      </c>
      <c r="H12" s="281"/>
      <c r="J12"/>
      <c r="K12"/>
      <c r="L12"/>
      <c r="M12"/>
      <c r="N12"/>
      <c r="O12"/>
    </row>
    <row r="13" spans="1:15" s="164" customFormat="1" ht="12.75" customHeight="1">
      <c r="A13" s="255" t="s">
        <v>334</v>
      </c>
      <c r="B13" s="458">
        <v>3.6139999999999999</v>
      </c>
      <c r="C13" s="169">
        <v>5.5</v>
      </c>
      <c r="D13" s="169">
        <v>5.5</v>
      </c>
      <c r="E13" s="45">
        <v>5.5</v>
      </c>
      <c r="F13" s="44">
        <v>5.5</v>
      </c>
      <c r="G13" s="44">
        <v>5.5</v>
      </c>
      <c r="H13" s="281"/>
      <c r="J13"/>
      <c r="K13"/>
      <c r="L13"/>
      <c r="M13"/>
      <c r="N13"/>
      <c r="O13"/>
    </row>
    <row r="14" spans="1:15" s="51" customFormat="1" ht="12.75" customHeight="1">
      <c r="A14" s="255" t="s">
        <v>336</v>
      </c>
      <c r="B14" s="458">
        <v>43.912999999999997</v>
      </c>
      <c r="C14" s="169">
        <v>64.614999999999995</v>
      </c>
      <c r="D14" s="169">
        <v>64.614999999999995</v>
      </c>
      <c r="E14" s="45">
        <v>65.906999999999996</v>
      </c>
      <c r="F14" s="44">
        <v>65.906999999999996</v>
      </c>
      <c r="G14" s="44">
        <v>65.906999999999996</v>
      </c>
      <c r="H14" s="281"/>
    </row>
    <row r="15" spans="1:15" s="164" customFormat="1" ht="15" customHeight="1" thickBot="1">
      <c r="A15" s="29" t="s">
        <v>167</v>
      </c>
      <c r="B15" s="170">
        <v>1247.057</v>
      </c>
      <c r="C15" s="52">
        <v>1641.7370000000001</v>
      </c>
      <c r="D15" s="52">
        <v>1619.886</v>
      </c>
      <c r="E15" s="171">
        <v>1816.6860000000001</v>
      </c>
      <c r="F15" s="170">
        <v>1882.8379999999997</v>
      </c>
      <c r="G15" s="170">
        <v>1856.5239999999997</v>
      </c>
      <c r="H15"/>
      <c r="I15"/>
    </row>
    <row r="16" spans="1:15" s="164" customFormat="1" ht="12" customHeight="1">
      <c r="A16" s="40"/>
      <c r="B16" s="44"/>
      <c r="C16" s="44"/>
      <c r="D16" s="44"/>
      <c r="E16" s="44"/>
      <c r="F16" s="44"/>
    </row>
    <row r="17" spans="1:14" ht="12">
      <c r="A17"/>
      <c r="B17"/>
      <c r="C17"/>
      <c r="D17"/>
      <c r="E17"/>
      <c r="F17"/>
      <c r="G17"/>
      <c r="H17"/>
      <c r="I17"/>
      <c r="N17" s="458"/>
    </row>
    <row r="18" spans="1:14" ht="12">
      <c r="A18"/>
      <c r="B18"/>
      <c r="C18"/>
      <c r="D18"/>
      <c r="E18"/>
      <c r="F18"/>
      <c r="G18"/>
      <c r="H18"/>
      <c r="I18"/>
      <c r="N18" s="458"/>
    </row>
    <row r="19" spans="1:14">
      <c r="N19" s="458"/>
    </row>
    <row r="20" spans="1:14">
      <c r="N20" s="458"/>
    </row>
    <row r="25" spans="1:14">
      <c r="A25" s="173"/>
    </row>
  </sheetData>
  <mergeCells count="1">
    <mergeCell ref="C4:D4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C000"/>
  </sheetPr>
  <dimension ref="A1:L26"/>
  <sheetViews>
    <sheetView showGridLines="0" zoomScaleNormal="100" zoomScaleSheetLayoutView="96" workbookViewId="0">
      <selection activeCell="J10" sqref="J10"/>
    </sheetView>
  </sheetViews>
  <sheetFormatPr defaultColWidth="9" defaultRowHeight="11.25"/>
  <cols>
    <col min="1" max="1" width="52.42578125" style="40" customWidth="1"/>
    <col min="2" max="2" width="8" style="38" customWidth="1"/>
    <col min="3" max="6" width="8" style="39" customWidth="1"/>
    <col min="7" max="7" width="8" style="38" customWidth="1"/>
    <col min="8" max="9" width="9" style="38"/>
    <col min="10" max="16384" width="9" style="39"/>
  </cols>
  <sheetData>
    <row r="1" spans="1:12" ht="15.75">
      <c r="A1" s="36" t="s">
        <v>146</v>
      </c>
      <c r="H1" s="222"/>
    </row>
    <row r="2" spans="1:12" ht="12">
      <c r="A2" s="4" t="s">
        <v>1</v>
      </c>
      <c r="B2" s="82"/>
      <c r="C2" s="222"/>
      <c r="D2" s="222"/>
      <c r="F2"/>
      <c r="J2"/>
      <c r="K2"/>
      <c r="L2"/>
    </row>
    <row r="3" spans="1:12" ht="4.5" customHeight="1">
      <c r="A3" s="4"/>
      <c r="B3" s="82"/>
      <c r="C3" s="222"/>
      <c r="D3" s="222"/>
      <c r="F3"/>
      <c r="J3"/>
      <c r="K3"/>
      <c r="L3"/>
    </row>
    <row r="4" spans="1:12" s="223" customFormat="1" ht="12.75" customHeight="1">
      <c r="A4" s="40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  <c r="H4" s="38"/>
      <c r="I4" s="38"/>
      <c r="J4"/>
      <c r="K4"/>
      <c r="L4"/>
    </row>
    <row r="5" spans="1:12" s="223" customFormat="1" ht="12.75" customHeight="1">
      <c r="A5" s="224"/>
      <c r="B5" s="562" t="s">
        <v>7</v>
      </c>
      <c r="C5" s="562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  <c r="H5"/>
      <c r="I5" s="38"/>
      <c r="J5"/>
      <c r="K5"/>
      <c r="L5"/>
    </row>
    <row r="6" spans="1:12" s="223" customFormat="1" ht="3.75" customHeight="1">
      <c r="A6" s="225"/>
      <c r="B6" s="226"/>
      <c r="C6" s="226"/>
      <c r="D6" s="226"/>
      <c r="E6" s="227"/>
      <c r="F6"/>
      <c r="G6"/>
      <c r="H6"/>
      <c r="I6" s="38"/>
      <c r="J6"/>
      <c r="K6"/>
      <c r="L6"/>
    </row>
    <row r="7" spans="1:12" s="223" customFormat="1" ht="12.75" customHeight="1">
      <c r="A7" s="228" t="s">
        <v>147</v>
      </c>
      <c r="B7" s="180"/>
      <c r="C7" s="37"/>
      <c r="D7" s="38"/>
      <c r="E7" s="23"/>
      <c r="F7" s="38"/>
      <c r="G7" s="180"/>
      <c r="H7"/>
      <c r="I7" s="38"/>
      <c r="J7"/>
      <c r="K7"/>
      <c r="L7"/>
    </row>
    <row r="8" spans="1:12" s="51" customFormat="1" ht="12.75" customHeight="1">
      <c r="A8" s="122" t="s">
        <v>148</v>
      </c>
      <c r="B8" s="180">
        <v>9.5410000000000004</v>
      </c>
      <c r="C8" s="38">
        <v>9</v>
      </c>
      <c r="D8" s="38">
        <v>8.5920000000000005</v>
      </c>
      <c r="E8" s="23">
        <v>8.5920000000000005</v>
      </c>
      <c r="F8" s="38">
        <v>8.5920000000000005</v>
      </c>
      <c r="G8" s="180">
        <v>8.5920000000000005</v>
      </c>
      <c r="H8" s="229"/>
      <c r="I8" s="230"/>
      <c r="J8" s="229"/>
      <c r="K8" s="229"/>
      <c r="L8" s="229"/>
    </row>
    <row r="9" spans="1:12" s="164" customFormat="1" ht="12.75" customHeight="1">
      <c r="A9" s="122" t="s">
        <v>153</v>
      </c>
      <c r="B9" s="38">
        <v>917</v>
      </c>
      <c r="C9" s="38">
        <v>1066</v>
      </c>
      <c r="D9" s="38">
        <v>992.96400000000006</v>
      </c>
      <c r="E9" s="23">
        <v>954.13599999999997</v>
      </c>
      <c r="F9" s="38">
        <v>1075.9670000000001</v>
      </c>
      <c r="G9" s="38">
        <v>1224.373</v>
      </c>
      <c r="H9" s="35"/>
      <c r="I9" s="35"/>
      <c r="J9" s="35"/>
      <c r="K9" s="35"/>
      <c r="L9"/>
    </row>
    <row r="10" spans="1:12" s="164" customFormat="1" ht="15" customHeight="1">
      <c r="A10" s="231" t="s">
        <v>149</v>
      </c>
      <c r="B10" s="232">
        <v>926.54100000000005</v>
      </c>
      <c r="C10" s="232">
        <v>1075</v>
      </c>
      <c r="D10" s="232">
        <v>1001.556</v>
      </c>
      <c r="E10" s="233">
        <v>962.72799999999995</v>
      </c>
      <c r="F10" s="232">
        <v>1084.559</v>
      </c>
      <c r="G10" s="232">
        <v>1232.9649999999999</v>
      </c>
      <c r="H10" s="35"/>
      <c r="I10" s="35"/>
      <c r="J10" s="35"/>
      <c r="K10" s="35"/>
      <c r="L10"/>
    </row>
    <row r="11" spans="1:12" s="164" customFormat="1" ht="3.75" customHeight="1">
      <c r="B11" s="38"/>
      <c r="C11" s="38"/>
      <c r="D11" s="38"/>
      <c r="E11" s="23"/>
      <c r="F11" s="38"/>
      <c r="G11" s="38"/>
      <c r="H11" s="35"/>
      <c r="I11" s="35"/>
      <c r="J11" s="35"/>
      <c r="K11" s="35"/>
      <c r="L11"/>
    </row>
    <row r="12" spans="1:12" ht="12">
      <c r="A12" s="46" t="s">
        <v>150</v>
      </c>
      <c r="C12" s="38"/>
      <c r="D12" s="38"/>
      <c r="E12" s="23"/>
      <c r="F12" s="38"/>
      <c r="H12" s="35"/>
      <c r="I12" s="35"/>
      <c r="J12" s="35"/>
      <c r="K12" s="35"/>
      <c r="L12"/>
    </row>
    <row r="13" spans="1:12" ht="12.75" customHeight="1">
      <c r="A13" s="122" t="s">
        <v>151</v>
      </c>
      <c r="B13" s="180">
        <v>30.309000000000001</v>
      </c>
      <c r="C13" s="38">
        <v>33.195</v>
      </c>
      <c r="D13" s="38">
        <v>33.195</v>
      </c>
      <c r="E13" s="23">
        <v>32.912999999999997</v>
      </c>
      <c r="F13" s="38">
        <v>30.777000000000001</v>
      </c>
      <c r="G13" s="180">
        <v>29.646000000000001</v>
      </c>
      <c r="H13" s="35"/>
      <c r="I13" s="35"/>
      <c r="J13" s="35"/>
      <c r="K13" s="35"/>
      <c r="L13"/>
    </row>
    <row r="14" spans="1:12" ht="12.75" customHeight="1">
      <c r="A14" s="122" t="s">
        <v>152</v>
      </c>
      <c r="B14" s="180">
        <v>92.266999999999996</v>
      </c>
      <c r="C14" s="38">
        <v>114.922</v>
      </c>
      <c r="D14" s="38">
        <v>114.922</v>
      </c>
      <c r="E14" s="23">
        <v>111.57299999999999</v>
      </c>
      <c r="F14" s="38">
        <v>108.02800000000001</v>
      </c>
      <c r="G14" s="180">
        <v>104.55800000000001</v>
      </c>
      <c r="H14" s="35"/>
      <c r="I14" s="35"/>
      <c r="J14" s="35"/>
      <c r="K14" s="35"/>
      <c r="L14"/>
    </row>
    <row r="15" spans="1:12" ht="12.75" customHeight="1">
      <c r="A15" s="122" t="s">
        <v>153</v>
      </c>
      <c r="B15" s="180">
        <v>1201</v>
      </c>
      <c r="C15" s="38">
        <v>1385</v>
      </c>
      <c r="D15" s="38">
        <v>1290.107</v>
      </c>
      <c r="E15" s="234">
        <v>1239.6600000000001</v>
      </c>
      <c r="F15" s="541">
        <v>1397.95</v>
      </c>
      <c r="G15" s="235">
        <v>1590.7670000000001</v>
      </c>
      <c r="H15" s="35"/>
      <c r="I15" s="35"/>
      <c r="J15" s="35"/>
      <c r="K15" s="35"/>
      <c r="L15"/>
    </row>
    <row r="16" spans="1:12" ht="15" customHeight="1">
      <c r="A16" s="236" t="s">
        <v>149</v>
      </c>
      <c r="B16" s="237">
        <v>1323.576</v>
      </c>
      <c r="C16" s="232">
        <v>1533.117</v>
      </c>
      <c r="D16" s="232">
        <v>1438.2239999999999</v>
      </c>
      <c r="E16" s="238">
        <v>1385.146</v>
      </c>
      <c r="F16" s="542">
        <v>1537.7550000000001</v>
      </c>
      <c r="G16" s="237">
        <v>1726.971</v>
      </c>
      <c r="H16" s="35"/>
      <c r="I16" s="35"/>
      <c r="J16" s="35"/>
      <c r="K16" s="35"/>
      <c r="L16"/>
    </row>
    <row r="17" spans="1:12" ht="3.75" customHeight="1">
      <c r="A17" s="236"/>
      <c r="B17" s="239"/>
      <c r="C17" s="37"/>
      <c r="D17" s="37"/>
      <c r="E17" s="240"/>
      <c r="F17" s="543"/>
      <c r="G17" s="239"/>
      <c r="H17" s="35"/>
      <c r="I17" s="35"/>
      <c r="J17" s="35"/>
      <c r="K17" s="35"/>
      <c r="L17"/>
    </row>
    <row r="18" spans="1:12" ht="15" customHeight="1">
      <c r="A18" s="241" t="s">
        <v>154</v>
      </c>
      <c r="B18" s="242">
        <v>2250.1170000000002</v>
      </c>
      <c r="C18" s="243">
        <v>2608.1170000000002</v>
      </c>
      <c r="D18" s="243">
        <v>2439.7799999999997</v>
      </c>
      <c r="E18" s="244">
        <v>2347.8740000000007</v>
      </c>
      <c r="F18" s="243">
        <v>2622.3140000000003</v>
      </c>
      <c r="G18" s="242">
        <v>2959.9360000000001</v>
      </c>
      <c r="H18" s="35"/>
      <c r="I18" s="35"/>
      <c r="J18" s="35"/>
      <c r="K18" s="35"/>
      <c r="L18"/>
    </row>
    <row r="19" spans="1:12" ht="3.75" customHeight="1">
      <c r="A19" s="245"/>
      <c r="C19" s="37"/>
      <c r="D19" s="37"/>
      <c r="E19" s="23"/>
      <c r="F19" s="38"/>
      <c r="H19" s="35"/>
      <c r="I19" s="35"/>
      <c r="J19" s="35"/>
      <c r="K19" s="35"/>
      <c r="L19"/>
    </row>
    <row r="20" spans="1:12" ht="12.75" customHeight="1">
      <c r="A20" s="245" t="s">
        <v>155</v>
      </c>
      <c r="C20" s="38"/>
      <c r="D20" s="37"/>
      <c r="E20" s="23"/>
      <c r="F20" s="38"/>
      <c r="H20" s="35"/>
      <c r="I20" s="35"/>
      <c r="J20" s="35"/>
      <c r="K20" s="35"/>
      <c r="L20"/>
    </row>
    <row r="21" spans="1:12" ht="12.75" customHeight="1">
      <c r="A21" s="122" t="s">
        <v>156</v>
      </c>
      <c r="B21" s="38">
        <v>802</v>
      </c>
      <c r="C21" s="38">
        <v>677</v>
      </c>
      <c r="D21" s="38">
        <v>650.92899999999997</v>
      </c>
      <c r="E21" s="23">
        <v>523.20399999999995</v>
      </c>
      <c r="F21" s="38">
        <v>533.08299999999997</v>
      </c>
      <c r="G21" s="38">
        <v>558.86</v>
      </c>
      <c r="H21" s="35"/>
      <c r="I21" s="35"/>
      <c r="J21" s="35"/>
      <c r="K21" s="35"/>
      <c r="L21"/>
    </row>
    <row r="22" spans="1:12" ht="12.75" customHeight="1">
      <c r="A22" s="122" t="s">
        <v>157</v>
      </c>
      <c r="B22" s="38">
        <v>97</v>
      </c>
      <c r="C22" s="38">
        <v>104</v>
      </c>
      <c r="D22" s="38">
        <v>107.886</v>
      </c>
      <c r="E22" s="23">
        <v>96.537000000000006</v>
      </c>
      <c r="F22" s="38">
        <v>102.44</v>
      </c>
      <c r="G22" s="38">
        <v>109.95699999999999</v>
      </c>
      <c r="H22" s="35"/>
      <c r="I22" s="35"/>
      <c r="J22" s="35"/>
      <c r="K22" s="35"/>
      <c r="L22"/>
    </row>
    <row r="23" spans="1:12" ht="12.75" customHeight="1">
      <c r="A23" s="236" t="s">
        <v>149</v>
      </c>
      <c r="B23" s="237">
        <v>899</v>
      </c>
      <c r="C23" s="232">
        <v>781</v>
      </c>
      <c r="D23" s="232">
        <v>758.81499999999994</v>
      </c>
      <c r="E23" s="238">
        <v>619.74099999999999</v>
      </c>
      <c r="F23" s="542">
        <v>635.52299999999991</v>
      </c>
      <c r="G23" s="237">
        <v>668.81700000000001</v>
      </c>
      <c r="H23" s="35"/>
      <c r="I23" s="35"/>
      <c r="J23" s="35"/>
      <c r="K23" s="35"/>
      <c r="L23"/>
    </row>
    <row r="24" spans="1:12" ht="3.75" customHeight="1">
      <c r="A24" s="245"/>
      <c r="C24" s="37"/>
      <c r="D24" s="37"/>
      <c r="E24" s="23"/>
      <c r="F24" s="38"/>
      <c r="H24" s="35"/>
      <c r="I24" s="35"/>
      <c r="J24" s="35"/>
      <c r="K24" s="35"/>
      <c r="L24"/>
    </row>
    <row r="25" spans="1:12" ht="15" customHeight="1" thickBot="1">
      <c r="A25" s="29" t="s">
        <v>158</v>
      </c>
      <c r="B25" s="246">
        <v>3149.1170000000002</v>
      </c>
      <c r="C25" s="246">
        <v>3389.1170000000002</v>
      </c>
      <c r="D25" s="246">
        <v>3198.5949999999998</v>
      </c>
      <c r="E25" s="247">
        <v>2967.6150000000007</v>
      </c>
      <c r="F25" s="246">
        <v>3257.8370000000004</v>
      </c>
      <c r="G25" s="246">
        <v>3628.7530000000002</v>
      </c>
      <c r="H25" s="35"/>
      <c r="I25" s="35"/>
      <c r="J25" s="35"/>
      <c r="K25" s="35"/>
      <c r="L25"/>
    </row>
    <row r="26" spans="1:12" ht="12">
      <c r="A26"/>
      <c r="B26"/>
      <c r="C26"/>
      <c r="D26"/>
      <c r="F26"/>
      <c r="G26"/>
      <c r="H26"/>
      <c r="J26"/>
      <c r="K26"/>
      <c r="L26"/>
    </row>
  </sheetData>
  <mergeCells count="1">
    <mergeCell ref="C4:D4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rgb="FFFFC000"/>
  </sheetPr>
  <dimension ref="A1:O24"/>
  <sheetViews>
    <sheetView showGridLines="0" zoomScaleNormal="100" zoomScaleSheetLayoutView="160" zoomScalePageLayoutView="150" workbookViewId="0">
      <selection activeCell="J5" sqref="J5"/>
    </sheetView>
  </sheetViews>
  <sheetFormatPr defaultColWidth="9" defaultRowHeight="11.25"/>
  <cols>
    <col min="1" max="1" width="52.42578125" style="222" customWidth="1"/>
    <col min="2" max="2" width="8" style="82" customWidth="1"/>
    <col min="3" max="7" width="8" style="222" customWidth="1"/>
    <col min="8" max="16384" width="9" style="222"/>
  </cols>
  <sheetData>
    <row r="1" spans="1:15" s="254" customFormat="1" ht="18.75" customHeight="1">
      <c r="A1" s="259" t="s">
        <v>380</v>
      </c>
      <c r="B1" s="82"/>
      <c r="H1" s="222"/>
    </row>
    <row r="2" spans="1:15" s="254" customFormat="1" ht="12.75" customHeight="1">
      <c r="A2" s="260" t="s">
        <v>1</v>
      </c>
      <c r="B2" s="82"/>
    </row>
    <row r="3" spans="1:15" s="254" customFormat="1" ht="12.75" customHeight="1">
      <c r="A3" s="261"/>
      <c r="B3" s="82"/>
      <c r="C3" s="222"/>
      <c r="D3" s="222"/>
    </row>
    <row r="4" spans="1:15" s="254" customFormat="1" ht="12.75" customHeight="1">
      <c r="A4" s="261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</row>
    <row r="5" spans="1:15" s="254" customFormat="1" ht="12.75" customHeight="1">
      <c r="A5" s="262"/>
      <c r="B5" s="562" t="s">
        <v>7</v>
      </c>
      <c r="C5" s="562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</row>
    <row r="6" spans="1:15" s="254" customFormat="1" ht="15" customHeight="1">
      <c r="A6" s="263" t="s">
        <v>381</v>
      </c>
      <c r="B6" s="38">
        <v>1855.999</v>
      </c>
      <c r="C6" s="89">
        <v>0</v>
      </c>
      <c r="D6" s="89">
        <v>1112.3419999999999</v>
      </c>
      <c r="E6" s="23">
        <v>0</v>
      </c>
      <c r="F6" s="38">
        <v>0</v>
      </c>
      <c r="G6" s="38">
        <v>0</v>
      </c>
      <c r="K6" s="91"/>
    </row>
    <row r="7" spans="1:15" s="254" customFormat="1" ht="12.75" customHeight="1">
      <c r="A7" s="263" t="s">
        <v>382</v>
      </c>
      <c r="B7" s="38">
        <v>851.13800000000003</v>
      </c>
      <c r="C7" s="89">
        <v>0</v>
      </c>
      <c r="D7" s="89">
        <v>706.8</v>
      </c>
      <c r="E7" s="23">
        <v>0</v>
      </c>
      <c r="F7" s="38">
        <v>0</v>
      </c>
      <c r="G7" s="38">
        <v>0</v>
      </c>
    </row>
    <row r="8" spans="1:15" s="254" customFormat="1" ht="12.75" customHeight="1">
      <c r="A8" s="260" t="s">
        <v>383</v>
      </c>
      <c r="B8" s="38">
        <v>4.3140000000000001</v>
      </c>
      <c r="C8" s="89">
        <v>0</v>
      </c>
      <c r="D8" s="89">
        <v>0</v>
      </c>
      <c r="E8" s="23">
        <v>0</v>
      </c>
      <c r="F8" s="38">
        <v>0</v>
      </c>
      <c r="G8" s="38">
        <v>0</v>
      </c>
    </row>
    <row r="9" spans="1:15" s="254" customFormat="1" ht="12.75" customHeight="1">
      <c r="A9" s="260" t="s">
        <v>443</v>
      </c>
      <c r="B9" s="38">
        <v>0</v>
      </c>
      <c r="C9" s="89">
        <v>0</v>
      </c>
      <c r="D9" s="89">
        <v>19.059000000000001</v>
      </c>
      <c r="E9" s="23">
        <v>0</v>
      </c>
      <c r="F9" s="38">
        <v>0</v>
      </c>
      <c r="G9" s="38">
        <v>0</v>
      </c>
    </row>
    <row r="10" spans="1:15" s="254" customFormat="1" ht="12.75" customHeight="1">
      <c r="A10" s="260" t="s">
        <v>338</v>
      </c>
      <c r="B10" s="38">
        <v>259.767</v>
      </c>
      <c r="C10" s="89">
        <v>0</v>
      </c>
      <c r="D10" s="89">
        <v>163.29299999999998</v>
      </c>
      <c r="E10" s="23">
        <v>0</v>
      </c>
      <c r="F10" s="38">
        <v>0</v>
      </c>
      <c r="G10" s="38">
        <v>0</v>
      </c>
    </row>
    <row r="11" spans="1:15" s="254" customFormat="1" ht="12.75" customHeight="1">
      <c r="A11" s="260" t="s">
        <v>384</v>
      </c>
      <c r="B11" s="38">
        <v>54.085999999999999</v>
      </c>
      <c r="C11" s="89">
        <v>0</v>
      </c>
      <c r="D11" s="89">
        <v>15</v>
      </c>
      <c r="E11" s="23">
        <v>0</v>
      </c>
      <c r="F11" s="38">
        <v>0</v>
      </c>
      <c r="G11" s="38">
        <v>0</v>
      </c>
    </row>
    <row r="12" spans="1:15" s="254" customFormat="1" ht="15" customHeight="1" thickBot="1">
      <c r="A12" s="264" t="s">
        <v>393</v>
      </c>
      <c r="B12" s="202">
        <v>3025.3039999999996</v>
      </c>
      <c r="C12" s="265">
        <v>0</v>
      </c>
      <c r="D12" s="265">
        <v>2016.9939999999997</v>
      </c>
      <c r="E12" s="266">
        <v>0</v>
      </c>
      <c r="F12" s="290">
        <v>0</v>
      </c>
      <c r="G12" s="267">
        <v>0</v>
      </c>
      <c r="H12"/>
      <c r="I12"/>
      <c r="J12"/>
      <c r="K12"/>
      <c r="L12"/>
      <c r="M12"/>
      <c r="N12"/>
      <c r="O12"/>
    </row>
    <row r="13" spans="1:15" s="254" customFormat="1" ht="15" customHeight="1">
      <c r="B13" s="38"/>
      <c r="C13"/>
      <c r="D13"/>
      <c r="E13" s="38"/>
      <c r="F13" s="38"/>
      <c r="H13"/>
      <c r="I13"/>
      <c r="J13"/>
      <c r="K13"/>
      <c r="L13"/>
      <c r="M13"/>
      <c r="N13"/>
      <c r="O13"/>
    </row>
    <row r="14" spans="1:15" s="254" customFormat="1" ht="12.75" customHeight="1">
      <c r="G14" s="555"/>
      <c r="I14"/>
      <c r="J14"/>
      <c r="K14"/>
      <c r="L14"/>
      <c r="M14"/>
      <c r="N14"/>
      <c r="O14"/>
    </row>
    <row r="15" spans="1:15" s="254" customFormat="1" ht="12.75" customHeight="1">
      <c r="A15" s="222"/>
      <c r="F15" s="222"/>
      <c r="G15"/>
      <c r="H15"/>
      <c r="I15"/>
      <c r="J15"/>
      <c r="K15"/>
      <c r="L15"/>
      <c r="M15"/>
      <c r="N15"/>
      <c r="O15"/>
    </row>
    <row r="16" spans="1:15" s="254" customFormat="1" ht="12.7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254" customFormat="1" ht="12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254" customFormat="1" ht="12.7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254" customFormat="1" ht="12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254" customFormat="1" ht="1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s="254" customFormat="1" ht="1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254" customFormat="1" ht="12.7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254" customFormat="1" ht="12.75" customHeight="1"/>
    <row r="24" spans="1:15" s="254" customFormat="1" ht="14.25" customHeight="1"/>
  </sheetData>
  <mergeCells count="1">
    <mergeCell ref="C4:D4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3">
    <tabColor rgb="FFFFC000"/>
  </sheetPr>
  <dimension ref="A1:P19"/>
  <sheetViews>
    <sheetView showGridLines="0" zoomScaleNormal="100" zoomScaleSheetLayoutView="145" workbookViewId="0">
      <selection activeCell="J13" sqref="J13"/>
    </sheetView>
  </sheetViews>
  <sheetFormatPr defaultColWidth="9" defaultRowHeight="12"/>
  <cols>
    <col min="1" max="1" width="57.85546875" style="249" customWidth="1"/>
    <col min="2" max="2" width="9.42578125" style="82" customWidth="1"/>
    <col min="3" max="3" width="9.42578125" style="309" customWidth="1"/>
    <col min="4" max="5" width="9.42578125" style="82" customWidth="1"/>
    <col min="6" max="6" width="11" style="222" customWidth="1"/>
    <col min="7" max="9" width="8.42578125" customWidth="1"/>
    <col min="10" max="13" width="9" style="222" customWidth="1"/>
    <col min="14" max="16384" width="9" style="222"/>
  </cols>
  <sheetData>
    <row r="1" spans="1:16" ht="18.75">
      <c r="A1" s="308" t="s">
        <v>190</v>
      </c>
      <c r="G1" s="222"/>
    </row>
    <row r="2" spans="1:16">
      <c r="A2" s="310" t="s">
        <v>1</v>
      </c>
    </row>
    <row r="3" spans="1:16" s="254" customFormat="1" ht="12.75" customHeight="1">
      <c r="A3" s="249"/>
      <c r="B3" s="648" t="s">
        <v>27</v>
      </c>
      <c r="C3" s="648"/>
      <c r="D3" s="648"/>
      <c r="E3" s="648"/>
      <c r="F3" s="648"/>
      <c r="G3"/>
      <c r="H3"/>
      <c r="I3"/>
      <c r="O3"/>
      <c r="P3"/>
    </row>
    <row r="4" spans="1:16" s="312" customFormat="1" ht="12.75" customHeight="1">
      <c r="A4" s="311"/>
      <c r="B4" s="565" t="s">
        <v>28</v>
      </c>
      <c r="C4" s="566" t="s">
        <v>311</v>
      </c>
      <c r="D4" s="567" t="s">
        <v>326</v>
      </c>
      <c r="E4" s="566" t="s">
        <v>378</v>
      </c>
      <c r="F4" s="566" t="s">
        <v>444</v>
      </c>
      <c r="G4"/>
      <c r="H4"/>
      <c r="N4"/>
      <c r="O4"/>
    </row>
    <row r="5" spans="1:16" s="312" customFormat="1" ht="12.75" customHeight="1">
      <c r="A5" s="313"/>
      <c r="B5" s="571" t="s">
        <v>7</v>
      </c>
      <c r="C5" s="572" t="s">
        <v>9</v>
      </c>
      <c r="D5" s="573" t="s">
        <v>10</v>
      </c>
      <c r="E5" s="571" t="s">
        <v>11</v>
      </c>
      <c r="F5" s="571" t="s">
        <v>11</v>
      </c>
      <c r="G5"/>
      <c r="H5"/>
      <c r="N5"/>
      <c r="O5"/>
    </row>
    <row r="6" spans="1:16" s="254" customFormat="1" ht="13.5" customHeight="1">
      <c r="A6" s="249" t="s">
        <v>191</v>
      </c>
      <c r="B6" s="44">
        <v>7030</v>
      </c>
      <c r="C6" s="270">
        <v>6759</v>
      </c>
      <c r="D6" s="45">
        <v>6471</v>
      </c>
      <c r="E6" s="163">
        <v>6178</v>
      </c>
      <c r="F6" s="163">
        <v>5882</v>
      </c>
      <c r="G6"/>
      <c r="H6"/>
      <c r="N6"/>
      <c r="O6"/>
    </row>
    <row r="7" spans="1:16" s="254" customFormat="1" ht="13.5" customHeight="1">
      <c r="A7" s="249" t="s">
        <v>192</v>
      </c>
      <c r="B7" s="49">
        <v>347</v>
      </c>
      <c r="C7" s="270">
        <v>318</v>
      </c>
      <c r="D7" s="45">
        <v>287</v>
      </c>
      <c r="E7" s="163">
        <v>256</v>
      </c>
      <c r="F7" s="163">
        <v>223</v>
      </c>
      <c r="G7"/>
      <c r="H7"/>
      <c r="N7"/>
      <c r="O7"/>
    </row>
    <row r="8" spans="1:16" s="254" customFormat="1" ht="13.5" customHeight="1">
      <c r="A8" s="249" t="s">
        <v>193</v>
      </c>
      <c r="B8" s="49">
        <v>196</v>
      </c>
      <c r="C8" s="270">
        <v>194</v>
      </c>
      <c r="D8" s="45">
        <v>193</v>
      </c>
      <c r="E8" s="163">
        <v>190</v>
      </c>
      <c r="F8" s="163">
        <v>188</v>
      </c>
      <c r="G8"/>
      <c r="H8"/>
      <c r="N8"/>
      <c r="O8"/>
    </row>
    <row r="9" spans="1:16" s="254" customFormat="1" ht="13.5" customHeight="1">
      <c r="A9" s="249" t="s">
        <v>194</v>
      </c>
      <c r="B9" s="49">
        <v>64</v>
      </c>
      <c r="C9" s="270">
        <v>62</v>
      </c>
      <c r="D9" s="45">
        <v>59</v>
      </c>
      <c r="E9" s="163">
        <v>55</v>
      </c>
      <c r="F9" s="163">
        <v>50</v>
      </c>
      <c r="G9"/>
      <c r="H9"/>
      <c r="N9"/>
      <c r="O9"/>
    </row>
    <row r="10" spans="1:16" s="254" customFormat="1" ht="13.5" customHeight="1">
      <c r="A10" s="249" t="s">
        <v>195</v>
      </c>
      <c r="B10" s="49">
        <v>32</v>
      </c>
      <c r="C10" s="270">
        <v>30</v>
      </c>
      <c r="D10" s="45">
        <v>28</v>
      </c>
      <c r="E10" s="163">
        <v>25</v>
      </c>
      <c r="F10" s="163">
        <v>23</v>
      </c>
      <c r="G10"/>
      <c r="H10"/>
      <c r="N10"/>
      <c r="O10"/>
    </row>
    <row r="11" spans="1:16" s="254" customFormat="1" ht="13.5" customHeight="1">
      <c r="A11" s="249" t="s">
        <v>196</v>
      </c>
      <c r="B11" s="49">
        <v>24</v>
      </c>
      <c r="C11" s="270">
        <v>24</v>
      </c>
      <c r="D11" s="50">
        <v>23</v>
      </c>
      <c r="E11" s="169">
        <v>22</v>
      </c>
      <c r="F11" s="169">
        <v>20</v>
      </c>
      <c r="G11"/>
      <c r="H11"/>
      <c r="N11"/>
      <c r="O11"/>
    </row>
    <row r="12" spans="1:16" s="254" customFormat="1" ht="13.5" customHeight="1">
      <c r="A12" s="249" t="s">
        <v>197</v>
      </c>
      <c r="B12" s="49">
        <v>1</v>
      </c>
      <c r="C12" s="270">
        <v>1</v>
      </c>
      <c r="D12" s="50">
        <v>1</v>
      </c>
      <c r="E12" s="169">
        <v>1</v>
      </c>
      <c r="F12" s="169">
        <v>1</v>
      </c>
      <c r="G12"/>
      <c r="H12"/>
      <c r="N12"/>
      <c r="O12"/>
    </row>
    <row r="13" spans="1:16" s="254" customFormat="1" ht="13.5" customHeight="1">
      <c r="A13" s="249" t="s">
        <v>198</v>
      </c>
      <c r="B13" s="49">
        <v>210</v>
      </c>
      <c r="C13" s="270">
        <v>153</v>
      </c>
      <c r="D13" s="50">
        <v>104.011</v>
      </c>
      <c r="E13" s="169">
        <v>55.021999999999991</v>
      </c>
      <c r="F13" s="169">
        <v>6</v>
      </c>
      <c r="G13"/>
      <c r="H13"/>
      <c r="N13"/>
      <c r="O13"/>
    </row>
    <row r="14" spans="1:16" s="254" customFormat="1" ht="15" customHeight="1">
      <c r="A14" s="211" t="s">
        <v>199</v>
      </c>
      <c r="B14" s="314">
        <v>7904</v>
      </c>
      <c r="C14" s="314">
        <v>7541</v>
      </c>
      <c r="D14" s="178">
        <v>7166.0110000000004</v>
      </c>
      <c r="E14" s="315">
        <v>6782.0219999999999</v>
      </c>
      <c r="F14" s="315">
        <v>6393</v>
      </c>
      <c r="G14"/>
      <c r="H14"/>
      <c r="N14"/>
      <c r="O14"/>
    </row>
    <row r="15" spans="1:16" s="254" customFormat="1" ht="15" customHeight="1">
      <c r="A15" s="211" t="s">
        <v>200</v>
      </c>
      <c r="B15" s="314">
        <v>-372</v>
      </c>
      <c r="C15" s="314">
        <v>-363</v>
      </c>
      <c r="D15" s="178">
        <v>-374.98899999999958</v>
      </c>
      <c r="E15" s="315">
        <v>-383.98900000000049</v>
      </c>
      <c r="F15" s="315">
        <v>-389.02199999999993</v>
      </c>
      <c r="G15"/>
      <c r="H15" s="39"/>
      <c r="N15"/>
      <c r="O15"/>
    </row>
    <row r="16" spans="1:16">
      <c r="A16"/>
      <c r="B16"/>
      <c r="C16"/>
      <c r="D16"/>
      <c r="E16"/>
      <c r="F16"/>
      <c r="J16"/>
    </row>
    <row r="17" spans="1:10">
      <c r="A17"/>
      <c r="B17"/>
      <c r="C17" s="35"/>
      <c r="D17" s="35"/>
      <c r="E17" s="35"/>
      <c r="F17" s="35"/>
      <c r="J17"/>
    </row>
    <row r="18" spans="1:10">
      <c r="A18"/>
      <c r="B18"/>
      <c r="C18"/>
      <c r="D18"/>
      <c r="E18"/>
      <c r="F18"/>
      <c r="J18"/>
    </row>
    <row r="19" spans="1:10">
      <c r="A19"/>
      <c r="B19"/>
      <c r="C19"/>
      <c r="D19"/>
      <c r="E19"/>
      <c r="F19"/>
      <c r="J19"/>
    </row>
  </sheetData>
  <mergeCells count="1">
    <mergeCell ref="B3:F3"/>
  </mergeCells>
  <pageMargins left="0.75" right="0.75" top="0.75" bottom="0.75" header="0.3" footer="0.3"/>
  <pageSetup scale="93" orientation="portrait" r:id="rId1"/>
  <headerFooter alignWithMargins="0">
    <oddFooter>&amp;L_x000D_&amp;1#&amp;"Calibri"&amp;11&amp;K000000 Classification: Public</oddFooter>
  </headerFooter>
  <ignoredErrors>
    <ignoredError sqref="B4:F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tabColor rgb="FFFFC000"/>
  </sheetPr>
  <dimension ref="A1:O41"/>
  <sheetViews>
    <sheetView showGridLines="0" zoomScaleNormal="100" zoomScaleSheetLayoutView="89" workbookViewId="0">
      <selection activeCell="E53" sqref="E53"/>
    </sheetView>
  </sheetViews>
  <sheetFormatPr defaultColWidth="8.5703125" defaultRowHeight="12"/>
  <cols>
    <col min="1" max="1" width="52.42578125" customWidth="1"/>
    <col min="2" max="7" width="8" customWidth="1"/>
  </cols>
  <sheetData>
    <row r="1" spans="1:15" ht="18.75">
      <c r="A1" s="316" t="s">
        <v>201</v>
      </c>
      <c r="B1" s="38"/>
      <c r="H1" s="222"/>
    </row>
    <row r="2" spans="1:15" ht="7.5" customHeight="1">
      <c r="A2" s="317"/>
      <c r="B2" s="318"/>
    </row>
    <row r="3" spans="1:15">
      <c r="A3" s="319"/>
      <c r="B3" s="558" t="s">
        <v>6</v>
      </c>
      <c r="C3" s="642" t="s">
        <v>285</v>
      </c>
      <c r="D3" s="642"/>
      <c r="E3" s="560" t="s">
        <v>325</v>
      </c>
      <c r="F3" s="558" t="s">
        <v>364</v>
      </c>
      <c r="G3" s="558" t="s">
        <v>365</v>
      </c>
    </row>
    <row r="4" spans="1:15">
      <c r="A4" s="320"/>
      <c r="B4" s="562" t="s">
        <v>7</v>
      </c>
      <c r="C4" s="562" t="s">
        <v>8</v>
      </c>
      <c r="D4" s="562" t="s">
        <v>9</v>
      </c>
      <c r="E4" s="563" t="s">
        <v>10</v>
      </c>
      <c r="F4" s="562" t="s">
        <v>11</v>
      </c>
      <c r="G4" s="562" t="s">
        <v>11</v>
      </c>
    </row>
    <row r="5" spans="1:15" ht="12.75" customHeight="1">
      <c r="A5" s="321" t="s">
        <v>202</v>
      </c>
      <c r="B5" s="322"/>
      <c r="C5" s="76"/>
      <c r="D5" s="76"/>
      <c r="E5" s="23"/>
      <c r="F5" s="38"/>
      <c r="G5" s="38"/>
    </row>
    <row r="6" spans="1:15" ht="12.75" customHeight="1">
      <c r="A6" s="323" t="s">
        <v>58</v>
      </c>
      <c r="B6" s="322">
        <v>-1892</v>
      </c>
      <c r="C6" s="38">
        <v>-906.77099999999996</v>
      </c>
      <c r="D6" s="113">
        <v>-2566.683</v>
      </c>
      <c r="E6" s="23">
        <v>-988.35599999999999</v>
      </c>
      <c r="F6" s="38">
        <v>-1228.174</v>
      </c>
      <c r="G6" s="38">
        <v>-1462.4010000000001</v>
      </c>
      <c r="H6" s="35"/>
      <c r="I6" s="35"/>
      <c r="J6" s="35"/>
      <c r="K6" s="35"/>
      <c r="L6" s="35"/>
      <c r="M6" s="35"/>
    </row>
    <row r="7" spans="1:15" ht="12.75" customHeight="1">
      <c r="A7" s="323" t="s">
        <v>131</v>
      </c>
      <c r="B7" s="38">
        <v>-337</v>
      </c>
      <c r="C7" s="38">
        <v>-266</v>
      </c>
      <c r="D7" s="113">
        <v>-284.834</v>
      </c>
      <c r="E7" s="23">
        <v>-284.94900000000001</v>
      </c>
      <c r="F7" s="38">
        <v>-352.6</v>
      </c>
      <c r="G7" s="38">
        <v>-409.596</v>
      </c>
      <c r="H7" s="35"/>
      <c r="I7" s="35"/>
      <c r="J7" s="35"/>
      <c r="K7" s="35"/>
      <c r="L7" s="35"/>
      <c r="M7" s="35"/>
    </row>
    <row r="8" spans="1:15" s="198" customFormat="1" ht="12.75" customHeight="1">
      <c r="A8" s="323" t="s">
        <v>65</v>
      </c>
      <c r="B8" s="324">
        <v>609</v>
      </c>
      <c r="C8" s="38">
        <v>-1051</v>
      </c>
      <c r="D8" s="113">
        <v>34.67</v>
      </c>
      <c r="E8" s="23">
        <v>-1053.8</v>
      </c>
      <c r="F8" s="38">
        <v>-1191.5940000000001</v>
      </c>
      <c r="G8" s="38">
        <v>-1349.8130000000001</v>
      </c>
      <c r="H8" s="35"/>
      <c r="I8" s="35"/>
      <c r="J8" s="35"/>
      <c r="K8" s="35"/>
      <c r="L8" s="35"/>
      <c r="M8" s="35"/>
    </row>
    <row r="9" spans="1:15" s="198" customFormat="1" ht="12.75" customHeight="1">
      <c r="A9" s="323" t="s">
        <v>203</v>
      </c>
      <c r="B9" s="325">
        <v>-174</v>
      </c>
      <c r="C9" s="38">
        <v>-118.69199999999999</v>
      </c>
      <c r="D9" s="113">
        <v>-300.62200000000001</v>
      </c>
      <c r="E9" s="23">
        <v>-99.570999999999998</v>
      </c>
      <c r="F9" s="38">
        <v>-112.684</v>
      </c>
      <c r="G9" s="38">
        <v>-133.46899999999999</v>
      </c>
      <c r="H9" s="35"/>
      <c r="I9" s="35"/>
      <c r="J9" s="35"/>
      <c r="K9" s="35"/>
      <c r="L9" s="35"/>
      <c r="M9" s="35"/>
    </row>
    <row r="10" spans="1:15" s="198" customFormat="1" ht="12.75" customHeight="1">
      <c r="A10" s="323" t="s">
        <v>204</v>
      </c>
      <c r="B10" s="325">
        <v>-87</v>
      </c>
      <c r="C10" s="38">
        <v>-62.317</v>
      </c>
      <c r="D10" s="140">
        <v>-172.143</v>
      </c>
      <c r="E10" s="23">
        <v>-56.167999999999999</v>
      </c>
      <c r="F10" s="38">
        <v>-64.453000000000003</v>
      </c>
      <c r="G10" s="38">
        <v>-76.391000000000005</v>
      </c>
      <c r="H10" s="35"/>
      <c r="I10" s="35"/>
      <c r="J10" s="35"/>
      <c r="K10" s="35"/>
      <c r="L10" s="35"/>
      <c r="M10" s="35"/>
    </row>
    <row r="11" spans="1:15" s="198" customFormat="1" ht="12.75" customHeight="1">
      <c r="A11" s="323" t="s">
        <v>205</v>
      </c>
      <c r="B11" s="325">
        <v>-83</v>
      </c>
      <c r="C11" s="38">
        <v>-72.307000000000002</v>
      </c>
      <c r="D11" s="140">
        <v>-162.178</v>
      </c>
      <c r="E11" s="23">
        <v>-65.688000000000002</v>
      </c>
      <c r="F11" s="38">
        <v>-74.299000000000007</v>
      </c>
      <c r="G11" s="38">
        <v>-85.572999999999993</v>
      </c>
      <c r="H11" s="35"/>
      <c r="I11" s="35"/>
      <c r="J11" s="35"/>
      <c r="K11" s="35"/>
      <c r="L11" s="35"/>
      <c r="M11" s="35"/>
    </row>
    <row r="12" spans="1:15" s="198" customFormat="1" ht="12.75" customHeight="1">
      <c r="A12" s="122" t="s">
        <v>206</v>
      </c>
      <c r="B12" s="324">
        <v>6</v>
      </c>
      <c r="C12" s="38">
        <v>-24</v>
      </c>
      <c r="D12" s="140">
        <v>5.5190000000000001</v>
      </c>
      <c r="E12" s="23">
        <v>12.753</v>
      </c>
      <c r="F12" s="38">
        <v>-6.3730000000000002</v>
      </c>
      <c r="G12" s="38">
        <v>14.272</v>
      </c>
      <c r="H12" s="35"/>
      <c r="I12" s="35"/>
      <c r="J12" s="35"/>
      <c r="K12" s="35"/>
      <c r="L12" s="35"/>
      <c r="M12" s="35"/>
      <c r="N12"/>
      <c r="O12"/>
    </row>
    <row r="13" spans="1:15" s="198" customFormat="1" ht="12.75" customHeight="1">
      <c r="A13" s="323" t="s">
        <v>207</v>
      </c>
      <c r="B13" s="325">
        <v>-9</v>
      </c>
      <c r="C13" s="38">
        <v>-16</v>
      </c>
      <c r="D13" s="140">
        <v>-13.04</v>
      </c>
      <c r="E13" s="23">
        <v>-15.055999999999999</v>
      </c>
      <c r="F13" s="38">
        <v>-18.263000000000002</v>
      </c>
      <c r="G13" s="38">
        <v>-18.585000000000001</v>
      </c>
      <c r="H13" s="35"/>
      <c r="I13" s="35"/>
      <c r="J13" s="35"/>
      <c r="K13" s="35"/>
      <c r="L13" s="35"/>
      <c r="M13" s="35"/>
    </row>
    <row r="14" spans="1:15" s="198" customFormat="1" ht="12.75" customHeight="1">
      <c r="A14" s="323" t="s">
        <v>185</v>
      </c>
      <c r="B14" s="325">
        <v>1637</v>
      </c>
      <c r="C14" s="38">
        <v>525</v>
      </c>
      <c r="D14" s="140">
        <v>599.12599999999998</v>
      </c>
      <c r="E14" s="23">
        <v>673.78700000000003</v>
      </c>
      <c r="F14" s="38">
        <v>278.71899999999999</v>
      </c>
      <c r="G14" s="38">
        <v>324.08699999999999</v>
      </c>
      <c r="H14" s="35"/>
      <c r="I14" s="35"/>
      <c r="J14" s="35"/>
      <c r="K14" s="35"/>
      <c r="L14" s="35"/>
      <c r="M14" s="35"/>
    </row>
    <row r="15" spans="1:15" s="198" customFormat="1" ht="12.75" customHeight="1">
      <c r="A15" s="323" t="s">
        <v>208</v>
      </c>
      <c r="B15" s="325">
        <v>-425</v>
      </c>
      <c r="C15" s="38">
        <v>-16</v>
      </c>
      <c r="D15" s="140">
        <v>-52.715000000000003</v>
      </c>
      <c r="E15" s="23">
        <v>0</v>
      </c>
      <c r="F15" s="38">
        <v>0</v>
      </c>
      <c r="G15" s="38">
        <v>0</v>
      </c>
      <c r="H15" s="35"/>
      <c r="I15" s="35"/>
      <c r="J15" s="35"/>
      <c r="K15" s="35"/>
      <c r="L15" s="35"/>
      <c r="M15" s="35"/>
    </row>
    <row r="16" spans="1:15" s="198" customFormat="1" ht="12.75" customHeight="1">
      <c r="A16" s="323" t="s">
        <v>132</v>
      </c>
      <c r="B16" s="324">
        <v>-160</v>
      </c>
      <c r="C16" s="324">
        <v>-65</v>
      </c>
      <c r="D16" s="326">
        <v>-61.323999999999998</v>
      </c>
      <c r="E16" s="327">
        <v>-57.39</v>
      </c>
      <c r="F16" s="324">
        <v>-53.131</v>
      </c>
      <c r="G16" s="324">
        <v>-56.127000000000002</v>
      </c>
      <c r="H16" s="35"/>
      <c r="I16" s="35"/>
      <c r="J16" s="35"/>
      <c r="K16" s="35"/>
      <c r="L16" s="35"/>
      <c r="M16" s="35"/>
    </row>
    <row r="17" spans="1:13" s="198" customFormat="1" ht="12.75" customHeight="1">
      <c r="A17" s="214" t="s">
        <v>94</v>
      </c>
      <c r="B17" s="192">
        <v>-57.296999999999997</v>
      </c>
      <c r="C17" s="192">
        <v>-26.795999999999999</v>
      </c>
      <c r="D17" s="180">
        <v>-21.367999999999999</v>
      </c>
      <c r="E17" s="234">
        <v>-14.07</v>
      </c>
      <c r="F17" s="192">
        <v>0.745</v>
      </c>
      <c r="G17" s="192">
        <v>-21.28</v>
      </c>
      <c r="H17" s="35"/>
      <c r="I17" s="35"/>
      <c r="J17" s="35"/>
      <c r="K17" s="35"/>
      <c r="L17" s="35"/>
      <c r="M17" s="35"/>
    </row>
    <row r="18" spans="1:13" s="330" customFormat="1" ht="15" customHeight="1">
      <c r="A18" s="328" t="s">
        <v>209</v>
      </c>
      <c r="B18" s="47">
        <v>-972.29700000000003</v>
      </c>
      <c r="C18" s="329">
        <v>-2099.8829999999998</v>
      </c>
      <c r="D18" s="329">
        <v>-2995.5929999999998</v>
      </c>
      <c r="E18" s="48">
        <v>-1948.509</v>
      </c>
      <c r="F18" s="47">
        <v>-2822.107</v>
      </c>
      <c r="G18" s="47">
        <v>-3274.8760000000002</v>
      </c>
      <c r="H18" s="35"/>
      <c r="I18" s="35"/>
      <c r="J18" s="35"/>
      <c r="K18" s="35"/>
      <c r="L18" s="35"/>
      <c r="M18" s="35"/>
    </row>
    <row r="19" spans="1:13" s="198" customFormat="1" ht="18" customHeight="1">
      <c r="A19" s="321" t="s">
        <v>210</v>
      </c>
      <c r="B19" s="278"/>
      <c r="C19" s="331"/>
      <c r="D19" s="331"/>
      <c r="E19" s="23"/>
      <c r="F19" s="38"/>
      <c r="G19" s="38"/>
      <c r="H19" s="35"/>
      <c r="I19" s="35"/>
      <c r="J19" s="35"/>
      <c r="K19" s="35"/>
      <c r="L19" s="35"/>
      <c r="M19" s="35"/>
    </row>
    <row r="20" spans="1:13" s="198" customFormat="1" ht="12.75" customHeight="1">
      <c r="A20" s="323" t="s">
        <v>211</v>
      </c>
      <c r="B20" s="278">
        <v>-6020.4</v>
      </c>
      <c r="C20" s="38">
        <v>-5876.7669999999998</v>
      </c>
      <c r="D20" s="180">
        <v>-6383</v>
      </c>
      <c r="E20" s="23">
        <v>-6243.2669999999998</v>
      </c>
      <c r="F20" s="38">
        <v>-6447</v>
      </c>
      <c r="G20" s="38">
        <v>-6554</v>
      </c>
      <c r="H20" s="35"/>
      <c r="I20" s="35"/>
      <c r="J20" s="35"/>
      <c r="K20" s="35"/>
      <c r="L20" s="35"/>
      <c r="M20" s="35"/>
    </row>
    <row r="21" spans="1:13" s="198" customFormat="1" ht="12.75" customHeight="1">
      <c r="A21" s="323" t="s">
        <v>212</v>
      </c>
      <c r="B21" s="278">
        <v>6643</v>
      </c>
      <c r="C21" s="38">
        <v>6895.2790000000005</v>
      </c>
      <c r="D21" s="180">
        <v>7224</v>
      </c>
      <c r="E21" s="23">
        <v>7328.1019999999999</v>
      </c>
      <c r="F21" s="38">
        <v>7390.0879999999997</v>
      </c>
      <c r="G21" s="38">
        <v>7209</v>
      </c>
      <c r="H21" s="35"/>
      <c r="I21" s="35"/>
      <c r="J21" s="35"/>
      <c r="K21" s="35"/>
      <c r="L21" s="35"/>
      <c r="M21" s="35"/>
    </row>
    <row r="22" spans="1:13" s="198" customFormat="1" ht="12.75" customHeight="1">
      <c r="A22" s="323" t="s">
        <v>213</v>
      </c>
      <c r="B22" s="278">
        <v>183.11500000000001</v>
      </c>
      <c r="C22" s="38">
        <v>-41.6</v>
      </c>
      <c r="D22" s="180">
        <v>-0.88100000000000001</v>
      </c>
      <c r="E22" s="23">
        <v>-71.525999999999996</v>
      </c>
      <c r="F22" s="38">
        <v>-75.165999999999997</v>
      </c>
      <c r="G22" s="38">
        <v>-77.980999999999995</v>
      </c>
      <c r="H22" s="35"/>
      <c r="I22" s="35"/>
      <c r="J22" s="35"/>
      <c r="K22" s="35"/>
      <c r="L22" s="35"/>
      <c r="M22" s="35"/>
    </row>
    <row r="23" spans="1:13" s="198" customFormat="1" ht="12.75" customHeight="1">
      <c r="A23" s="323" t="s">
        <v>214</v>
      </c>
      <c r="B23" s="325">
        <v>274</v>
      </c>
      <c r="C23" s="38">
        <v>549.005</v>
      </c>
      <c r="D23" s="140">
        <v>259.803</v>
      </c>
      <c r="E23" s="23">
        <v>-36.674999999999997</v>
      </c>
      <c r="F23" s="38">
        <v>31.224</v>
      </c>
      <c r="G23" s="38">
        <v>148.238</v>
      </c>
      <c r="H23" s="35"/>
      <c r="I23" s="35"/>
      <c r="J23" s="35"/>
      <c r="K23" s="35"/>
      <c r="L23" s="35"/>
      <c r="M23" s="35"/>
    </row>
    <row r="24" spans="1:13" s="198" customFormat="1" ht="12.75" customHeight="1">
      <c r="A24" s="323" t="s">
        <v>67</v>
      </c>
      <c r="B24" s="325">
        <v>-540</v>
      </c>
      <c r="C24" s="38">
        <v>-606.1</v>
      </c>
      <c r="D24" s="140">
        <v>-343.4</v>
      </c>
      <c r="E24" s="23">
        <v>-316.7</v>
      </c>
      <c r="F24" s="38">
        <v>-382.1</v>
      </c>
      <c r="G24" s="38">
        <v>-442</v>
      </c>
      <c r="H24" s="35"/>
      <c r="I24" s="35"/>
      <c r="J24" s="35"/>
      <c r="K24" s="35"/>
      <c r="L24" s="35"/>
      <c r="M24" s="35"/>
    </row>
    <row r="25" spans="1:13" s="198" customFormat="1" ht="12.75" customHeight="1">
      <c r="A25" s="323" t="s">
        <v>49</v>
      </c>
      <c r="B25" s="324">
        <v>921.67399999999998</v>
      </c>
      <c r="C25" s="38">
        <v>-350.94400000000002</v>
      </c>
      <c r="D25" s="140">
        <v>-807.68</v>
      </c>
      <c r="E25" s="23">
        <v>-426.971</v>
      </c>
      <c r="F25" s="38">
        <v>-274.91300000000001</v>
      </c>
      <c r="G25" s="38">
        <v>-378.80099999999999</v>
      </c>
      <c r="H25" s="35"/>
      <c r="I25" s="35"/>
      <c r="J25" s="35"/>
      <c r="K25" s="35"/>
      <c r="L25" s="35"/>
      <c r="M25" s="35"/>
    </row>
    <row r="26" spans="1:13" s="198" customFormat="1" ht="12.75" customHeight="1">
      <c r="A26" s="332" t="s">
        <v>215</v>
      </c>
      <c r="B26" s="38">
        <v>-7</v>
      </c>
      <c r="C26" s="38">
        <v>-20</v>
      </c>
      <c r="D26" s="180">
        <v>-1</v>
      </c>
      <c r="E26" s="23">
        <v>468</v>
      </c>
      <c r="F26" s="38">
        <v>0</v>
      </c>
      <c r="G26" s="38">
        <v>-26</v>
      </c>
      <c r="H26" s="35"/>
      <c r="I26" s="35"/>
      <c r="J26" s="35"/>
      <c r="K26" s="35"/>
      <c r="L26" s="35"/>
      <c r="M26" s="35"/>
    </row>
    <row r="27" spans="1:13" s="198" customFormat="1" ht="12.75" customHeight="1">
      <c r="A27" s="332" t="s">
        <v>216</v>
      </c>
      <c r="B27" s="38">
        <v>-6</v>
      </c>
      <c r="C27" s="38">
        <v>95</v>
      </c>
      <c r="D27" s="180">
        <v>-1</v>
      </c>
      <c r="E27" s="23">
        <v>98</v>
      </c>
      <c r="F27" s="38">
        <v>0</v>
      </c>
      <c r="G27" s="38">
        <v>0</v>
      </c>
      <c r="H27" s="35"/>
      <c r="I27" s="35"/>
      <c r="J27" s="35"/>
      <c r="K27" s="35"/>
      <c r="L27" s="35"/>
      <c r="M27" s="35"/>
    </row>
    <row r="28" spans="1:13" s="198" customFormat="1" ht="12.75" customHeight="1">
      <c r="A28" s="332" t="s">
        <v>217</v>
      </c>
      <c r="B28" s="38">
        <v>-372</v>
      </c>
      <c r="C28" s="38">
        <v>-364</v>
      </c>
      <c r="D28" s="180">
        <v>-363</v>
      </c>
      <c r="E28" s="23">
        <v>-374.98899999999998</v>
      </c>
      <c r="F28" s="38">
        <v>-383.98899999999998</v>
      </c>
      <c r="G28" s="38">
        <v>-388.98899999999998</v>
      </c>
      <c r="H28" s="35"/>
      <c r="I28" s="35"/>
      <c r="J28" s="35"/>
      <c r="K28" s="35"/>
      <c r="L28" s="35"/>
      <c r="M28" s="35"/>
    </row>
    <row r="29" spans="1:13" s="198" customFormat="1" ht="12.75" customHeight="1">
      <c r="A29" s="323" t="s">
        <v>340</v>
      </c>
      <c r="B29" s="38">
        <v>-157</v>
      </c>
      <c r="C29" s="38">
        <v>-234</v>
      </c>
      <c r="D29" s="140">
        <v>-232.99199999999999</v>
      </c>
      <c r="E29" s="23">
        <v>-199.048</v>
      </c>
      <c r="F29" s="38">
        <v>-465.14400000000001</v>
      </c>
      <c r="G29" s="38">
        <v>-438.73</v>
      </c>
      <c r="H29" s="35"/>
      <c r="I29" s="35"/>
      <c r="J29" s="35"/>
      <c r="K29" s="35"/>
      <c r="L29" s="35"/>
      <c r="M29" s="35"/>
    </row>
    <row r="30" spans="1:13" s="198" customFormat="1" ht="12.75" customHeight="1">
      <c r="A30" s="333" t="s">
        <v>339</v>
      </c>
      <c r="B30" s="38">
        <v>361</v>
      </c>
      <c r="C30" s="38">
        <v>233</v>
      </c>
      <c r="D30" s="180">
        <v>350.61099999999999</v>
      </c>
      <c r="E30" s="23">
        <v>307.81799999999998</v>
      </c>
      <c r="F30" s="38">
        <v>592.64700000000005</v>
      </c>
      <c r="G30" s="38">
        <v>580.79100000000005</v>
      </c>
      <c r="H30" s="35"/>
      <c r="I30" s="35"/>
      <c r="J30" s="35"/>
      <c r="K30" s="35"/>
      <c r="L30" s="35"/>
      <c r="M30" s="35"/>
    </row>
    <row r="31" spans="1:13" s="330" customFormat="1" ht="15" customHeight="1">
      <c r="A31" s="328" t="s">
        <v>218</v>
      </c>
      <c r="B31" s="47">
        <v>1280.3889999999999</v>
      </c>
      <c r="C31" s="47">
        <v>278.87299999999999</v>
      </c>
      <c r="D31" s="329">
        <v>-298.53899999999999</v>
      </c>
      <c r="E31" s="48">
        <v>532.74400000000003</v>
      </c>
      <c r="F31" s="47">
        <v>-14.353</v>
      </c>
      <c r="G31" s="47">
        <v>-368.47199999999998</v>
      </c>
      <c r="H31" s="35"/>
      <c r="I31" s="35"/>
      <c r="J31" s="35"/>
      <c r="K31" s="35"/>
      <c r="L31" s="35"/>
      <c r="M31" s="35"/>
    </row>
    <row r="32" spans="1:13" s="330" customFormat="1" ht="18" customHeight="1">
      <c r="A32" s="321" t="s">
        <v>50</v>
      </c>
      <c r="B32" s="22"/>
      <c r="C32" s="33"/>
      <c r="D32" s="33"/>
      <c r="E32" s="18"/>
      <c r="F32" s="22"/>
      <c r="G32" s="22"/>
      <c r="H32" s="35"/>
      <c r="I32" s="35"/>
      <c r="J32" s="35"/>
      <c r="K32" s="35"/>
      <c r="L32" s="35"/>
      <c r="M32" s="35"/>
    </row>
    <row r="33" spans="1:13" s="330" customFormat="1" ht="12.75" customHeight="1">
      <c r="A33" s="332" t="s">
        <v>219</v>
      </c>
      <c r="B33" s="17">
        <v>-3581</v>
      </c>
      <c r="C33" s="17">
        <v>-4323</v>
      </c>
      <c r="D33" s="140">
        <v>-3819.884</v>
      </c>
      <c r="E33" s="18">
        <v>-4013.1869999999999</v>
      </c>
      <c r="F33" s="17">
        <v>-4499.8419999999996</v>
      </c>
      <c r="G33" s="17">
        <v>-4863.6459999999997</v>
      </c>
      <c r="H33" s="35"/>
      <c r="I33" s="35"/>
      <c r="J33" s="35"/>
      <c r="K33" s="35"/>
      <c r="L33" s="35"/>
      <c r="M33" s="35"/>
    </row>
    <row r="34" spans="1:13" s="330" customFormat="1" ht="12.75" customHeight="1">
      <c r="A34" s="332" t="s">
        <v>540</v>
      </c>
      <c r="B34" s="17">
        <v>0</v>
      </c>
      <c r="C34" s="17">
        <v>800</v>
      </c>
      <c r="D34" s="140">
        <v>500</v>
      </c>
      <c r="E34" s="18">
        <v>800</v>
      </c>
      <c r="F34" s="17">
        <v>800</v>
      </c>
      <c r="G34" s="17">
        <v>700</v>
      </c>
      <c r="H34" s="35"/>
      <c r="I34" s="35"/>
      <c r="J34" s="35"/>
      <c r="K34" s="35"/>
      <c r="L34" s="35"/>
      <c r="M34" s="35"/>
    </row>
    <row r="35" spans="1:13" s="330" customFormat="1" ht="12.75" customHeight="1">
      <c r="A35" s="323" t="s">
        <v>220</v>
      </c>
      <c r="B35" s="324">
        <v>-92</v>
      </c>
      <c r="C35" s="38">
        <v>-98</v>
      </c>
      <c r="D35" s="140">
        <v>-98.448999999999998</v>
      </c>
      <c r="E35" s="23">
        <v>-103.101</v>
      </c>
      <c r="F35" s="38">
        <v>-107.746</v>
      </c>
      <c r="G35" s="38">
        <v>-112.313</v>
      </c>
      <c r="H35" s="35"/>
      <c r="I35" s="35"/>
      <c r="J35" s="35"/>
      <c r="K35" s="35"/>
      <c r="L35" s="35"/>
      <c r="M35" s="35"/>
    </row>
    <row r="36" spans="1:13" s="330" customFormat="1" ht="12.75" customHeight="1">
      <c r="A36" s="332" t="s">
        <v>55</v>
      </c>
      <c r="B36" s="140">
        <v>64</v>
      </c>
      <c r="C36" s="17">
        <v>1</v>
      </c>
      <c r="D36" s="140">
        <v>0.57599999999999996</v>
      </c>
      <c r="E36" s="18">
        <v>0</v>
      </c>
      <c r="F36" s="17">
        <v>0</v>
      </c>
      <c r="G36" s="140">
        <v>0</v>
      </c>
      <c r="H36" s="35"/>
      <c r="I36" s="35"/>
      <c r="J36" s="35"/>
      <c r="K36" s="35"/>
      <c r="L36" s="35"/>
      <c r="M36" s="35"/>
    </row>
    <row r="37" spans="1:13" s="330" customFormat="1" ht="12.75" customHeight="1">
      <c r="A37" s="323" t="s">
        <v>341</v>
      </c>
      <c r="B37" s="38">
        <v>1212</v>
      </c>
      <c r="C37" s="38">
        <v>1362.8219999999999</v>
      </c>
      <c r="D37" s="180">
        <v>1352.5</v>
      </c>
      <c r="E37" s="23">
        <v>1401.7170000000001</v>
      </c>
      <c r="F37" s="38">
        <v>1484.6790000000001</v>
      </c>
      <c r="G37" s="38">
        <v>1505.8409999999999</v>
      </c>
      <c r="H37" s="35"/>
      <c r="I37" s="35"/>
      <c r="J37" s="35"/>
      <c r="K37" s="35"/>
      <c r="L37" s="35"/>
      <c r="M37" s="35"/>
    </row>
    <row r="38" spans="1:13" s="330" customFormat="1" ht="12.75" customHeight="1">
      <c r="A38" s="323" t="s">
        <v>221</v>
      </c>
      <c r="B38" s="38">
        <v>0</v>
      </c>
      <c r="C38" s="38">
        <v>0</v>
      </c>
      <c r="D38" s="180">
        <v>0</v>
      </c>
      <c r="E38" s="23">
        <v>0</v>
      </c>
      <c r="F38" s="38">
        <v>0</v>
      </c>
      <c r="G38" s="38">
        <v>0</v>
      </c>
      <c r="H38" s="35"/>
      <c r="I38" s="35"/>
      <c r="J38" s="35"/>
      <c r="K38" s="35"/>
      <c r="L38" s="35"/>
      <c r="M38" s="35"/>
    </row>
    <row r="39" spans="1:13" s="198" customFormat="1" ht="15" customHeight="1" thickBot="1">
      <c r="A39" s="334" t="s">
        <v>222</v>
      </c>
      <c r="B39" s="30">
        <v>-2397</v>
      </c>
      <c r="C39" s="203">
        <v>-2257.1779999999999</v>
      </c>
      <c r="D39" s="203">
        <v>-2065.2570000000001</v>
      </c>
      <c r="E39" s="31">
        <v>-1914.5709999999999</v>
      </c>
      <c r="F39" s="30">
        <v>-2322.9090000000001</v>
      </c>
      <c r="G39" s="30">
        <v>-2770.1179999999999</v>
      </c>
      <c r="H39" s="35"/>
      <c r="I39" s="35"/>
      <c r="J39" s="35"/>
      <c r="K39" s="35"/>
      <c r="L39" s="35"/>
      <c r="M39" s="35"/>
    </row>
    <row r="40" spans="1:13" s="198" customFormat="1" ht="15" customHeight="1" thickBot="1">
      <c r="A40" s="323" t="s">
        <v>395</v>
      </c>
      <c r="B40" s="440">
        <v>0</v>
      </c>
      <c r="C40" s="556">
        <v>100</v>
      </c>
      <c r="D40" s="556">
        <v>100</v>
      </c>
      <c r="E40" s="470">
        <v>100</v>
      </c>
      <c r="F40" s="462">
        <v>100</v>
      </c>
      <c r="G40" s="462">
        <v>100</v>
      </c>
      <c r="H40" s="35"/>
      <c r="I40" s="35"/>
      <c r="J40" s="35"/>
      <c r="K40" s="35"/>
      <c r="L40" s="35"/>
      <c r="M40" s="35"/>
    </row>
    <row r="41" spans="1:13" s="198" customFormat="1" ht="15" customHeight="1" thickBot="1">
      <c r="A41" s="364" t="s">
        <v>390</v>
      </c>
      <c r="B41" s="440">
        <v>-2088.9079999999999</v>
      </c>
      <c r="C41" s="440">
        <v>-3978.1880000000001</v>
      </c>
      <c r="D41" s="440">
        <v>-5259.3890000000001</v>
      </c>
      <c r="E41" s="461">
        <v>-3230.335</v>
      </c>
      <c r="F41" s="440">
        <v>-5059.3680000000004</v>
      </c>
      <c r="G41" s="440">
        <v>-6313.4660000000003</v>
      </c>
      <c r="H41" s="35"/>
      <c r="I41" s="35"/>
      <c r="J41" s="35"/>
      <c r="K41" s="35"/>
      <c r="L41" s="35"/>
      <c r="M41" s="35"/>
    </row>
  </sheetData>
  <mergeCells count="1">
    <mergeCell ref="C3:D3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tabColor rgb="FFFFC000"/>
  </sheetPr>
  <dimension ref="A1:J66"/>
  <sheetViews>
    <sheetView showGridLines="0" zoomScaleNormal="100" zoomScaleSheetLayoutView="95" workbookViewId="0">
      <selection activeCell="K19" sqref="K19"/>
    </sheetView>
  </sheetViews>
  <sheetFormatPr defaultColWidth="9" defaultRowHeight="11.25"/>
  <cols>
    <col min="1" max="1" width="52.42578125" style="39" customWidth="1"/>
    <col min="2" max="2" width="8" style="38" customWidth="1"/>
    <col min="3" max="7" width="8" style="39" customWidth="1"/>
    <col min="8" max="16384" width="9" style="39"/>
  </cols>
  <sheetData>
    <row r="1" spans="1:7" ht="18.75">
      <c r="A1" s="1" t="s">
        <v>168</v>
      </c>
    </row>
    <row r="2" spans="1:7">
      <c r="A2" s="40" t="s">
        <v>1</v>
      </c>
    </row>
    <row r="3" spans="1:7">
      <c r="B3" s="82"/>
      <c r="C3" s="222"/>
      <c r="D3" s="222"/>
    </row>
    <row r="4" spans="1:7" s="223" customFormat="1" ht="12" customHeight="1">
      <c r="A4" s="6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</row>
    <row r="5" spans="1:7" s="223" customFormat="1" ht="12" customHeight="1">
      <c r="A5" s="9"/>
      <c r="B5" s="562" t="s">
        <v>7</v>
      </c>
      <c r="C5" s="562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</row>
    <row r="6" spans="1:7" s="164" customFormat="1" ht="15" customHeight="1">
      <c r="A6" s="253" t="s">
        <v>95</v>
      </c>
      <c r="B6" s="282">
        <v>574.76099999999997</v>
      </c>
      <c r="C6" s="282">
        <v>436.92500000000001</v>
      </c>
      <c r="D6" s="447">
        <v>434.25399999999985</v>
      </c>
      <c r="E6" s="283">
        <v>501.49699999999996</v>
      </c>
      <c r="F6" s="282">
        <v>543.18299999999988</v>
      </c>
      <c r="G6" s="282">
        <v>484.18299999999994</v>
      </c>
    </row>
    <row r="7" spans="1:7" s="164" customFormat="1" ht="12.75" customHeight="1">
      <c r="A7" s="253" t="s">
        <v>327</v>
      </c>
      <c r="B7" s="17">
        <v>7.6049999999999995</v>
      </c>
      <c r="C7" s="460">
        <v>7.1750000000000007</v>
      </c>
      <c r="D7" s="282">
        <v>7.1750000000000007</v>
      </c>
      <c r="E7" s="283">
        <v>7.6750000000000007</v>
      </c>
      <c r="F7" s="282">
        <v>7.6750000000000007</v>
      </c>
      <c r="G7" s="282">
        <v>8.9250000000000007</v>
      </c>
    </row>
    <row r="8" spans="1:7" s="164" customFormat="1" ht="12.75" customHeight="1">
      <c r="A8" s="255" t="s">
        <v>328</v>
      </c>
      <c r="B8" s="17">
        <v>30.737000000000002</v>
      </c>
      <c r="C8" s="460">
        <v>96.717000000000013</v>
      </c>
      <c r="D8" s="447">
        <v>115.863</v>
      </c>
      <c r="E8" s="18">
        <v>99.27</v>
      </c>
      <c r="F8" s="17">
        <v>107.193</v>
      </c>
      <c r="G8" s="17">
        <v>43.777000000000008</v>
      </c>
    </row>
    <row r="9" spans="1:7" s="164" customFormat="1" ht="12.75" customHeight="1">
      <c r="A9" s="253" t="s">
        <v>379</v>
      </c>
      <c r="B9" s="17">
        <v>124.121</v>
      </c>
      <c r="C9" s="460">
        <v>97.710999999999999</v>
      </c>
      <c r="D9" s="447">
        <v>97.765999999999991</v>
      </c>
      <c r="E9" s="18">
        <v>63.125</v>
      </c>
      <c r="F9" s="17">
        <v>43.418000000000006</v>
      </c>
      <c r="G9" s="17">
        <v>62.678000000000004</v>
      </c>
    </row>
    <row r="10" spans="1:7" s="164" customFormat="1" ht="12.75" customHeight="1">
      <c r="A10" s="253" t="s">
        <v>371</v>
      </c>
      <c r="B10" s="17">
        <v>6.4849999999999994</v>
      </c>
      <c r="C10" s="460">
        <v>2.597</v>
      </c>
      <c r="D10" s="447">
        <v>6.7889999999999988</v>
      </c>
      <c r="E10" s="18">
        <v>1.31</v>
      </c>
      <c r="F10" s="282">
        <v>0</v>
      </c>
      <c r="G10" s="282">
        <v>0</v>
      </c>
    </row>
    <row r="11" spans="1:7" s="164" customFormat="1" ht="12.75" customHeight="1">
      <c r="A11" s="253" t="s">
        <v>96</v>
      </c>
      <c r="B11" s="282">
        <v>773.24200000000008</v>
      </c>
      <c r="C11" s="460">
        <v>945.88300000000004</v>
      </c>
      <c r="D11" s="447">
        <v>878.63400000000001</v>
      </c>
      <c r="E11" s="283">
        <v>1042.9000000000003</v>
      </c>
      <c r="F11" s="282">
        <v>1092.4880000000005</v>
      </c>
      <c r="G11" s="282">
        <v>1152.162</v>
      </c>
    </row>
    <row r="12" spans="1:7" s="164" customFormat="1" ht="12.75" customHeight="1">
      <c r="A12" s="253" t="s">
        <v>372</v>
      </c>
      <c r="B12" s="282">
        <v>144.36600000000001</v>
      </c>
      <c r="C12" s="460">
        <v>228.20600000000002</v>
      </c>
      <c r="D12" s="447">
        <v>181.03</v>
      </c>
      <c r="E12" s="283">
        <v>232.279</v>
      </c>
      <c r="F12" s="282">
        <v>75.926000000000002</v>
      </c>
      <c r="G12" s="282">
        <v>78.295000000000002</v>
      </c>
    </row>
    <row r="13" spans="1:7" s="164" customFormat="1" ht="12.75" customHeight="1">
      <c r="A13" s="255" t="s">
        <v>330</v>
      </c>
      <c r="B13" s="282">
        <v>103.7287324</v>
      </c>
      <c r="C13" s="460">
        <v>106.649</v>
      </c>
      <c r="D13" s="447">
        <v>60.271999999999998</v>
      </c>
      <c r="E13" s="283">
        <v>96.848000000000013</v>
      </c>
      <c r="F13" s="282">
        <v>75.275999999999996</v>
      </c>
      <c r="G13" s="282">
        <v>59.369</v>
      </c>
    </row>
    <row r="14" spans="1:7" s="164" customFormat="1" ht="12.75" customHeight="1">
      <c r="A14" s="253" t="s">
        <v>373</v>
      </c>
      <c r="B14" s="282">
        <v>75.097999999999999</v>
      </c>
      <c r="C14" s="460">
        <v>139.679</v>
      </c>
      <c r="D14" s="447">
        <v>116.30500000000001</v>
      </c>
      <c r="E14" s="283">
        <v>107.014</v>
      </c>
      <c r="F14" s="282">
        <v>108.078</v>
      </c>
      <c r="G14" s="282">
        <v>77.89200000000001</v>
      </c>
    </row>
    <row r="15" spans="1:7" s="164" customFormat="1" ht="12.75" customHeight="1">
      <c r="A15" s="253" t="s">
        <v>98</v>
      </c>
      <c r="B15" s="282">
        <v>338.34640978999994</v>
      </c>
      <c r="C15" s="460">
        <v>399.91899999999998</v>
      </c>
      <c r="D15" s="447">
        <v>390.78800000000001</v>
      </c>
      <c r="E15" s="283">
        <v>444.49900000000002</v>
      </c>
      <c r="F15" s="282">
        <v>429.95100000000002</v>
      </c>
      <c r="G15" s="282">
        <v>581.58199999999999</v>
      </c>
    </row>
    <row r="16" spans="1:7" s="164" customFormat="1" ht="12.75" customHeight="1">
      <c r="A16" s="253" t="s">
        <v>99</v>
      </c>
      <c r="B16" s="282">
        <v>10.909000000000001</v>
      </c>
      <c r="C16" s="460">
        <v>10.025</v>
      </c>
      <c r="D16" s="447">
        <v>18.433999999999997</v>
      </c>
      <c r="E16" s="283">
        <v>10.025</v>
      </c>
      <c r="F16" s="282">
        <v>10.025</v>
      </c>
      <c r="G16" s="282">
        <v>10.025</v>
      </c>
    </row>
    <row r="17" spans="1:10" s="164" customFormat="1" ht="12.75" customHeight="1">
      <c r="A17" s="253" t="s">
        <v>100</v>
      </c>
      <c r="B17" s="282">
        <v>746.41200000000003</v>
      </c>
      <c r="C17" s="460">
        <v>1186.4450000000002</v>
      </c>
      <c r="D17" s="447">
        <v>805.08400000000006</v>
      </c>
      <c r="E17" s="283">
        <v>1075.925</v>
      </c>
      <c r="F17" s="282">
        <v>1111.5239999999999</v>
      </c>
      <c r="G17" s="282">
        <v>1256.557</v>
      </c>
    </row>
    <row r="18" spans="1:10" s="164" customFormat="1" ht="12.75" customHeight="1">
      <c r="A18" s="253" t="s">
        <v>375</v>
      </c>
      <c r="B18" s="282">
        <v>14.319000000000001</v>
      </c>
      <c r="C18" s="460">
        <v>24.65</v>
      </c>
      <c r="D18" s="447">
        <v>35.147999999999996</v>
      </c>
      <c r="E18" s="283">
        <v>16.149999999999999</v>
      </c>
      <c r="F18" s="282">
        <v>7.15</v>
      </c>
      <c r="G18" s="282">
        <v>2.15</v>
      </c>
    </row>
    <row r="19" spans="1:10" s="164" customFormat="1" ht="12.75" customHeight="1">
      <c r="A19" s="253" t="s">
        <v>331</v>
      </c>
      <c r="B19" s="282">
        <v>22.740292999999998</v>
      </c>
      <c r="C19" s="460">
        <v>14.119</v>
      </c>
      <c r="D19" s="447">
        <v>14.119</v>
      </c>
      <c r="E19" s="283">
        <v>17.599</v>
      </c>
      <c r="F19" s="282">
        <v>13.818999999999999</v>
      </c>
      <c r="G19" s="282">
        <v>9.6189999999999998</v>
      </c>
    </row>
    <row r="20" spans="1:10" s="164" customFormat="1" ht="12.75" customHeight="1">
      <c r="A20" s="253" t="s">
        <v>332</v>
      </c>
      <c r="B20" s="282">
        <v>25.968</v>
      </c>
      <c r="C20" s="460">
        <v>139.982</v>
      </c>
      <c r="D20" s="447">
        <v>135.792</v>
      </c>
      <c r="E20" s="283">
        <v>128.82400000000001</v>
      </c>
      <c r="F20" s="447">
        <v>4.0250000000000004</v>
      </c>
      <c r="G20" s="282">
        <v>0</v>
      </c>
    </row>
    <row r="21" spans="1:10" s="164" customFormat="1" ht="12.75" customHeight="1">
      <c r="A21" s="253" t="s">
        <v>101</v>
      </c>
      <c r="B21" s="553">
        <v>765.024</v>
      </c>
      <c r="C21" s="460">
        <v>1049.845</v>
      </c>
      <c r="D21" s="447">
        <v>1059.4459999999999</v>
      </c>
      <c r="E21" s="283">
        <v>1130.5650000000001</v>
      </c>
      <c r="F21" s="282">
        <v>1102.3509999999999</v>
      </c>
      <c r="G21" s="282">
        <v>1195.999</v>
      </c>
    </row>
    <row r="22" spans="1:10" s="164" customFormat="1" ht="12.75" customHeight="1">
      <c r="A22" s="255" t="s">
        <v>333</v>
      </c>
      <c r="B22" s="282">
        <v>7.1559999999999997</v>
      </c>
      <c r="C22" s="460">
        <v>12.3</v>
      </c>
      <c r="D22" s="447">
        <v>16.823</v>
      </c>
      <c r="E22" s="283">
        <v>31.475999999999999</v>
      </c>
      <c r="F22" s="282">
        <v>14.555</v>
      </c>
      <c r="G22" s="282">
        <v>6.3950000000000005</v>
      </c>
    </row>
    <row r="23" spans="1:10" s="164" customFormat="1" ht="12.75" customHeight="1">
      <c r="A23" s="255" t="s">
        <v>329</v>
      </c>
      <c r="B23" s="282">
        <v>137.34199999999998</v>
      </c>
      <c r="C23" s="460">
        <v>444.05499999999995</v>
      </c>
      <c r="D23" s="447">
        <v>373.971</v>
      </c>
      <c r="E23" s="283">
        <v>531.95900000000006</v>
      </c>
      <c r="F23" s="282">
        <v>655.95999999999992</v>
      </c>
      <c r="G23" s="282">
        <v>747.24800000000005</v>
      </c>
      <c r="H23" s="39"/>
      <c r="I23" s="39"/>
      <c r="J23" s="39"/>
    </row>
    <row r="24" spans="1:10" s="164" customFormat="1" ht="12.75" customHeight="1">
      <c r="A24" s="255" t="s">
        <v>334</v>
      </c>
      <c r="B24" s="282">
        <v>33.703830000000004</v>
      </c>
      <c r="C24" s="460">
        <v>64.447000000000003</v>
      </c>
      <c r="D24" s="447">
        <v>44.847000000000001</v>
      </c>
      <c r="E24" s="283">
        <v>72.33</v>
      </c>
      <c r="F24" s="282">
        <v>66.42</v>
      </c>
      <c r="G24" s="282">
        <v>45.019999999999996</v>
      </c>
      <c r="H24" s="39"/>
      <c r="I24" s="39"/>
      <c r="J24" s="39"/>
    </row>
    <row r="25" spans="1:10" ht="12.75" customHeight="1">
      <c r="A25" s="255" t="s">
        <v>335</v>
      </c>
      <c r="B25" s="282">
        <v>128.24700000000001</v>
      </c>
      <c r="C25" s="460">
        <v>232.88499999999999</v>
      </c>
      <c r="D25" s="447">
        <v>203.93900000000002</v>
      </c>
      <c r="E25" s="283">
        <v>282.31899999999996</v>
      </c>
      <c r="F25" s="282">
        <v>334.68299999999999</v>
      </c>
      <c r="G25" s="282">
        <v>80.956000000000003</v>
      </c>
    </row>
    <row r="26" spans="1:10" ht="12.75" customHeight="1">
      <c r="A26" s="255" t="s">
        <v>376</v>
      </c>
      <c r="B26" s="282">
        <v>0</v>
      </c>
      <c r="C26" s="460">
        <v>10.025</v>
      </c>
      <c r="D26" s="447">
        <v>10.025</v>
      </c>
      <c r="E26" s="283">
        <v>15.025</v>
      </c>
      <c r="F26" s="282">
        <v>10.025</v>
      </c>
      <c r="G26" s="282">
        <v>10.025</v>
      </c>
      <c r="H26" s="164"/>
      <c r="I26" s="164"/>
      <c r="J26" s="164"/>
    </row>
    <row r="27" spans="1:10" ht="12.75" customHeight="1">
      <c r="A27" s="255" t="s">
        <v>336</v>
      </c>
      <c r="B27" s="282">
        <v>2210.9916350000003</v>
      </c>
      <c r="C27" s="460">
        <v>2628.9830000000002</v>
      </c>
      <c r="D27" s="447">
        <v>2640.56</v>
      </c>
      <c r="E27" s="283">
        <v>2717.5210000000006</v>
      </c>
      <c r="F27" s="282">
        <v>2850.1819999999998</v>
      </c>
      <c r="G27" s="282">
        <v>2907.5280000000002</v>
      </c>
      <c r="H27" s="164"/>
      <c r="I27" s="164"/>
      <c r="J27" s="164"/>
    </row>
    <row r="28" spans="1:10" s="164" customFormat="1" ht="12.75" customHeight="1">
      <c r="A28" s="253" t="s">
        <v>103</v>
      </c>
      <c r="B28" s="282">
        <v>17.631</v>
      </c>
      <c r="C28" s="460">
        <v>18.36</v>
      </c>
      <c r="D28" s="447">
        <v>15.606</v>
      </c>
      <c r="E28" s="283">
        <v>9.17</v>
      </c>
      <c r="F28" s="282">
        <v>9.4400000000000031</v>
      </c>
      <c r="G28" s="282">
        <v>9.4600000000000026</v>
      </c>
    </row>
    <row r="29" spans="1:10" s="164" customFormat="1" ht="12.75" customHeight="1">
      <c r="A29" s="253" t="s">
        <v>169</v>
      </c>
      <c r="B29" s="282">
        <v>0.67900000000000005</v>
      </c>
      <c r="C29" s="460">
        <v>1.5</v>
      </c>
      <c r="D29" s="447">
        <v>1.4980000000000004</v>
      </c>
      <c r="E29" s="283">
        <v>3.915</v>
      </c>
      <c r="F29" s="282">
        <v>2.7080000000000002</v>
      </c>
      <c r="G29" s="282">
        <v>1.45</v>
      </c>
    </row>
    <row r="30" spans="1:10" s="164" customFormat="1" ht="15" customHeight="1" thickBot="1">
      <c r="A30" s="29" t="s">
        <v>46</v>
      </c>
      <c r="B30" s="170">
        <v>6299.6129001899999</v>
      </c>
      <c r="C30" s="52">
        <v>8299.0820000000022</v>
      </c>
      <c r="D30" s="284">
        <v>7665.1679999999997</v>
      </c>
      <c r="E30" s="171">
        <v>8639.2200000000012</v>
      </c>
      <c r="F30" s="52">
        <v>8676.0550000000003</v>
      </c>
      <c r="G30" s="52">
        <v>8831.2950000000001</v>
      </c>
    </row>
    <row r="31" spans="1:10" s="164" customFormat="1" ht="12" hidden="1" customHeight="1"/>
    <row r="32" spans="1:10" s="164" customFormat="1" ht="12" hidden="1" customHeight="1"/>
    <row r="33" spans="3:7" hidden="1"/>
    <row r="34" spans="3:7" hidden="1"/>
    <row r="36" spans="3:7">
      <c r="C36" s="38"/>
      <c r="D36" s="38"/>
      <c r="E36" s="38"/>
      <c r="F36" s="38"/>
      <c r="G36" s="38"/>
    </row>
    <row r="37" spans="3:7">
      <c r="C37" s="38"/>
      <c r="D37" s="38"/>
      <c r="E37" s="38"/>
      <c r="F37" s="38"/>
      <c r="G37" s="38"/>
    </row>
    <row r="38" spans="3:7">
      <c r="C38" s="38"/>
      <c r="D38" s="38"/>
      <c r="E38" s="38"/>
      <c r="F38" s="38"/>
      <c r="G38" s="38"/>
    </row>
    <row r="39" spans="3:7">
      <c r="C39" s="38"/>
      <c r="D39" s="38"/>
      <c r="E39" s="38"/>
      <c r="F39" s="38"/>
      <c r="G39" s="38"/>
    </row>
    <row r="40" spans="3:7">
      <c r="C40" s="38"/>
      <c r="D40" s="38"/>
      <c r="E40" s="38"/>
      <c r="F40" s="38"/>
      <c r="G40" s="38"/>
    </row>
    <row r="41" spans="3:7">
      <c r="C41" s="38"/>
      <c r="D41" s="38"/>
      <c r="E41" s="38"/>
      <c r="F41" s="38"/>
      <c r="G41" s="38"/>
    </row>
    <row r="42" spans="3:7">
      <c r="C42" s="38"/>
      <c r="D42" s="38"/>
      <c r="E42" s="38"/>
      <c r="F42" s="38"/>
      <c r="G42" s="38"/>
    </row>
    <row r="43" spans="3:7">
      <c r="C43" s="38"/>
      <c r="D43" s="38"/>
      <c r="E43" s="38"/>
      <c r="F43" s="38"/>
      <c r="G43" s="38"/>
    </row>
    <row r="44" spans="3:7">
      <c r="C44" s="38"/>
      <c r="D44" s="38"/>
      <c r="E44" s="38"/>
      <c r="F44" s="38"/>
      <c r="G44" s="38"/>
    </row>
    <row r="45" spans="3:7">
      <c r="C45" s="38"/>
      <c r="D45" s="38"/>
      <c r="E45" s="38"/>
      <c r="F45" s="38"/>
      <c r="G45" s="38"/>
    </row>
    <row r="46" spans="3:7">
      <c r="C46" s="38"/>
      <c r="D46" s="38"/>
      <c r="E46" s="38"/>
      <c r="F46" s="38"/>
      <c r="G46" s="38"/>
    </row>
    <row r="47" spans="3:7">
      <c r="C47" s="38"/>
      <c r="D47" s="38"/>
      <c r="E47" s="38"/>
      <c r="F47" s="38"/>
      <c r="G47" s="38"/>
    </row>
    <row r="48" spans="3:7">
      <c r="C48" s="38"/>
      <c r="D48" s="38"/>
      <c r="E48" s="38"/>
      <c r="F48" s="38"/>
      <c r="G48" s="38"/>
    </row>
    <row r="49" spans="3:7">
      <c r="C49" s="38"/>
      <c r="D49" s="38"/>
      <c r="E49" s="38"/>
      <c r="F49" s="38"/>
      <c r="G49" s="38"/>
    </row>
    <row r="50" spans="3:7">
      <c r="C50" s="38"/>
      <c r="D50" s="38"/>
      <c r="E50" s="38"/>
      <c r="F50" s="38"/>
      <c r="G50" s="38"/>
    </row>
    <row r="51" spans="3:7">
      <c r="C51" s="38"/>
      <c r="D51" s="38"/>
      <c r="E51" s="38"/>
      <c r="F51" s="38"/>
      <c r="G51" s="38"/>
    </row>
    <row r="52" spans="3:7">
      <c r="C52" s="38"/>
      <c r="D52" s="38"/>
      <c r="E52" s="38"/>
      <c r="F52" s="38"/>
      <c r="G52" s="38"/>
    </row>
    <row r="53" spans="3:7">
      <c r="C53" s="38"/>
      <c r="D53" s="38"/>
      <c r="E53" s="38"/>
      <c r="F53" s="38"/>
      <c r="G53" s="38"/>
    </row>
    <row r="54" spans="3:7">
      <c r="C54" s="38"/>
      <c r="D54" s="38"/>
      <c r="E54" s="38"/>
      <c r="F54" s="38"/>
      <c r="G54" s="38"/>
    </row>
    <row r="55" spans="3:7">
      <c r="C55" s="38"/>
      <c r="D55" s="38"/>
      <c r="E55" s="38"/>
      <c r="F55" s="38"/>
      <c r="G55" s="38"/>
    </row>
    <row r="56" spans="3:7">
      <c r="C56" s="38"/>
      <c r="D56" s="38"/>
      <c r="E56" s="38"/>
      <c r="F56" s="38"/>
      <c r="G56" s="38"/>
    </row>
    <row r="57" spans="3:7">
      <c r="C57" s="38"/>
      <c r="D57" s="38"/>
      <c r="E57" s="38"/>
      <c r="F57" s="38"/>
      <c r="G57" s="38"/>
    </row>
    <row r="58" spans="3:7">
      <c r="C58" s="38"/>
      <c r="D58" s="38"/>
      <c r="E58" s="38"/>
      <c r="F58" s="38"/>
      <c r="G58" s="38"/>
    </row>
    <row r="59" spans="3:7">
      <c r="C59" s="38"/>
      <c r="D59" s="38"/>
      <c r="E59" s="38"/>
      <c r="F59" s="38"/>
      <c r="G59" s="38"/>
    </row>
    <row r="60" spans="3:7">
      <c r="C60" s="38"/>
      <c r="D60" s="38"/>
      <c r="E60" s="38"/>
      <c r="F60" s="38"/>
      <c r="G60" s="38"/>
    </row>
    <row r="61" spans="3:7">
      <c r="C61" s="38"/>
      <c r="D61" s="38"/>
      <c r="E61" s="38"/>
      <c r="F61" s="38"/>
      <c r="G61" s="38"/>
    </row>
    <row r="62" spans="3:7">
      <c r="C62" s="38"/>
      <c r="D62" s="38"/>
      <c r="E62" s="38"/>
      <c r="F62" s="38"/>
      <c r="G62" s="38"/>
    </row>
    <row r="63" spans="3:7">
      <c r="C63" s="38"/>
      <c r="D63" s="38"/>
      <c r="E63" s="38"/>
      <c r="F63" s="38"/>
      <c r="G63" s="38"/>
    </row>
    <row r="64" spans="3:7">
      <c r="C64" s="38"/>
      <c r="D64" s="38"/>
      <c r="E64" s="38"/>
      <c r="F64" s="38"/>
      <c r="G64" s="38"/>
    </row>
    <row r="65" spans="3:7">
      <c r="C65" s="38"/>
      <c r="D65" s="38"/>
      <c r="E65" s="38"/>
      <c r="F65" s="38"/>
      <c r="G65" s="38"/>
    </row>
    <row r="66" spans="3:7">
      <c r="C66" s="38"/>
      <c r="D66" s="38"/>
      <c r="E66" s="38"/>
      <c r="F66" s="38"/>
      <c r="G66" s="38"/>
    </row>
  </sheetData>
  <mergeCells count="1">
    <mergeCell ref="C4:D4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C000"/>
  </sheetPr>
  <dimension ref="A1:Q49"/>
  <sheetViews>
    <sheetView showGridLines="0" zoomScaleNormal="100" zoomScaleSheetLayoutView="100" workbookViewId="0">
      <selection activeCell="F52" sqref="F52"/>
    </sheetView>
  </sheetViews>
  <sheetFormatPr defaultColWidth="9" defaultRowHeight="11.25"/>
  <cols>
    <col min="1" max="1" width="52.42578125" style="39" customWidth="1"/>
    <col min="2" max="2" width="8" style="38" customWidth="1"/>
    <col min="3" max="7" width="8" style="39" customWidth="1"/>
    <col min="8" max="16384" width="9" style="39"/>
  </cols>
  <sheetData>
    <row r="1" spans="1:10" ht="15.75">
      <c r="A1" s="1" t="s">
        <v>170</v>
      </c>
      <c r="H1" s="222"/>
    </row>
    <row r="2" spans="1:10">
      <c r="A2" s="40" t="s">
        <v>1</v>
      </c>
    </row>
    <row r="3" spans="1:10">
      <c r="B3" s="82"/>
      <c r="C3" s="222"/>
      <c r="D3" s="222"/>
    </row>
    <row r="4" spans="1:10" s="223" customFormat="1" ht="12" customHeight="1">
      <c r="A4" s="6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</row>
    <row r="5" spans="1:10" s="223" customFormat="1" ht="12" customHeight="1">
      <c r="A5" s="9"/>
      <c r="B5" s="562" t="s">
        <v>7</v>
      </c>
      <c r="C5" s="562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</row>
    <row r="6" spans="1:10" ht="3.75" customHeight="1">
      <c r="A6" s="251"/>
      <c r="B6" s="278"/>
      <c r="C6" s="77"/>
      <c r="D6" s="77"/>
      <c r="E6" s="277"/>
    </row>
    <row r="7" spans="1:10" ht="12.75" customHeight="1">
      <c r="A7" s="253" t="s">
        <v>327</v>
      </c>
      <c r="B7" s="89">
        <v>6.9249999999999998</v>
      </c>
      <c r="C7" s="89">
        <v>6.4</v>
      </c>
      <c r="D7" s="89">
        <v>6.4</v>
      </c>
      <c r="E7" s="23">
        <v>6.4</v>
      </c>
      <c r="F7" s="38">
        <v>6.4</v>
      </c>
      <c r="G7" s="38">
        <v>6.4</v>
      </c>
      <c r="H7" s="38"/>
      <c r="J7" s="164"/>
    </row>
    <row r="8" spans="1:10" s="164" customFormat="1" ht="12.75" customHeight="1">
      <c r="A8" s="253" t="s">
        <v>328</v>
      </c>
      <c r="B8" s="89">
        <v>21.032</v>
      </c>
      <c r="C8" s="89">
        <v>87.162000000000006</v>
      </c>
      <c r="D8" s="89">
        <v>87.162000000000006</v>
      </c>
      <c r="E8" s="283">
        <v>85.100999999999999</v>
      </c>
      <c r="F8" s="282">
        <v>100.607</v>
      </c>
      <c r="G8" s="282">
        <v>39.304000000000002</v>
      </c>
      <c r="H8" s="17"/>
    </row>
    <row r="9" spans="1:10" s="164" customFormat="1" ht="12.75" customHeight="1">
      <c r="A9" s="253" t="s">
        <v>379</v>
      </c>
      <c r="B9" s="89">
        <v>122.71</v>
      </c>
      <c r="C9" s="89">
        <v>95.38</v>
      </c>
      <c r="D9" s="89">
        <v>96.334999999999994</v>
      </c>
      <c r="E9" s="283">
        <v>60.793999999999997</v>
      </c>
      <c r="F9" s="282">
        <v>41.087000000000003</v>
      </c>
      <c r="G9" s="282">
        <v>60.347000000000001</v>
      </c>
      <c r="H9" s="17"/>
    </row>
    <row r="10" spans="1:10" s="164" customFormat="1" ht="12.75" customHeight="1">
      <c r="A10" s="253" t="s">
        <v>371</v>
      </c>
      <c r="B10" s="89">
        <v>3.55</v>
      </c>
      <c r="C10" s="89">
        <v>0</v>
      </c>
      <c r="D10" s="89">
        <v>0</v>
      </c>
      <c r="E10" s="23">
        <v>0</v>
      </c>
      <c r="F10" s="38">
        <v>0</v>
      </c>
      <c r="G10" s="38">
        <v>0</v>
      </c>
      <c r="H10" s="17"/>
    </row>
    <row r="11" spans="1:10" s="164" customFormat="1" ht="12.75" customHeight="1">
      <c r="A11" s="253" t="s">
        <v>96</v>
      </c>
      <c r="B11" s="89">
        <v>18.292000000000002</v>
      </c>
      <c r="C11" s="89">
        <v>26.077000000000002</v>
      </c>
      <c r="D11" s="89">
        <v>9.8800000000000008</v>
      </c>
      <c r="E11" s="23">
        <v>11.477</v>
      </c>
      <c r="F11" s="38">
        <v>0.77700000000000002</v>
      </c>
      <c r="G11" s="38">
        <v>0.77700000000000002</v>
      </c>
      <c r="H11" s="17"/>
    </row>
    <row r="12" spans="1:10" s="164" customFormat="1" ht="12.75" customHeight="1">
      <c r="A12" s="253" t="s">
        <v>372</v>
      </c>
      <c r="B12" s="89">
        <v>129.709</v>
      </c>
      <c r="C12" s="89">
        <v>212.22800000000001</v>
      </c>
      <c r="D12" s="89">
        <v>164.52500000000001</v>
      </c>
      <c r="E12" s="283">
        <v>217.279</v>
      </c>
      <c r="F12" s="282">
        <v>60.926000000000002</v>
      </c>
      <c r="G12" s="282">
        <v>68.795000000000002</v>
      </c>
      <c r="H12" s="17"/>
    </row>
    <row r="13" spans="1:10" s="164" customFormat="1" ht="12.75" customHeight="1">
      <c r="A13" s="253" t="s">
        <v>330</v>
      </c>
      <c r="B13" s="89">
        <v>84.19</v>
      </c>
      <c r="C13" s="89">
        <v>41.082000000000001</v>
      </c>
      <c r="D13" s="89">
        <v>45.716999999999999</v>
      </c>
      <c r="E13" s="283">
        <v>51.6</v>
      </c>
      <c r="F13" s="282">
        <v>40.1</v>
      </c>
      <c r="G13" s="282">
        <v>40.1</v>
      </c>
      <c r="H13" s="17"/>
    </row>
    <row r="14" spans="1:10" s="164" customFormat="1" ht="12.75" customHeight="1">
      <c r="A14" s="253" t="s">
        <v>373</v>
      </c>
      <c r="B14" s="89">
        <v>0.86299999999999999</v>
      </c>
      <c r="C14" s="89">
        <v>11.534000000000001</v>
      </c>
      <c r="D14" s="89">
        <v>3.7749999999999999</v>
      </c>
      <c r="E14" s="283">
        <v>0.5</v>
      </c>
      <c r="F14" s="282">
        <v>0.5</v>
      </c>
      <c r="G14" s="282">
        <v>0.5</v>
      </c>
      <c r="H14" s="17"/>
      <c r="J14" s="39"/>
    </row>
    <row r="15" spans="1:10" s="164" customFormat="1" ht="12.75" customHeight="1">
      <c r="A15" s="253" t="s">
        <v>99</v>
      </c>
      <c r="B15" s="89">
        <v>10.874000000000001</v>
      </c>
      <c r="C15" s="89">
        <v>10</v>
      </c>
      <c r="D15" s="89">
        <v>17.408999999999999</v>
      </c>
      <c r="E15" s="283">
        <v>10</v>
      </c>
      <c r="F15" s="282">
        <v>10</v>
      </c>
      <c r="G15" s="282">
        <v>10</v>
      </c>
      <c r="H15" s="17"/>
      <c r="J15" s="39"/>
    </row>
    <row r="16" spans="1:10" ht="12.75" customHeight="1">
      <c r="A16" s="253" t="s">
        <v>100</v>
      </c>
      <c r="B16" s="89">
        <v>2.4529999999999998</v>
      </c>
      <c r="C16" s="89">
        <v>0</v>
      </c>
      <c r="D16" s="89">
        <v>34.744</v>
      </c>
      <c r="E16" s="283">
        <v>4</v>
      </c>
      <c r="F16" s="282">
        <v>15</v>
      </c>
      <c r="G16" s="282">
        <v>34.9</v>
      </c>
      <c r="H16" s="38"/>
    </row>
    <row r="17" spans="1:17" ht="12.75" customHeight="1">
      <c r="A17" s="253" t="s">
        <v>375</v>
      </c>
      <c r="B17" s="89">
        <v>0</v>
      </c>
      <c r="C17" s="89">
        <v>10</v>
      </c>
      <c r="D17" s="89">
        <v>10</v>
      </c>
      <c r="E17" s="283">
        <v>8</v>
      </c>
      <c r="F17" s="282">
        <v>0</v>
      </c>
      <c r="G17" s="282">
        <v>0</v>
      </c>
      <c r="H17" s="38"/>
      <c r="J17" s="164"/>
    </row>
    <row r="18" spans="1:17" ht="12.75" customHeight="1">
      <c r="A18" s="253" t="s">
        <v>332</v>
      </c>
      <c r="B18" s="89">
        <v>25.968</v>
      </c>
      <c r="C18" s="89">
        <v>134.95699999999999</v>
      </c>
      <c r="D18" s="89">
        <v>125.767</v>
      </c>
      <c r="E18" s="283">
        <v>112.199</v>
      </c>
      <c r="F18" s="282">
        <v>0</v>
      </c>
      <c r="G18" s="282">
        <v>0</v>
      </c>
      <c r="H18" s="38"/>
      <c r="J18" s="164"/>
    </row>
    <row r="19" spans="1:17" ht="12.75" customHeight="1">
      <c r="A19" s="253" t="s">
        <v>101</v>
      </c>
      <c r="B19" s="89">
        <v>764.51599999999996</v>
      </c>
      <c r="C19" s="89">
        <v>1049.1010000000001</v>
      </c>
      <c r="D19" s="89">
        <v>1058.482</v>
      </c>
      <c r="E19" s="283">
        <v>1128.8579999999999</v>
      </c>
      <c r="F19" s="282">
        <v>1101.1759999999999</v>
      </c>
      <c r="G19" s="282">
        <v>1194.6400000000001</v>
      </c>
      <c r="H19" s="38"/>
      <c r="J19" s="164"/>
    </row>
    <row r="20" spans="1:17" ht="12.75" customHeight="1">
      <c r="A20" s="253" t="s">
        <v>333</v>
      </c>
      <c r="B20" s="89">
        <v>0</v>
      </c>
      <c r="C20" s="89">
        <v>0</v>
      </c>
      <c r="D20" s="89">
        <v>0.78</v>
      </c>
      <c r="E20" s="283">
        <v>8.1359999999999992</v>
      </c>
      <c r="F20" s="282">
        <v>4.3070000000000004</v>
      </c>
      <c r="G20" s="282">
        <v>1.4950000000000001</v>
      </c>
      <c r="H20" s="38"/>
      <c r="J20" s="164"/>
      <c r="K20" s="164"/>
      <c r="L20" s="164"/>
      <c r="M20" s="164"/>
      <c r="N20" s="164"/>
      <c r="O20" s="164"/>
      <c r="P20" s="164"/>
      <c r="Q20" s="164"/>
    </row>
    <row r="21" spans="1:17" s="164" customFormat="1" ht="12.75" customHeight="1">
      <c r="A21" s="253" t="s">
        <v>329</v>
      </c>
      <c r="B21" s="89">
        <v>61.543999999999997</v>
      </c>
      <c r="C21" s="89">
        <v>403.19399999999996</v>
      </c>
      <c r="D21" s="89">
        <v>318.37400000000002</v>
      </c>
      <c r="E21" s="283">
        <v>476.25400000000002</v>
      </c>
      <c r="F21" s="282">
        <v>616.76599999999996</v>
      </c>
      <c r="G21" s="282">
        <v>701.01300000000003</v>
      </c>
      <c r="H21" s="17"/>
    </row>
    <row r="22" spans="1:17" s="164" customFormat="1" ht="12.75" customHeight="1">
      <c r="A22" s="253" t="s">
        <v>335</v>
      </c>
      <c r="B22" s="89">
        <v>31.44</v>
      </c>
      <c r="C22" s="89">
        <v>98.3</v>
      </c>
      <c r="D22" s="89">
        <v>57.7</v>
      </c>
      <c r="E22" s="283">
        <v>106.2</v>
      </c>
      <c r="F22" s="282">
        <v>194.47900000000001</v>
      </c>
      <c r="G22" s="282">
        <v>0</v>
      </c>
      <c r="H22" s="17"/>
    </row>
    <row r="23" spans="1:17" s="164" customFormat="1" ht="12.75" customHeight="1">
      <c r="A23" s="253" t="s">
        <v>376</v>
      </c>
      <c r="B23" s="89">
        <v>0</v>
      </c>
      <c r="C23" s="89">
        <v>10</v>
      </c>
      <c r="D23" s="89">
        <v>10</v>
      </c>
      <c r="E23" s="283">
        <v>15</v>
      </c>
      <c r="F23" s="282">
        <v>10</v>
      </c>
      <c r="G23" s="282">
        <v>10</v>
      </c>
      <c r="H23" s="17"/>
    </row>
    <row r="24" spans="1:17" s="164" customFormat="1" ht="12.75" customHeight="1">
      <c r="A24" s="253" t="s">
        <v>336</v>
      </c>
      <c r="B24" s="89">
        <v>818.78899999999999</v>
      </c>
      <c r="C24" s="89">
        <v>1273.386</v>
      </c>
      <c r="D24" s="89">
        <v>1246.598</v>
      </c>
      <c r="E24" s="283">
        <v>1150.579</v>
      </c>
      <c r="F24" s="282">
        <v>1484.0429999999999</v>
      </c>
      <c r="G24" s="282">
        <v>1307.4780000000001</v>
      </c>
      <c r="H24" s="17"/>
    </row>
    <row r="25" spans="1:17" s="164" customFormat="1" ht="15" customHeight="1" thickBot="1">
      <c r="A25" s="29" t="s">
        <v>171</v>
      </c>
      <c r="B25" s="52">
        <v>2102.855</v>
      </c>
      <c r="C25" s="52">
        <v>3468.8009999999999</v>
      </c>
      <c r="D25" s="52">
        <v>3293.6480000000001</v>
      </c>
      <c r="E25" s="171">
        <v>3452.3769999999995</v>
      </c>
      <c r="F25" s="52">
        <v>3686.1679999999997</v>
      </c>
      <c r="G25" s="52">
        <v>3475.7490000000003</v>
      </c>
      <c r="H25" s="17"/>
    </row>
    <row r="26" spans="1:17" s="164" customFormat="1" ht="12" customHeight="1">
      <c r="A26" s="17"/>
      <c r="B26" s="17"/>
      <c r="C26" s="17"/>
      <c r="D26" s="17"/>
      <c r="E26" s="17"/>
      <c r="F26" s="17"/>
      <c r="G26" s="17"/>
      <c r="H26" s="17"/>
    </row>
    <row r="27" spans="1:17" s="164" customFormat="1" ht="12" customHeight="1">
      <c r="A27"/>
    </row>
    <row r="28" spans="1:17" ht="12">
      <c r="A28"/>
      <c r="B28"/>
      <c r="C28"/>
      <c r="D28"/>
      <c r="E28"/>
      <c r="F28"/>
      <c r="H28" s="38"/>
    </row>
    <row r="29" spans="1:17" ht="12">
      <c r="A29"/>
      <c r="C29" s="38"/>
      <c r="D29" s="38"/>
      <c r="E29" s="38"/>
      <c r="F29" s="38"/>
      <c r="G29" s="38"/>
      <c r="H29" s="38"/>
    </row>
    <row r="30" spans="1:17" ht="12">
      <c r="A30"/>
      <c r="C30" s="38"/>
      <c r="D30" s="38"/>
      <c r="E30" s="38"/>
      <c r="F30" s="38"/>
      <c r="G30" s="38"/>
      <c r="H30" s="38"/>
    </row>
    <row r="31" spans="1:17" ht="12">
      <c r="A31"/>
      <c r="C31" s="38"/>
      <c r="D31" s="38"/>
      <c r="E31" s="38"/>
      <c r="F31" s="38"/>
      <c r="G31" s="38"/>
      <c r="H31" s="38"/>
    </row>
    <row r="32" spans="1:17" ht="12">
      <c r="A32"/>
      <c r="C32" s="38"/>
      <c r="D32" s="38"/>
      <c r="E32" s="38"/>
      <c r="F32" s="38"/>
      <c r="G32" s="38"/>
      <c r="H32" s="38"/>
    </row>
    <row r="33" spans="1:8" ht="12">
      <c r="A33"/>
      <c r="C33" s="38"/>
      <c r="D33" s="38"/>
      <c r="E33" s="38"/>
      <c r="F33" s="38"/>
      <c r="G33" s="38"/>
      <c r="H33" s="38"/>
    </row>
    <row r="34" spans="1:8">
      <c r="A34" s="38"/>
      <c r="C34" s="38"/>
      <c r="D34" s="38"/>
      <c r="E34" s="38"/>
      <c r="F34" s="38"/>
      <c r="G34" s="38"/>
      <c r="H34" s="38"/>
    </row>
    <row r="35" spans="1:8">
      <c r="C35" s="38"/>
      <c r="D35" s="38"/>
      <c r="E35" s="38"/>
      <c r="F35" s="38"/>
      <c r="G35" s="38"/>
      <c r="H35" s="38"/>
    </row>
    <row r="36" spans="1:8" ht="12">
      <c r="A36"/>
      <c r="C36" s="38"/>
      <c r="D36" s="38"/>
      <c r="E36" s="38"/>
      <c r="F36" s="38"/>
      <c r="G36" s="38"/>
      <c r="H36"/>
    </row>
    <row r="37" spans="1:8" ht="12">
      <c r="A37"/>
      <c r="C37" s="38"/>
      <c r="D37" s="38"/>
      <c r="E37" s="38"/>
      <c r="F37" s="38"/>
      <c r="G37" s="38"/>
      <c r="H37"/>
    </row>
    <row r="38" spans="1:8" ht="12">
      <c r="A38"/>
      <c r="C38" s="38"/>
      <c r="D38" s="38"/>
      <c r="E38" s="38"/>
      <c r="F38" s="38"/>
      <c r="G38" s="38"/>
      <c r="H38"/>
    </row>
    <row r="39" spans="1:8" ht="12">
      <c r="A39"/>
      <c r="C39" s="38"/>
      <c r="D39" s="38"/>
      <c r="E39" s="38"/>
      <c r="F39" s="38"/>
      <c r="G39" s="38"/>
      <c r="H39"/>
    </row>
    <row r="40" spans="1:8" ht="12">
      <c r="A40"/>
      <c r="C40" s="38"/>
      <c r="D40" s="38"/>
      <c r="E40" s="38"/>
      <c r="F40" s="38"/>
      <c r="G40" s="38"/>
      <c r="H40"/>
    </row>
    <row r="41" spans="1:8" ht="12">
      <c r="A41"/>
      <c r="C41" s="38"/>
      <c r="D41" s="38"/>
      <c r="E41" s="38"/>
      <c r="F41" s="38"/>
      <c r="G41" s="38"/>
      <c r="H41"/>
    </row>
    <row r="42" spans="1:8" ht="12">
      <c r="A42"/>
      <c r="C42" s="38"/>
      <c r="D42" s="38"/>
      <c r="E42" s="38"/>
      <c r="F42" s="38"/>
      <c r="G42" s="38"/>
      <c r="H42"/>
    </row>
    <row r="43" spans="1:8" ht="12">
      <c r="A43"/>
      <c r="C43" s="38"/>
      <c r="D43" s="38"/>
      <c r="E43" s="38"/>
      <c r="F43" s="38"/>
      <c r="G43" s="38"/>
      <c r="H43"/>
    </row>
    <row r="44" spans="1:8" ht="12">
      <c r="A44"/>
      <c r="C44" s="38"/>
      <c r="D44" s="38"/>
      <c r="E44" s="38"/>
      <c r="F44" s="38"/>
      <c r="G44" s="38"/>
      <c r="H44"/>
    </row>
    <row r="45" spans="1:8" ht="12">
      <c r="A45"/>
      <c r="C45" s="38"/>
      <c r="D45" s="38"/>
      <c r="E45" s="38"/>
      <c r="F45" s="38"/>
      <c r="G45" s="38"/>
      <c r="H45"/>
    </row>
    <row r="46" spans="1:8" ht="12">
      <c r="A46"/>
      <c r="C46" s="38"/>
      <c r="D46" s="38"/>
      <c r="E46" s="38"/>
      <c r="F46" s="38"/>
      <c r="G46" s="38"/>
      <c r="H46"/>
    </row>
    <row r="47" spans="1:8" ht="12">
      <c r="A47"/>
      <c r="C47" s="38"/>
      <c r="D47" s="38"/>
      <c r="E47" s="38"/>
      <c r="F47" s="38"/>
      <c r="G47" s="38"/>
      <c r="H47"/>
    </row>
    <row r="48" spans="1:8" ht="12">
      <c r="A48"/>
      <c r="B48"/>
      <c r="C48"/>
      <c r="D48"/>
      <c r="E48"/>
      <c r="F48"/>
      <c r="G48"/>
      <c r="H48"/>
    </row>
    <row r="49" spans="1:8" ht="12">
      <c r="A49"/>
      <c r="B49"/>
      <c r="C49"/>
      <c r="D49"/>
      <c r="E49"/>
      <c r="F49"/>
      <c r="G49"/>
      <c r="H49"/>
    </row>
  </sheetData>
  <mergeCells count="1">
    <mergeCell ref="C4:D4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>
    <tabColor rgb="FFFFC000"/>
  </sheetPr>
  <dimension ref="A1:O57"/>
  <sheetViews>
    <sheetView showGridLines="0" zoomScaleNormal="100" zoomScaleSheetLayoutView="124" workbookViewId="0">
      <selection activeCell="J14" sqref="J14"/>
    </sheetView>
  </sheetViews>
  <sheetFormatPr defaultColWidth="9" defaultRowHeight="11.25"/>
  <cols>
    <col min="1" max="1" width="52.5703125" style="39" customWidth="1"/>
    <col min="2" max="2" width="8" style="38" customWidth="1"/>
    <col min="3" max="6" width="8" style="39" customWidth="1"/>
    <col min="7" max="7" width="8" style="578" customWidth="1"/>
    <col min="8" max="16384" width="9" style="39"/>
  </cols>
  <sheetData>
    <row r="1" spans="1:15" ht="15.75">
      <c r="A1" s="1" t="s">
        <v>172</v>
      </c>
      <c r="H1" s="222"/>
    </row>
    <row r="2" spans="1:15">
      <c r="A2" s="40" t="s">
        <v>1</v>
      </c>
    </row>
    <row r="3" spans="1:15">
      <c r="B3" s="82"/>
      <c r="C3" s="222"/>
      <c r="D3" s="222"/>
    </row>
    <row r="4" spans="1:15" s="223" customFormat="1" ht="12" customHeight="1">
      <c r="A4" s="6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622" t="s">
        <v>365</v>
      </c>
    </row>
    <row r="5" spans="1:15" s="223" customFormat="1" ht="12" customHeight="1">
      <c r="A5" s="9"/>
      <c r="B5" s="562" t="s">
        <v>7</v>
      </c>
      <c r="C5" s="562" t="s">
        <v>8</v>
      </c>
      <c r="D5" s="562" t="s">
        <v>9</v>
      </c>
      <c r="E5" s="563" t="s">
        <v>10</v>
      </c>
      <c r="F5" s="562" t="s">
        <v>11</v>
      </c>
      <c r="G5" s="613" t="s">
        <v>11</v>
      </c>
    </row>
    <row r="6" spans="1:15" ht="3.75" customHeight="1">
      <c r="A6" s="251"/>
      <c r="B6" s="278"/>
      <c r="C6" s="77"/>
      <c r="D6" s="77"/>
      <c r="E6" s="277"/>
    </row>
    <row r="7" spans="1:15" s="164" customFormat="1" ht="12.75" customHeight="1">
      <c r="A7" s="253" t="s">
        <v>95</v>
      </c>
      <c r="B7" s="458">
        <v>574.76099999999997</v>
      </c>
      <c r="C7" s="591">
        <v>436.92500000000001</v>
      </c>
      <c r="D7" s="169">
        <v>434.25399999999985</v>
      </c>
      <c r="E7" s="18">
        <v>501.49699999999996</v>
      </c>
      <c r="F7" s="17">
        <v>543.18299999999988</v>
      </c>
      <c r="G7" s="614">
        <v>484.18299999999994</v>
      </c>
      <c r="M7" s="17"/>
      <c r="N7" s="17"/>
      <c r="O7" s="17"/>
    </row>
    <row r="8" spans="1:15" s="164" customFormat="1" ht="12.75" customHeight="1">
      <c r="A8" s="253" t="s">
        <v>327</v>
      </c>
      <c r="B8" s="458">
        <v>0.68</v>
      </c>
      <c r="C8" s="591">
        <v>0.77500000000000002</v>
      </c>
      <c r="D8" s="169">
        <v>0.77500000000000002</v>
      </c>
      <c r="E8" s="18">
        <v>1.2749999999999999</v>
      </c>
      <c r="F8" s="17">
        <v>1.2749999999999999</v>
      </c>
      <c r="G8" s="614">
        <v>2.5249999999999999</v>
      </c>
      <c r="M8" s="17"/>
      <c r="N8" s="17"/>
      <c r="O8" s="17"/>
    </row>
    <row r="9" spans="1:15" s="164" customFormat="1" ht="12.75" customHeight="1">
      <c r="A9" s="255" t="s">
        <v>328</v>
      </c>
      <c r="B9" s="458">
        <v>9.7050000000000001</v>
      </c>
      <c r="C9" s="591">
        <v>9.5549999999999997</v>
      </c>
      <c r="D9" s="169">
        <v>28.701000000000001</v>
      </c>
      <c r="E9" s="18">
        <v>14.168999999999997</v>
      </c>
      <c r="F9" s="17">
        <v>6.5860000000000021</v>
      </c>
      <c r="G9" s="614">
        <v>4.4730000000000043</v>
      </c>
      <c r="M9" s="17"/>
      <c r="N9" s="17"/>
      <c r="O9" s="17"/>
    </row>
    <row r="10" spans="1:15" s="164" customFormat="1" ht="12.75" customHeight="1">
      <c r="A10" s="253" t="s">
        <v>379</v>
      </c>
      <c r="B10" s="458">
        <v>1.411</v>
      </c>
      <c r="C10" s="592">
        <v>2.331</v>
      </c>
      <c r="D10" s="169">
        <v>1.4309999999999998</v>
      </c>
      <c r="E10" s="18">
        <v>2.331</v>
      </c>
      <c r="F10" s="17">
        <v>2.331</v>
      </c>
      <c r="G10" s="614">
        <v>2.3559999999999999</v>
      </c>
      <c r="M10" s="17"/>
      <c r="N10" s="17"/>
      <c r="O10" s="17"/>
    </row>
    <row r="11" spans="1:15" s="164" customFormat="1" ht="12.75" customHeight="1">
      <c r="A11" s="253" t="s">
        <v>371</v>
      </c>
      <c r="B11" s="458">
        <v>2.9350000000000001</v>
      </c>
      <c r="C11" s="591">
        <v>2.597</v>
      </c>
      <c r="D11" s="169">
        <v>6.7889999999999988</v>
      </c>
      <c r="E11" s="286">
        <v>1.31</v>
      </c>
      <c r="F11" s="285">
        <v>0</v>
      </c>
      <c r="G11" s="285">
        <v>0</v>
      </c>
      <c r="M11" s="17"/>
      <c r="N11" s="17"/>
      <c r="O11" s="17"/>
    </row>
    <row r="12" spans="1:15" s="164" customFormat="1" ht="12.75" customHeight="1">
      <c r="A12" s="253" t="s">
        <v>96</v>
      </c>
      <c r="B12" s="458">
        <v>754.95</v>
      </c>
      <c r="C12" s="592">
        <v>919.80600000000004</v>
      </c>
      <c r="D12" s="169">
        <v>868.75400000000002</v>
      </c>
      <c r="E12" s="286">
        <v>1031.4230000000002</v>
      </c>
      <c r="F12" s="285">
        <v>1091.7110000000005</v>
      </c>
      <c r="G12" s="623">
        <v>1151.385</v>
      </c>
      <c r="M12" s="17"/>
      <c r="N12" s="17"/>
      <c r="O12" s="17"/>
    </row>
    <row r="13" spans="1:15" s="164" customFormat="1" ht="12.75" customHeight="1">
      <c r="A13" s="253" t="s">
        <v>372</v>
      </c>
      <c r="B13" s="458">
        <v>14.657</v>
      </c>
      <c r="C13" s="592">
        <v>15.978</v>
      </c>
      <c r="D13" s="169">
        <v>16.504999999999999</v>
      </c>
      <c r="E13" s="286">
        <v>15</v>
      </c>
      <c r="F13" s="285">
        <v>15</v>
      </c>
      <c r="G13" s="623">
        <v>9.5</v>
      </c>
      <c r="M13" s="17"/>
      <c r="N13" s="17"/>
      <c r="O13" s="17"/>
    </row>
    <row r="14" spans="1:15" ht="12.75" customHeight="1">
      <c r="A14" s="255" t="s">
        <v>330</v>
      </c>
      <c r="B14" s="458">
        <v>19.538</v>
      </c>
      <c r="C14" s="592">
        <v>65.566999999999993</v>
      </c>
      <c r="D14" s="169">
        <v>14.555000000000001</v>
      </c>
      <c r="E14" s="286">
        <v>45.248000000000005</v>
      </c>
      <c r="F14" s="285">
        <v>35.175999999999995</v>
      </c>
      <c r="G14" s="623">
        <v>19.298999999999999</v>
      </c>
      <c r="J14" s="164"/>
      <c r="K14" s="164"/>
      <c r="L14" s="164"/>
      <c r="M14" s="17"/>
      <c r="N14" s="17"/>
      <c r="O14" s="17"/>
    </row>
    <row r="15" spans="1:15" ht="12.75" customHeight="1">
      <c r="A15" s="255" t="s">
        <v>373</v>
      </c>
      <c r="B15" s="458">
        <v>74.234999999999999</v>
      </c>
      <c r="C15" s="592">
        <v>128.14500000000001</v>
      </c>
      <c r="D15" s="169">
        <v>112.53</v>
      </c>
      <c r="E15" s="286">
        <v>106.514</v>
      </c>
      <c r="F15" s="285">
        <v>107.578</v>
      </c>
      <c r="G15" s="623">
        <v>77.39200000000001</v>
      </c>
      <c r="I15" s="164"/>
      <c r="J15" s="164"/>
      <c r="K15" s="164"/>
      <c r="L15" s="164"/>
      <c r="M15" s="17"/>
      <c r="N15" s="17"/>
      <c r="O15" s="17"/>
    </row>
    <row r="16" spans="1:15" s="164" customFormat="1" ht="12.75" customHeight="1">
      <c r="A16" s="253" t="s">
        <v>98</v>
      </c>
      <c r="B16" s="458">
        <v>338.34</v>
      </c>
      <c r="C16" s="592">
        <v>399.91899999999998</v>
      </c>
      <c r="D16" s="169">
        <v>390.78800000000001</v>
      </c>
      <c r="E16" s="286">
        <v>444.49900000000002</v>
      </c>
      <c r="F16" s="285">
        <v>429.95100000000002</v>
      </c>
      <c r="G16" s="623">
        <v>581.58199999999999</v>
      </c>
      <c r="M16" s="17"/>
      <c r="N16" s="17"/>
      <c r="O16" s="17"/>
    </row>
    <row r="17" spans="1:15" s="164" customFormat="1" ht="12.75" customHeight="1">
      <c r="A17" s="253" t="s">
        <v>99</v>
      </c>
      <c r="B17" s="285">
        <v>0</v>
      </c>
      <c r="C17" s="285">
        <v>0</v>
      </c>
      <c r="D17" s="169">
        <v>1.0250000000000001</v>
      </c>
      <c r="E17" s="286">
        <v>0</v>
      </c>
      <c r="F17" s="285">
        <v>0</v>
      </c>
      <c r="G17" s="285">
        <v>0</v>
      </c>
      <c r="M17" s="17"/>
      <c r="N17" s="17"/>
      <c r="O17" s="17"/>
    </row>
    <row r="18" spans="1:15" s="164" customFormat="1" ht="12.75" customHeight="1">
      <c r="A18" s="253" t="s">
        <v>100</v>
      </c>
      <c r="B18" s="458">
        <v>743.95900000000006</v>
      </c>
      <c r="C18" s="592">
        <v>1186.4450000000002</v>
      </c>
      <c r="D18" s="169">
        <v>770.34</v>
      </c>
      <c r="E18" s="286">
        <v>1071.925</v>
      </c>
      <c r="F18" s="285">
        <v>1096.5239999999999</v>
      </c>
      <c r="G18" s="623">
        <v>1221.7169999999999</v>
      </c>
      <c r="M18" s="17"/>
      <c r="N18" s="17"/>
      <c r="O18" s="17"/>
    </row>
    <row r="19" spans="1:15" s="164" customFormat="1" ht="12.75" customHeight="1">
      <c r="A19" s="253" t="s">
        <v>375</v>
      </c>
      <c r="B19" s="458">
        <v>14.319000000000001</v>
      </c>
      <c r="C19" s="592">
        <v>14.65</v>
      </c>
      <c r="D19" s="169">
        <v>25.148</v>
      </c>
      <c r="E19" s="286">
        <v>8.15</v>
      </c>
      <c r="F19" s="285">
        <v>7.15</v>
      </c>
      <c r="G19" s="623">
        <v>2.15</v>
      </c>
      <c r="J19" s="39"/>
      <c r="K19" s="39"/>
      <c r="L19" s="39"/>
      <c r="M19" s="17"/>
      <c r="N19" s="17"/>
      <c r="O19" s="17"/>
    </row>
    <row r="20" spans="1:15" s="164" customFormat="1" ht="12.75" customHeight="1">
      <c r="A20" s="253" t="s">
        <v>331</v>
      </c>
      <c r="B20" s="458">
        <v>22.740292999999998</v>
      </c>
      <c r="C20" s="592">
        <v>14.119</v>
      </c>
      <c r="D20" s="169">
        <v>14.119</v>
      </c>
      <c r="E20" s="286">
        <v>17.599</v>
      </c>
      <c r="F20" s="285">
        <v>13.818999999999999</v>
      </c>
      <c r="G20" s="623">
        <v>9.6189999999999998</v>
      </c>
      <c r="J20" s="39"/>
      <c r="K20" s="39"/>
      <c r="L20" s="39"/>
      <c r="M20" s="17"/>
      <c r="N20" s="17"/>
      <c r="O20" s="17"/>
    </row>
    <row r="21" spans="1:15" s="164" customFormat="1" ht="12.75" customHeight="1">
      <c r="A21" s="253" t="s">
        <v>332</v>
      </c>
      <c r="B21" s="285">
        <v>0</v>
      </c>
      <c r="C21" s="592">
        <v>5.0250000000000004</v>
      </c>
      <c r="D21" s="169">
        <v>10.025</v>
      </c>
      <c r="E21" s="286">
        <v>16.625</v>
      </c>
      <c r="F21" s="285">
        <v>4.0250000000000004</v>
      </c>
      <c r="G21" s="285">
        <v>0</v>
      </c>
      <c r="M21" s="17"/>
      <c r="N21" s="17"/>
      <c r="O21" s="17"/>
    </row>
    <row r="22" spans="1:15" s="164" customFormat="1" ht="12.75" customHeight="1">
      <c r="A22" s="253" t="s">
        <v>101</v>
      </c>
      <c r="B22" s="459">
        <v>0.50800000000000001</v>
      </c>
      <c r="C22" s="593">
        <v>0.74399999999999999</v>
      </c>
      <c r="D22" s="444">
        <v>0.96399999999999997</v>
      </c>
      <c r="E22" s="445">
        <v>1.7070000000000001</v>
      </c>
      <c r="F22" s="446">
        <v>1.175</v>
      </c>
      <c r="G22" s="624">
        <v>1.359</v>
      </c>
      <c r="I22" s="39"/>
      <c r="M22" s="17"/>
      <c r="N22" s="17"/>
      <c r="O22" s="17"/>
    </row>
    <row r="23" spans="1:15" s="164" customFormat="1" ht="12.75" customHeight="1">
      <c r="A23" s="255" t="s">
        <v>333</v>
      </c>
      <c r="B23" s="458">
        <v>7.1559999999999997</v>
      </c>
      <c r="C23" s="592">
        <v>12.3</v>
      </c>
      <c r="D23" s="169">
        <v>16.042999999999999</v>
      </c>
      <c r="E23" s="286">
        <v>23.34</v>
      </c>
      <c r="F23" s="285">
        <v>10.247999999999999</v>
      </c>
      <c r="G23" s="623">
        <v>4.9000000000000004</v>
      </c>
      <c r="I23" s="39"/>
      <c r="M23" s="17"/>
      <c r="N23" s="17"/>
      <c r="O23" s="17"/>
    </row>
    <row r="24" spans="1:15" ht="12.75" customHeight="1">
      <c r="A24" s="255" t="s">
        <v>329</v>
      </c>
      <c r="B24" s="458">
        <v>75.798000000000002</v>
      </c>
      <c r="C24" s="592">
        <v>40.860999999999997</v>
      </c>
      <c r="D24" s="169">
        <v>55.597000000000001</v>
      </c>
      <c r="E24" s="286">
        <v>55.704999999999998</v>
      </c>
      <c r="F24" s="285">
        <v>39.194000000000003</v>
      </c>
      <c r="G24" s="623">
        <v>46.235000000000007</v>
      </c>
      <c r="I24" s="164"/>
      <c r="J24" s="164"/>
      <c r="K24" s="164"/>
      <c r="L24" s="164"/>
      <c r="M24" s="17"/>
      <c r="N24" s="17"/>
      <c r="O24" s="17"/>
    </row>
    <row r="25" spans="1:15" ht="12.75" customHeight="1">
      <c r="A25" s="253" t="s">
        <v>334</v>
      </c>
      <c r="B25" s="458">
        <v>33.703830000000004</v>
      </c>
      <c r="C25" s="592">
        <v>64.447000000000003</v>
      </c>
      <c r="D25" s="169">
        <v>44.847000000000001</v>
      </c>
      <c r="E25" s="286">
        <v>72.33</v>
      </c>
      <c r="F25" s="285">
        <v>66.42</v>
      </c>
      <c r="G25" s="623">
        <v>45.019999999999996</v>
      </c>
      <c r="I25" s="164"/>
      <c r="J25" s="164"/>
      <c r="K25" s="164"/>
      <c r="L25" s="164"/>
      <c r="M25" s="17"/>
      <c r="N25" s="17"/>
      <c r="O25" s="17"/>
    </row>
    <row r="26" spans="1:15" s="164" customFormat="1" ht="12.75" customHeight="1">
      <c r="A26" s="255" t="s">
        <v>335</v>
      </c>
      <c r="B26" s="458">
        <v>96.807000000000002</v>
      </c>
      <c r="C26" s="592">
        <v>134.58500000000001</v>
      </c>
      <c r="D26" s="169">
        <v>146.239</v>
      </c>
      <c r="E26" s="286">
        <v>176.11899999999994</v>
      </c>
      <c r="F26" s="285">
        <v>140.20400000000001</v>
      </c>
      <c r="G26" s="623">
        <v>80.956000000000003</v>
      </c>
      <c r="M26" s="17"/>
      <c r="N26" s="17"/>
      <c r="O26" s="17"/>
    </row>
    <row r="27" spans="1:15" s="164" customFormat="1" ht="12.75" customHeight="1">
      <c r="A27" s="255" t="s">
        <v>336</v>
      </c>
      <c r="B27" s="458">
        <v>1392.2</v>
      </c>
      <c r="C27" s="592">
        <v>1355.597</v>
      </c>
      <c r="D27" s="169">
        <v>1393.962</v>
      </c>
      <c r="E27" s="286">
        <v>1566.9420000000007</v>
      </c>
      <c r="F27" s="285">
        <v>1366.1390000000001</v>
      </c>
      <c r="G27" s="623">
        <v>1600.0500000000002</v>
      </c>
      <c r="J27" s="39"/>
      <c r="K27" s="39"/>
      <c r="L27" s="39"/>
      <c r="M27" s="17"/>
      <c r="N27" s="17"/>
      <c r="O27" s="17"/>
    </row>
    <row r="28" spans="1:15" s="164" customFormat="1" ht="12.75" customHeight="1">
      <c r="A28" s="253" t="s">
        <v>103</v>
      </c>
      <c r="B28" s="458">
        <v>17.631</v>
      </c>
      <c r="C28" s="592">
        <v>18.36</v>
      </c>
      <c r="D28" s="169">
        <v>15.606</v>
      </c>
      <c r="E28" s="286">
        <v>9.17</v>
      </c>
      <c r="F28" s="285">
        <v>9.4400000000000031</v>
      </c>
      <c r="G28" s="623">
        <v>9.4600000000000026</v>
      </c>
      <c r="J28" s="39"/>
      <c r="K28" s="39"/>
      <c r="L28" s="39"/>
      <c r="M28" s="17"/>
      <c r="N28" s="17"/>
      <c r="O28" s="17"/>
    </row>
    <row r="29" spans="1:15" s="164" customFormat="1" ht="12.75" customHeight="1">
      <c r="A29" s="253" t="s">
        <v>169</v>
      </c>
      <c r="B29" s="458">
        <v>0.67900000000000005</v>
      </c>
      <c r="C29" s="592">
        <v>1.5</v>
      </c>
      <c r="D29" s="169">
        <v>1.4980000000000004</v>
      </c>
      <c r="E29" s="286">
        <v>3.915</v>
      </c>
      <c r="F29" s="285">
        <v>2.7080000000000002</v>
      </c>
      <c r="G29" s="623">
        <v>1.45</v>
      </c>
      <c r="J29" s="39"/>
      <c r="K29" s="39"/>
      <c r="L29" s="39"/>
      <c r="M29" s="17"/>
      <c r="N29" s="17"/>
      <c r="O29" s="17"/>
    </row>
    <row r="30" spans="1:15" s="164" customFormat="1" ht="15" customHeight="1" thickBot="1">
      <c r="A30" s="29" t="s">
        <v>173</v>
      </c>
      <c r="B30" s="170">
        <v>4196.7229001899996</v>
      </c>
      <c r="C30" s="52">
        <v>4830.2310000000007</v>
      </c>
      <c r="D30" s="52">
        <v>4371.4950000000008</v>
      </c>
      <c r="E30" s="171">
        <v>5186.8930000000009</v>
      </c>
      <c r="F30" s="170">
        <v>4989.8369999999995</v>
      </c>
      <c r="G30" s="625">
        <v>5355.6110000000008</v>
      </c>
      <c r="M30" s="39"/>
      <c r="N30" s="39"/>
      <c r="O30" s="39"/>
    </row>
    <row r="31" spans="1:15" s="164" customFormat="1" ht="12" customHeight="1">
      <c r="E31" s="17"/>
      <c r="G31" s="614"/>
      <c r="M31" s="39"/>
      <c r="N31" s="39"/>
      <c r="O31" s="39"/>
    </row>
    <row r="32" spans="1:15" s="164" customFormat="1" ht="12" customHeight="1">
      <c r="A32"/>
      <c r="G32" s="614"/>
      <c r="M32" s="39"/>
      <c r="N32" s="39"/>
      <c r="O32" s="39"/>
    </row>
    <row r="35" spans="2:7">
      <c r="B35" s="17"/>
      <c r="C35" s="17"/>
      <c r="D35" s="17"/>
      <c r="E35" s="17"/>
      <c r="F35" s="17"/>
      <c r="G35" s="614"/>
    </row>
    <row r="37" spans="2:7">
      <c r="C37" s="38"/>
      <c r="D37" s="38"/>
      <c r="E37" s="38"/>
      <c r="F37" s="38"/>
    </row>
    <row r="38" spans="2:7">
      <c r="C38" s="38"/>
      <c r="D38" s="38"/>
      <c r="E38" s="38"/>
      <c r="F38" s="38"/>
    </row>
    <row r="39" spans="2:7">
      <c r="C39" s="38"/>
      <c r="D39" s="38"/>
      <c r="E39" s="38"/>
      <c r="F39" s="38"/>
    </row>
    <row r="40" spans="2:7">
      <c r="C40" s="38"/>
      <c r="D40" s="38"/>
      <c r="E40" s="38"/>
      <c r="F40" s="38"/>
    </row>
    <row r="41" spans="2:7">
      <c r="C41" s="38"/>
      <c r="D41" s="38"/>
      <c r="E41" s="38"/>
      <c r="F41" s="38"/>
    </row>
    <row r="42" spans="2:7">
      <c r="C42" s="38"/>
      <c r="D42" s="38"/>
      <c r="E42" s="38"/>
      <c r="F42" s="38"/>
    </row>
    <row r="43" spans="2:7">
      <c r="C43" s="38"/>
      <c r="D43" s="38"/>
      <c r="E43" s="38"/>
      <c r="F43" s="38"/>
    </row>
    <row r="44" spans="2:7">
      <c r="C44" s="38"/>
      <c r="D44" s="38"/>
      <c r="E44" s="38"/>
      <c r="F44" s="38"/>
    </row>
    <row r="45" spans="2:7">
      <c r="C45" s="38"/>
      <c r="D45" s="38"/>
      <c r="E45" s="38"/>
      <c r="F45" s="38"/>
    </row>
    <row r="46" spans="2:7">
      <c r="C46" s="38"/>
      <c r="D46" s="38"/>
      <c r="E46" s="38"/>
      <c r="F46" s="38"/>
    </row>
    <row r="47" spans="2:7">
      <c r="C47" s="38"/>
      <c r="D47" s="38"/>
      <c r="E47" s="38"/>
      <c r="F47" s="38"/>
    </row>
    <row r="48" spans="2:7">
      <c r="C48" s="38"/>
      <c r="D48" s="38"/>
      <c r="E48" s="38"/>
      <c r="F48" s="38"/>
    </row>
    <row r="49" spans="3:6">
      <c r="C49" s="38"/>
      <c r="D49" s="38"/>
      <c r="E49" s="38"/>
      <c r="F49" s="38"/>
    </row>
    <row r="50" spans="3:6">
      <c r="C50" s="38"/>
      <c r="D50" s="38"/>
      <c r="E50" s="38"/>
      <c r="F50" s="38"/>
    </row>
    <row r="51" spans="3:6">
      <c r="C51" s="38"/>
      <c r="D51" s="38"/>
      <c r="E51" s="38"/>
      <c r="F51" s="38"/>
    </row>
    <row r="52" spans="3:6">
      <c r="C52" s="38"/>
      <c r="D52" s="38"/>
      <c r="E52" s="38"/>
      <c r="F52" s="38"/>
    </row>
    <row r="53" spans="3:6">
      <c r="C53" s="38"/>
      <c r="D53" s="38"/>
      <c r="E53" s="38"/>
      <c r="F53" s="38"/>
    </row>
    <row r="54" spans="3:6">
      <c r="C54" s="38"/>
      <c r="D54" s="38"/>
      <c r="E54" s="38"/>
      <c r="F54" s="38"/>
    </row>
    <row r="55" spans="3:6">
      <c r="C55" s="38"/>
      <c r="D55" s="38"/>
      <c r="E55" s="38"/>
      <c r="F55" s="38"/>
    </row>
    <row r="56" spans="3:6">
      <c r="C56" s="38"/>
      <c r="D56" s="38"/>
      <c r="E56" s="38"/>
      <c r="F56" s="38"/>
    </row>
    <row r="57" spans="3:6">
      <c r="C57" s="38"/>
      <c r="D57" s="38"/>
      <c r="E57" s="38"/>
      <c r="F57" s="38"/>
    </row>
  </sheetData>
  <mergeCells count="1">
    <mergeCell ref="C4:D4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86BA-A6BC-9748-9F25-D8B9DD30A24C}">
  <sheetPr>
    <tabColor rgb="FFFFC000"/>
  </sheetPr>
  <dimension ref="A1:O16"/>
  <sheetViews>
    <sheetView showGridLines="0" zoomScaleNormal="100" zoomScaleSheetLayoutView="98" workbookViewId="0">
      <selection activeCell="I24" sqref="I24"/>
    </sheetView>
  </sheetViews>
  <sheetFormatPr defaultColWidth="9" defaultRowHeight="11.25"/>
  <cols>
    <col min="1" max="1" width="58.5703125" style="40" customWidth="1"/>
    <col min="2" max="2" width="8" style="37" customWidth="1"/>
    <col min="3" max="4" width="8.42578125" style="38" customWidth="1"/>
    <col min="5" max="5" width="8.42578125" style="39" customWidth="1"/>
    <col min="6" max="6" width="8.85546875" style="578" customWidth="1"/>
    <col min="7" max="16384" width="9" style="39"/>
  </cols>
  <sheetData>
    <row r="1" spans="1:15" s="164" customFormat="1" ht="14.25" customHeight="1">
      <c r="A1" s="188" t="s">
        <v>82</v>
      </c>
      <c r="B1" s="22"/>
      <c r="C1" s="22"/>
      <c r="D1" s="17"/>
      <c r="E1" s="17"/>
      <c r="F1" s="614"/>
      <c r="G1" s="222"/>
    </row>
    <row r="2" spans="1:15" s="164" customFormat="1" ht="14.25" customHeight="1">
      <c r="A2" s="4" t="s">
        <v>1</v>
      </c>
      <c r="B2" s="22"/>
      <c r="C2" s="22"/>
      <c r="D2" s="17"/>
      <c r="E2" s="17"/>
      <c r="F2" s="614"/>
    </row>
    <row r="3" spans="1:15" s="164" customFormat="1" ht="14.25" customHeight="1">
      <c r="B3" s="643" t="s">
        <v>27</v>
      </c>
      <c r="C3" s="643"/>
      <c r="D3" s="643"/>
      <c r="E3" s="643"/>
      <c r="F3" s="643"/>
    </row>
    <row r="4" spans="1:15" s="164" customFormat="1" ht="12.75" customHeight="1">
      <c r="B4" s="565" t="s">
        <v>28</v>
      </c>
      <c r="C4" s="566" t="s">
        <v>311</v>
      </c>
      <c r="D4" s="567" t="s">
        <v>326</v>
      </c>
      <c r="E4" s="566" t="s">
        <v>378</v>
      </c>
      <c r="F4" s="615" t="s">
        <v>444</v>
      </c>
    </row>
    <row r="5" spans="1:15" s="164" customFormat="1" ht="14.25" customHeight="1">
      <c r="B5" s="562" t="s">
        <v>7</v>
      </c>
      <c r="C5" s="562" t="s">
        <v>9</v>
      </c>
      <c r="D5" s="563" t="s">
        <v>10</v>
      </c>
      <c r="E5" s="562" t="s">
        <v>11</v>
      </c>
      <c r="F5" s="613" t="s">
        <v>11</v>
      </c>
    </row>
    <row r="6" spans="1:15" s="164" customFormat="1" ht="3.75" customHeight="1">
      <c r="A6" s="189"/>
      <c r="B6" s="28"/>
      <c r="C6" s="28"/>
      <c r="D6" s="190"/>
      <c r="E6" s="191"/>
      <c r="F6" s="616"/>
    </row>
    <row r="7" spans="1:15">
      <c r="A7" s="40" t="s">
        <v>83</v>
      </c>
      <c r="B7" s="38">
        <v>59337</v>
      </c>
      <c r="C7" s="38">
        <v>60370.85</v>
      </c>
      <c r="D7" s="23">
        <v>61493.27</v>
      </c>
      <c r="E7" s="38">
        <v>62831.96</v>
      </c>
      <c r="F7" s="578">
        <v>63909.98</v>
      </c>
      <c r="H7" s="38"/>
      <c r="I7" s="38"/>
      <c r="J7" s="38"/>
      <c r="K7" s="38"/>
      <c r="L7" s="38"/>
    </row>
    <row r="8" spans="1:15">
      <c r="A8" s="40" t="s">
        <v>84</v>
      </c>
      <c r="B8" s="38">
        <v>4196.72</v>
      </c>
      <c r="C8" s="38">
        <v>4371.5</v>
      </c>
      <c r="D8" s="23">
        <v>5186.8900000000003</v>
      </c>
      <c r="E8" s="38">
        <v>4989.84</v>
      </c>
      <c r="F8" s="578">
        <v>5355.61</v>
      </c>
      <c r="H8" s="38"/>
      <c r="I8" s="38"/>
      <c r="J8" s="38"/>
      <c r="K8" s="38"/>
      <c r="L8" s="38"/>
    </row>
    <row r="9" spans="1:15">
      <c r="A9" s="34" t="s">
        <v>540</v>
      </c>
      <c r="B9" s="38">
        <v>0</v>
      </c>
      <c r="C9" s="38">
        <v>-500</v>
      </c>
      <c r="D9" s="23">
        <v>-800</v>
      </c>
      <c r="E9" s="38">
        <v>-800</v>
      </c>
      <c r="F9" s="38">
        <v>-700</v>
      </c>
      <c r="H9" s="38"/>
      <c r="I9" s="38"/>
      <c r="J9" s="38"/>
      <c r="K9" s="38"/>
      <c r="L9" s="38"/>
    </row>
    <row r="10" spans="1:15" ht="11.25" customHeight="1">
      <c r="A10" s="40" t="s">
        <v>85</v>
      </c>
      <c r="B10" s="38">
        <v>-2763.88</v>
      </c>
      <c r="C10" s="38">
        <v>-2957.78</v>
      </c>
      <c r="D10" s="23">
        <v>-3047.91</v>
      </c>
      <c r="E10" s="38">
        <v>-3111.81</v>
      </c>
      <c r="F10" s="38">
        <v>-3133.31</v>
      </c>
      <c r="H10" s="38"/>
      <c r="I10" s="38"/>
      <c r="J10" s="38"/>
      <c r="K10" s="38"/>
      <c r="L10" s="38"/>
    </row>
    <row r="11" spans="1:15" ht="12" customHeight="1">
      <c r="A11" s="193" t="s">
        <v>86</v>
      </c>
      <c r="B11" s="20">
        <v>-399</v>
      </c>
      <c r="C11" s="20">
        <v>208.71</v>
      </c>
      <c r="D11" s="56">
        <v>0</v>
      </c>
      <c r="E11" s="20">
        <v>0</v>
      </c>
      <c r="F11" s="617">
        <v>0</v>
      </c>
      <c r="H11" s="38"/>
      <c r="I11" s="38"/>
      <c r="J11" s="38"/>
      <c r="K11" s="38"/>
      <c r="L11" s="38"/>
    </row>
    <row r="12" spans="1:15">
      <c r="A12" s="194" t="s">
        <v>87</v>
      </c>
      <c r="B12" s="195">
        <v>60370.85</v>
      </c>
      <c r="C12" s="197">
        <v>61493.27</v>
      </c>
      <c r="D12" s="196">
        <v>62831.96</v>
      </c>
      <c r="E12" s="197">
        <v>63909.98</v>
      </c>
      <c r="F12" s="618">
        <v>65433.279999999999</v>
      </c>
      <c r="H12" s="38"/>
      <c r="I12" s="38"/>
      <c r="J12" s="38"/>
      <c r="K12" s="38"/>
      <c r="L12" s="38"/>
    </row>
    <row r="13" spans="1:15" ht="12">
      <c r="B13"/>
      <c r="C13"/>
      <c r="D13"/>
      <c r="E13"/>
      <c r="F13" s="619"/>
      <c r="H13" s="38"/>
      <c r="I13" s="38"/>
      <c r="J13" s="38"/>
      <c r="K13" s="38"/>
      <c r="L13" s="38"/>
    </row>
    <row r="14" spans="1:15">
      <c r="A14" s="492" t="s">
        <v>415</v>
      </c>
      <c r="B14" s="493">
        <v>547</v>
      </c>
      <c r="C14" s="494">
        <v>547</v>
      </c>
      <c r="D14" s="495">
        <v>547</v>
      </c>
      <c r="E14" s="494">
        <v>547</v>
      </c>
      <c r="F14" s="620">
        <v>547</v>
      </c>
      <c r="G14" s="493"/>
      <c r="H14" s="38"/>
      <c r="I14" s="38"/>
      <c r="J14" s="38"/>
      <c r="K14" s="38"/>
      <c r="L14" s="38"/>
      <c r="M14" s="493"/>
      <c r="N14" s="493"/>
      <c r="O14" s="493"/>
    </row>
    <row r="15" spans="1:15">
      <c r="A15" s="496" t="s">
        <v>416</v>
      </c>
      <c r="B15" s="493">
        <v>597</v>
      </c>
      <c r="C15" s="493">
        <v>504</v>
      </c>
      <c r="D15" s="497">
        <v>375</v>
      </c>
      <c r="E15" s="493">
        <v>243</v>
      </c>
      <c r="F15" s="38">
        <v>96</v>
      </c>
      <c r="G15" s="493"/>
      <c r="H15" s="38"/>
      <c r="I15" s="38"/>
      <c r="J15" s="38"/>
      <c r="K15" s="38"/>
      <c r="L15" s="38"/>
      <c r="M15" s="493"/>
      <c r="N15" s="493"/>
      <c r="O15" s="493"/>
    </row>
    <row r="16" spans="1:15" ht="12" thickBot="1">
      <c r="A16" s="498" t="s">
        <v>417</v>
      </c>
      <c r="B16" s="499">
        <v>61514.85</v>
      </c>
      <c r="C16" s="499">
        <v>62543.97</v>
      </c>
      <c r="D16" s="579">
        <v>63754.96</v>
      </c>
      <c r="E16" s="499">
        <v>64699.98</v>
      </c>
      <c r="F16" s="621">
        <v>66075.28</v>
      </c>
      <c r="H16" s="38"/>
      <c r="I16" s="38"/>
      <c r="J16" s="38"/>
      <c r="K16" s="38"/>
      <c r="L16" s="38"/>
    </row>
  </sheetData>
  <mergeCells count="1">
    <mergeCell ref="B3:F3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  <ignoredErrors>
    <ignoredError sqref="B4:F4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FFC000"/>
  </sheetPr>
  <dimension ref="A1:H24"/>
  <sheetViews>
    <sheetView showGridLines="0" zoomScale="110" zoomScaleNormal="110" zoomScaleSheetLayoutView="100" workbookViewId="0">
      <selection activeCell="F30" sqref="F30"/>
    </sheetView>
  </sheetViews>
  <sheetFormatPr defaultColWidth="9" defaultRowHeight="12"/>
  <cols>
    <col min="1" max="1" width="52.5703125" customWidth="1"/>
    <col min="2" max="7" width="8" customWidth="1"/>
  </cols>
  <sheetData>
    <row r="1" spans="1:8" ht="15.75">
      <c r="A1" s="188" t="s">
        <v>174</v>
      </c>
      <c r="H1" s="222"/>
    </row>
    <row r="2" spans="1:8">
      <c r="A2" s="4" t="s">
        <v>1</v>
      </c>
      <c r="B2" s="82"/>
      <c r="C2" s="222"/>
      <c r="D2" s="222"/>
    </row>
    <row r="3" spans="1:8">
      <c r="A3" s="4"/>
      <c r="B3" s="82"/>
      <c r="C3" s="222"/>
      <c r="D3" s="222"/>
    </row>
    <row r="4" spans="1:8">
      <c r="A4" s="40"/>
      <c r="B4" s="558" t="s">
        <v>6</v>
      </c>
      <c r="C4" s="642" t="s">
        <v>285</v>
      </c>
      <c r="D4" s="642"/>
      <c r="E4" s="560" t="s">
        <v>325</v>
      </c>
      <c r="F4" s="558" t="s">
        <v>364</v>
      </c>
      <c r="G4" s="558" t="s">
        <v>365</v>
      </c>
    </row>
    <row r="5" spans="1:8">
      <c r="A5" s="218"/>
      <c r="B5" s="562" t="s">
        <v>7</v>
      </c>
      <c r="C5" s="562" t="s">
        <v>8</v>
      </c>
      <c r="D5" s="562" t="s">
        <v>9</v>
      </c>
      <c r="E5" s="563" t="s">
        <v>10</v>
      </c>
      <c r="F5" s="562" t="s">
        <v>11</v>
      </c>
      <c r="G5" s="562" t="s">
        <v>11</v>
      </c>
    </row>
    <row r="6" spans="1:8" ht="3.75" customHeight="1">
      <c r="A6" s="40"/>
      <c r="B6" s="7"/>
      <c r="C6" s="7"/>
      <c r="D6" s="7"/>
      <c r="E6" s="287"/>
      <c r="F6" s="288"/>
      <c r="G6" s="288"/>
    </row>
    <row r="7" spans="1:8">
      <c r="A7" s="34" t="s">
        <v>175</v>
      </c>
      <c r="B7" s="140">
        <v>6299.6129001899999</v>
      </c>
      <c r="C7" s="140">
        <v>8299.0820000000022</v>
      </c>
      <c r="D7" s="140">
        <v>7665.1679999999997</v>
      </c>
      <c r="E7" s="18">
        <v>8639.2200000000012</v>
      </c>
      <c r="F7" s="17">
        <v>8676.0550000000003</v>
      </c>
      <c r="G7" s="140">
        <v>8831.2950000000001</v>
      </c>
    </row>
    <row r="8" spans="1:8">
      <c r="A8" s="40" t="s">
        <v>387</v>
      </c>
      <c r="B8" s="180">
        <v>160</v>
      </c>
      <c r="C8" s="38">
        <v>34</v>
      </c>
      <c r="D8" s="140">
        <v>82</v>
      </c>
      <c r="E8" s="18">
        <v>40</v>
      </c>
      <c r="F8" s="17">
        <v>0</v>
      </c>
      <c r="G8" s="140">
        <v>0</v>
      </c>
    </row>
    <row r="9" spans="1:8">
      <c r="A9" s="34" t="s">
        <v>540</v>
      </c>
      <c r="B9" s="200">
        <v>0</v>
      </c>
      <c r="C9" s="20">
        <v>-800</v>
      </c>
      <c r="D9" s="20">
        <v>-500</v>
      </c>
      <c r="E9" s="56">
        <v>-800</v>
      </c>
      <c r="F9" s="20">
        <v>-800</v>
      </c>
      <c r="G9" s="200">
        <v>-700</v>
      </c>
    </row>
    <row r="10" spans="1:8">
      <c r="A10" s="34" t="s">
        <v>176</v>
      </c>
      <c r="B10" s="33">
        <v>6459.6129001899999</v>
      </c>
      <c r="C10" s="22">
        <v>7533.0820000000022</v>
      </c>
      <c r="D10" s="22">
        <v>7247.1679999999997</v>
      </c>
      <c r="E10" s="18">
        <v>7879.2200000000012</v>
      </c>
      <c r="F10" s="22">
        <v>7876.0550000000003</v>
      </c>
      <c r="G10" s="33">
        <v>8131.2950000000001</v>
      </c>
    </row>
    <row r="11" spans="1:8" ht="3.75" customHeight="1">
      <c r="A11" s="34"/>
      <c r="B11" s="140"/>
      <c r="C11" s="22"/>
      <c r="D11" s="22"/>
      <c r="E11" s="18"/>
      <c r="F11" s="17"/>
      <c r="G11" s="17"/>
    </row>
    <row r="12" spans="1:8">
      <c r="A12" s="34" t="s">
        <v>177</v>
      </c>
      <c r="B12" s="140"/>
      <c r="C12" s="22"/>
      <c r="D12" s="22"/>
      <c r="E12" s="18"/>
      <c r="F12" s="17"/>
      <c r="G12" s="17"/>
    </row>
    <row r="13" spans="1:8">
      <c r="A13" s="51" t="s">
        <v>388</v>
      </c>
      <c r="B13" s="140">
        <v>881</v>
      </c>
      <c r="C13" s="17">
        <v>1185</v>
      </c>
      <c r="D13" s="17">
        <v>875</v>
      </c>
      <c r="E13" s="18">
        <v>780</v>
      </c>
      <c r="F13" s="17">
        <v>942</v>
      </c>
      <c r="G13" s="17">
        <v>484.26199999999989</v>
      </c>
      <c r="H13" s="17"/>
    </row>
    <row r="14" spans="1:8">
      <c r="A14" s="51" t="s">
        <v>389</v>
      </c>
      <c r="B14" s="140">
        <v>27</v>
      </c>
      <c r="C14" s="17">
        <v>35</v>
      </c>
      <c r="D14" s="17">
        <v>42</v>
      </c>
      <c r="E14" s="18">
        <v>35</v>
      </c>
      <c r="F14" s="17">
        <v>32.744999999999997</v>
      </c>
      <c r="G14" s="17">
        <v>34.249000000000002</v>
      </c>
      <c r="H14" s="17"/>
    </row>
    <row r="15" spans="1:8">
      <c r="A15" s="289" t="s">
        <v>178</v>
      </c>
      <c r="B15" s="140">
        <v>710</v>
      </c>
      <c r="C15" s="17">
        <v>508</v>
      </c>
      <c r="D15" s="17">
        <v>551</v>
      </c>
      <c r="E15" s="18">
        <v>487</v>
      </c>
      <c r="F15" s="17">
        <v>490.12</v>
      </c>
      <c r="G15" s="17">
        <v>492</v>
      </c>
      <c r="H15" s="17"/>
    </row>
    <row r="16" spans="1:8">
      <c r="A16" s="51" t="s">
        <v>145</v>
      </c>
      <c r="B16" s="140">
        <v>25</v>
      </c>
      <c r="C16" s="17">
        <v>63</v>
      </c>
      <c r="D16" s="17">
        <v>18</v>
      </c>
      <c r="E16" s="18">
        <v>40</v>
      </c>
      <c r="F16" s="17">
        <v>0</v>
      </c>
      <c r="G16" s="140">
        <v>0</v>
      </c>
      <c r="H16" s="17"/>
    </row>
    <row r="17" spans="1:8">
      <c r="A17" s="289" t="s">
        <v>55</v>
      </c>
      <c r="B17" s="140">
        <v>64</v>
      </c>
      <c r="C17" s="17">
        <v>1</v>
      </c>
      <c r="D17" s="17">
        <v>0.57599999999999996</v>
      </c>
      <c r="E17" s="18">
        <v>0</v>
      </c>
      <c r="F17" s="17">
        <v>0</v>
      </c>
      <c r="G17" s="140">
        <v>0</v>
      </c>
      <c r="H17" s="17"/>
    </row>
    <row r="18" spans="1:8">
      <c r="A18" s="51" t="s">
        <v>425</v>
      </c>
      <c r="B18" s="140">
        <v>4753</v>
      </c>
      <c r="C18" s="17">
        <v>5743</v>
      </c>
      <c r="D18" s="17">
        <v>5760</v>
      </c>
      <c r="E18" s="18">
        <v>6537</v>
      </c>
      <c r="F18" s="17">
        <v>6411</v>
      </c>
      <c r="G18" s="140">
        <v>7120.884</v>
      </c>
      <c r="H18" s="17"/>
    </row>
    <row r="19" spans="1:8" ht="15" customHeight="1" thickBot="1">
      <c r="A19" s="201" t="s">
        <v>179</v>
      </c>
      <c r="B19" s="267">
        <v>6460</v>
      </c>
      <c r="C19" s="267">
        <v>7535</v>
      </c>
      <c r="D19" s="290">
        <v>7246.576</v>
      </c>
      <c r="E19" s="266">
        <v>7879</v>
      </c>
      <c r="F19" s="290">
        <v>7875.8649999999998</v>
      </c>
      <c r="G19" s="267">
        <v>8131.3949999999995</v>
      </c>
      <c r="H19" s="17"/>
    </row>
    <row r="20" spans="1:8">
      <c r="A20" s="245"/>
      <c r="B20" s="17"/>
      <c r="C20" s="291"/>
      <c r="D20" s="291"/>
      <c r="E20" s="291"/>
      <c r="F20" s="291"/>
    </row>
    <row r="21" spans="1:8">
      <c r="B21" s="35"/>
      <c r="C21" s="35"/>
      <c r="D21" s="35"/>
      <c r="E21" s="35"/>
      <c r="F21" s="35"/>
      <c r="G21" s="35"/>
    </row>
    <row r="22" spans="1:8">
      <c r="B22" s="35"/>
      <c r="C22" s="35"/>
      <c r="D22" s="35"/>
      <c r="E22" s="35"/>
      <c r="F22" s="35"/>
      <c r="G22" s="35"/>
    </row>
    <row r="23" spans="1:8">
      <c r="B23" s="35"/>
      <c r="C23" s="35"/>
      <c r="D23" s="35"/>
      <c r="E23" s="35"/>
      <c r="F23" s="35"/>
      <c r="G23" s="35"/>
    </row>
    <row r="24" spans="1:8">
      <c r="B24" s="35"/>
      <c r="C24" s="35"/>
      <c r="D24" s="35"/>
      <c r="E24" s="35"/>
      <c r="F24" s="35"/>
      <c r="G24" s="35"/>
    </row>
  </sheetData>
  <mergeCells count="1">
    <mergeCell ref="C4:D4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FFC000"/>
  </sheetPr>
  <dimension ref="A1:F8"/>
  <sheetViews>
    <sheetView showGridLines="0" zoomScaleNormal="100" zoomScaleSheetLayoutView="130" workbookViewId="0">
      <selection activeCell="K21" sqref="K21"/>
    </sheetView>
  </sheetViews>
  <sheetFormatPr defaultColWidth="8.5703125" defaultRowHeight="12"/>
  <cols>
    <col min="1" max="1" width="60.5703125" customWidth="1"/>
    <col min="2" max="6" width="8" customWidth="1"/>
  </cols>
  <sheetData>
    <row r="1" spans="1:6" ht="15.75">
      <c r="A1" s="188" t="s">
        <v>360</v>
      </c>
    </row>
    <row r="2" spans="1:6">
      <c r="A2" s="4" t="s">
        <v>1</v>
      </c>
      <c r="B2" s="222"/>
      <c r="C2" s="222"/>
      <c r="D2" s="222"/>
    </row>
    <row r="3" spans="1:6">
      <c r="A3" s="4"/>
      <c r="B3" s="222"/>
      <c r="C3" s="222"/>
      <c r="D3" s="222"/>
    </row>
    <row r="4" spans="1:6">
      <c r="A4" s="218"/>
      <c r="B4" s="10" t="s">
        <v>6</v>
      </c>
      <c r="C4" s="10" t="s">
        <v>285</v>
      </c>
      <c r="D4" s="11" t="s">
        <v>325</v>
      </c>
      <c r="E4" s="10" t="s">
        <v>364</v>
      </c>
      <c r="F4" s="10" t="s">
        <v>365</v>
      </c>
    </row>
    <row r="5" spans="1:6" ht="15" customHeight="1">
      <c r="A5" s="40" t="s">
        <v>363</v>
      </c>
      <c r="B5" s="38">
        <v>7522</v>
      </c>
      <c r="C5" s="38">
        <v>5821</v>
      </c>
      <c r="D5" s="23">
        <v>12634</v>
      </c>
      <c r="E5" s="38">
        <v>5825</v>
      </c>
      <c r="F5" s="38">
        <v>7320</v>
      </c>
    </row>
    <row r="6" spans="1:6">
      <c r="A6" s="40" t="s">
        <v>362</v>
      </c>
      <c r="B6" s="17">
        <v>2364</v>
      </c>
      <c r="C6" s="17">
        <v>10514</v>
      </c>
      <c r="D6" s="18">
        <v>4735</v>
      </c>
      <c r="E6" s="17">
        <v>0</v>
      </c>
      <c r="F6" s="17">
        <v>0</v>
      </c>
    </row>
    <row r="7" spans="1:6" ht="15" customHeight="1" thickBot="1">
      <c r="A7" s="201" t="s">
        <v>361</v>
      </c>
      <c r="B7" s="265">
        <v>9886</v>
      </c>
      <c r="C7" s="265">
        <v>16335</v>
      </c>
      <c r="D7" s="292">
        <v>17369</v>
      </c>
      <c r="E7" s="265">
        <v>5825</v>
      </c>
      <c r="F7" s="202">
        <v>7320</v>
      </c>
    </row>
    <row r="8" spans="1:6" ht="12" customHeight="1">
      <c r="A8" s="245"/>
      <c r="B8" s="293"/>
      <c r="C8" s="293"/>
      <c r="D8" s="293"/>
      <c r="E8" s="293"/>
      <c r="F8" s="293"/>
    </row>
  </sheetData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tabColor rgb="FFFFC000"/>
  </sheetPr>
  <dimension ref="A1:M12"/>
  <sheetViews>
    <sheetView showGridLines="0" zoomScale="111" zoomScaleNormal="111" zoomScaleSheetLayoutView="112" workbookViewId="0">
      <selection activeCell="G32" sqref="G32"/>
    </sheetView>
  </sheetViews>
  <sheetFormatPr defaultColWidth="9" defaultRowHeight="12"/>
  <cols>
    <col min="1" max="1" width="34.42578125" style="166" customWidth="1"/>
    <col min="2" max="2" width="25.42578125" style="166" customWidth="1"/>
    <col min="3" max="4" width="8" style="166" customWidth="1"/>
    <col min="5" max="5" width="8.5703125" style="166" customWidth="1"/>
    <col min="6" max="7" width="8" style="166" customWidth="1"/>
    <col min="8" max="9" width="8.5703125" style="166" customWidth="1"/>
    <col min="10" max="16384" width="9" style="166"/>
  </cols>
  <sheetData>
    <row r="1" spans="1:13" ht="15.75">
      <c r="A1" s="294" t="s">
        <v>181</v>
      </c>
      <c r="B1" s="294"/>
      <c r="C1" s="295"/>
      <c r="D1" s="295"/>
      <c r="E1" s="295"/>
      <c r="F1" s="295"/>
      <c r="G1" s="295"/>
      <c r="H1"/>
    </row>
    <row r="2" spans="1:13" ht="12" customHeight="1">
      <c r="A2" s="4" t="s">
        <v>1</v>
      </c>
      <c r="B2" s="4"/>
      <c r="C2" s="295"/>
      <c r="D2" s="295"/>
      <c r="E2" s="295"/>
      <c r="F2" s="295"/>
      <c r="G2" s="295"/>
    </row>
    <row r="3" spans="1:13">
      <c r="B3" s="162" t="s">
        <v>6</v>
      </c>
      <c r="C3" s="649" t="s">
        <v>285</v>
      </c>
      <c r="D3" s="649"/>
      <c r="E3" s="8" t="s">
        <v>325</v>
      </c>
      <c r="F3" s="7" t="s">
        <v>364</v>
      </c>
      <c r="G3" s="7" t="s">
        <v>365</v>
      </c>
    </row>
    <row r="4" spans="1:13">
      <c r="A4" s="296"/>
      <c r="B4" s="526" t="s">
        <v>7</v>
      </c>
      <c r="C4" s="526" t="s">
        <v>8</v>
      </c>
      <c r="D4" s="526" t="s">
        <v>9</v>
      </c>
      <c r="E4" s="11" t="s">
        <v>448</v>
      </c>
      <c r="F4" s="10" t="s">
        <v>11</v>
      </c>
      <c r="G4" s="10" t="s">
        <v>11</v>
      </c>
    </row>
    <row r="5" spans="1:13" ht="15" customHeight="1">
      <c r="A5" s="492" t="s">
        <v>359</v>
      </c>
      <c r="B5" s="297">
        <v>7471</v>
      </c>
      <c r="C5" s="299">
        <v>7289</v>
      </c>
      <c r="D5" s="299">
        <v>5293</v>
      </c>
      <c r="E5" s="300">
        <v>9651</v>
      </c>
      <c r="F5" s="299">
        <v>12380</v>
      </c>
      <c r="G5" s="299">
        <v>19574</v>
      </c>
      <c r="J5" s="297"/>
    </row>
    <row r="6" spans="1:13" ht="13.5" customHeight="1">
      <c r="A6" s="298" t="s">
        <v>449</v>
      </c>
      <c r="B6" s="297">
        <v>438</v>
      </c>
      <c r="C6" s="299">
        <v>503</v>
      </c>
      <c r="D6" s="299">
        <v>120</v>
      </c>
      <c r="E6" s="300">
        <v>270</v>
      </c>
      <c r="F6" s="299">
        <v>366</v>
      </c>
      <c r="G6" s="297">
        <v>310</v>
      </c>
    </row>
    <row r="7" spans="1:13" ht="13.5" customHeight="1">
      <c r="A7" s="298" t="s">
        <v>182</v>
      </c>
      <c r="B7" s="302">
        <v>634</v>
      </c>
      <c r="C7" s="545">
        <v>408</v>
      </c>
      <c r="D7" s="545">
        <v>1150</v>
      </c>
      <c r="E7" s="546">
        <v>1486</v>
      </c>
      <c r="F7" s="545">
        <v>1184</v>
      </c>
      <c r="G7" s="302">
        <v>922</v>
      </c>
      <c r="J7"/>
      <c r="K7"/>
      <c r="L7"/>
      <c r="M7"/>
    </row>
    <row r="8" spans="1:13" s="549" customFormat="1" ht="13.5" customHeight="1">
      <c r="A8" s="547" t="s">
        <v>426</v>
      </c>
      <c r="B8" s="548">
        <v>8543</v>
      </c>
      <c r="C8" s="548">
        <v>8200</v>
      </c>
      <c r="D8" s="548">
        <v>6563</v>
      </c>
      <c r="E8" s="300">
        <v>11407</v>
      </c>
      <c r="F8" s="301">
        <v>13930</v>
      </c>
      <c r="G8" s="548">
        <v>20806</v>
      </c>
      <c r="J8" s="198"/>
      <c r="K8" s="198"/>
      <c r="L8" s="198"/>
      <c r="M8" s="198"/>
    </row>
    <row r="9" spans="1:13" ht="13.5" customHeight="1">
      <c r="A9" s="298" t="s">
        <v>427</v>
      </c>
      <c r="B9" s="297">
        <v>4885</v>
      </c>
      <c r="C9" s="299">
        <v>11600</v>
      </c>
      <c r="D9" s="299">
        <v>4752</v>
      </c>
      <c r="E9" s="300">
        <v>0</v>
      </c>
      <c r="F9" s="299">
        <v>0</v>
      </c>
      <c r="G9" s="297">
        <v>0</v>
      </c>
      <c r="J9"/>
      <c r="K9"/>
      <c r="L9"/>
      <c r="M9"/>
    </row>
    <row r="10" spans="1:13" ht="15" customHeight="1" thickBot="1">
      <c r="A10" s="201" t="s">
        <v>183</v>
      </c>
      <c r="B10" s="265">
        <v>13428</v>
      </c>
      <c r="C10" s="265">
        <v>19800</v>
      </c>
      <c r="D10" s="265">
        <v>11315</v>
      </c>
      <c r="E10" s="292">
        <v>11407</v>
      </c>
      <c r="F10" s="265">
        <v>13930</v>
      </c>
      <c r="G10" s="265">
        <v>20806</v>
      </c>
      <c r="H10"/>
      <c r="J10"/>
      <c r="K10"/>
      <c r="L10"/>
      <c r="M10"/>
    </row>
    <row r="11" spans="1:13" ht="13.5" customHeight="1">
      <c r="A11" s="298"/>
      <c r="B11" s="298"/>
      <c r="C11" s="297"/>
      <c r="D11" s="297"/>
      <c r="E11" s="297"/>
    </row>
    <row r="12" spans="1:13">
      <c r="C12" s="168"/>
      <c r="D12" s="168"/>
    </row>
  </sheetData>
  <mergeCells count="1">
    <mergeCell ref="C3:D3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tabColor rgb="FFFFC000"/>
  </sheetPr>
  <dimension ref="A1:M52"/>
  <sheetViews>
    <sheetView showGridLines="0" zoomScale="140" zoomScaleNormal="140" zoomScaleSheetLayoutView="100" workbookViewId="0">
      <selection activeCell="I16" sqref="I16"/>
    </sheetView>
  </sheetViews>
  <sheetFormatPr defaultColWidth="9" defaultRowHeight="12"/>
  <cols>
    <col min="1" max="1" width="52.5703125" style="166" customWidth="1"/>
    <col min="2" max="7" width="8" style="166" customWidth="1"/>
    <col min="8" max="9" width="8.5703125" style="166" customWidth="1"/>
    <col min="10" max="16384" width="9" style="166"/>
  </cols>
  <sheetData>
    <row r="1" spans="1:13" ht="18.75" customHeight="1">
      <c r="A1" s="294" t="s">
        <v>447</v>
      </c>
      <c r="B1" s="294"/>
      <c r="C1" s="295"/>
      <c r="D1" s="295"/>
      <c r="E1" s="295"/>
      <c r="F1" s="295"/>
      <c r="G1" s="295"/>
      <c r="H1"/>
    </row>
    <row r="2" spans="1:13" ht="12" customHeight="1">
      <c r="A2" s="4" t="s">
        <v>1</v>
      </c>
      <c r="B2" s="4"/>
      <c r="C2" s="295"/>
      <c r="D2" s="295"/>
      <c r="E2" s="295"/>
      <c r="F2" s="295"/>
      <c r="G2" s="295"/>
    </row>
    <row r="3" spans="1:13" ht="12" customHeight="1">
      <c r="B3" s="7" t="s">
        <v>6</v>
      </c>
      <c r="C3" s="642" t="s">
        <v>285</v>
      </c>
      <c r="D3" s="642"/>
      <c r="E3" s="8" t="s">
        <v>325</v>
      </c>
      <c r="F3" s="7" t="s">
        <v>364</v>
      </c>
      <c r="G3" s="7" t="s">
        <v>365</v>
      </c>
    </row>
    <row r="4" spans="1:13" ht="12" customHeight="1">
      <c r="A4" s="296"/>
      <c r="B4" s="10" t="s">
        <v>7</v>
      </c>
      <c r="C4" s="10" t="s">
        <v>8</v>
      </c>
      <c r="D4" s="10" t="s">
        <v>9</v>
      </c>
      <c r="E4" s="11" t="s">
        <v>10</v>
      </c>
      <c r="F4" s="10" t="s">
        <v>11</v>
      </c>
      <c r="G4" s="10" t="s">
        <v>11</v>
      </c>
    </row>
    <row r="5" spans="1:13" ht="15" customHeight="1">
      <c r="A5" s="452" t="s">
        <v>186</v>
      </c>
      <c r="B5" s="453">
        <v>8150</v>
      </c>
      <c r="C5" s="453">
        <v>2000</v>
      </c>
      <c r="D5" s="453">
        <v>0</v>
      </c>
      <c r="E5" s="454">
        <v>2281</v>
      </c>
      <c r="F5" s="544">
        <v>2786</v>
      </c>
      <c r="G5" s="453">
        <v>4161</v>
      </c>
    </row>
    <row r="6" spans="1:13" s="306" customFormat="1" ht="12.75" customHeight="1">
      <c r="A6" s="298" t="s">
        <v>187</v>
      </c>
      <c r="B6" s="297">
        <v>0</v>
      </c>
      <c r="C6" s="297">
        <v>120</v>
      </c>
      <c r="D6" s="297">
        <v>0</v>
      </c>
      <c r="E6" s="300">
        <v>0</v>
      </c>
      <c r="F6" s="299">
        <v>0</v>
      </c>
      <c r="G6" s="297">
        <v>0</v>
      </c>
      <c r="L6" s="307"/>
    </row>
    <row r="7" spans="1:13" ht="12.75" customHeight="1">
      <c r="A7" s="298" t="s">
        <v>188</v>
      </c>
      <c r="B7" s="297">
        <v>5278</v>
      </c>
      <c r="C7" s="297">
        <v>17680</v>
      </c>
      <c r="D7" s="297">
        <v>11315</v>
      </c>
      <c r="E7" s="300">
        <v>9126</v>
      </c>
      <c r="F7" s="299">
        <v>11144</v>
      </c>
      <c r="G7" s="297">
        <v>16645</v>
      </c>
    </row>
    <row r="8" spans="1:13" ht="15" customHeight="1" thickBot="1">
      <c r="A8" s="201" t="s">
        <v>189</v>
      </c>
      <c r="B8" s="202">
        <v>13428</v>
      </c>
      <c r="C8" s="202">
        <v>19800</v>
      </c>
      <c r="D8" s="202">
        <v>11315</v>
      </c>
      <c r="E8" s="292">
        <v>11407</v>
      </c>
      <c r="F8" s="265">
        <v>13930</v>
      </c>
      <c r="G8" s="265">
        <v>20806</v>
      </c>
      <c r="H8"/>
    </row>
    <row r="10" spans="1:13" ht="13.5" customHeight="1">
      <c r="J10" s="297"/>
    </row>
    <row r="11" spans="1:13" ht="13.5" customHeight="1"/>
    <row r="12" spans="1:13" ht="13.5" customHeight="1"/>
    <row r="13" spans="1:13" ht="13.5" customHeight="1"/>
    <row r="14" spans="1:13" ht="13.5" customHeight="1"/>
    <row r="15" spans="1:13" ht="13.5" customHeight="1"/>
    <row r="16" spans="1:13" s="306" customFormat="1" ht="15" customHeight="1">
      <c r="L16" s="307"/>
      <c r="M16" s="307"/>
    </row>
    <row r="17" spans="1:9">
      <c r="C17" s="168"/>
      <c r="D17" s="168"/>
    </row>
    <row r="20" spans="1:9">
      <c r="C20" s="268"/>
      <c r="D20" s="268"/>
      <c r="E20" s="268"/>
      <c r="F20" s="268"/>
      <c r="G20" s="268"/>
      <c r="H20" s="268"/>
      <c r="I20" s="268"/>
    </row>
    <row r="21" spans="1:9">
      <c r="A21" s="650"/>
      <c r="B21" s="650"/>
      <c r="C21" s="650"/>
      <c r="D21" s="650"/>
      <c r="E21" s="650"/>
      <c r="F21" s="650"/>
      <c r="G21" s="650"/>
      <c r="H21" s="650"/>
      <c r="I21" s="650"/>
    </row>
    <row r="23" spans="1:9">
      <c r="A23"/>
      <c r="B23"/>
      <c r="C23"/>
      <c r="D23"/>
      <c r="E23"/>
      <c r="F23"/>
      <c r="G23"/>
      <c r="H23"/>
      <c r="I23"/>
    </row>
    <row r="24" spans="1:9">
      <c r="A24"/>
      <c r="B24"/>
      <c r="C24"/>
      <c r="D24"/>
      <c r="E24"/>
      <c r="F24"/>
      <c r="G24"/>
      <c r="H24"/>
      <c r="I24"/>
    </row>
    <row r="25" spans="1:9">
      <c r="A25"/>
      <c r="B25"/>
      <c r="C25"/>
      <c r="D25"/>
      <c r="E25"/>
      <c r="F25"/>
      <c r="G25"/>
      <c r="H25"/>
      <c r="I25"/>
    </row>
    <row r="26" spans="1:9">
      <c r="A26"/>
      <c r="B26"/>
      <c r="C26"/>
      <c r="D26"/>
      <c r="E26"/>
      <c r="F26"/>
      <c r="G26"/>
      <c r="H26"/>
      <c r="I26"/>
    </row>
    <row r="27" spans="1:9">
      <c r="A27"/>
      <c r="B27"/>
      <c r="C27"/>
      <c r="D27"/>
      <c r="E27"/>
      <c r="F27"/>
      <c r="G27"/>
      <c r="H27"/>
      <c r="I27"/>
    </row>
    <row r="28" spans="1:9">
      <c r="A28"/>
      <c r="B28"/>
      <c r="C28"/>
      <c r="D28"/>
      <c r="E28"/>
      <c r="F28"/>
      <c r="G28"/>
      <c r="H28"/>
      <c r="I28"/>
    </row>
    <row r="29" spans="1:9">
      <c r="A29"/>
      <c r="B29"/>
      <c r="C29"/>
      <c r="D29"/>
      <c r="E29"/>
      <c r="F29"/>
      <c r="G29"/>
      <c r="H29"/>
      <c r="I29"/>
    </row>
    <row r="30" spans="1:9">
      <c r="A30"/>
      <c r="B30"/>
      <c r="C30"/>
      <c r="D30"/>
      <c r="E30"/>
      <c r="F30"/>
      <c r="G30"/>
      <c r="H30"/>
      <c r="I30"/>
    </row>
    <row r="31" spans="1:9">
      <c r="A31"/>
      <c r="B31"/>
      <c r="C31"/>
      <c r="D31"/>
      <c r="E31"/>
      <c r="F31"/>
      <c r="G31"/>
      <c r="H31"/>
      <c r="I31"/>
    </row>
    <row r="32" spans="1:9">
      <c r="A32"/>
      <c r="B32"/>
      <c r="C32"/>
      <c r="D32"/>
      <c r="E32"/>
      <c r="F32"/>
      <c r="G32"/>
      <c r="H32"/>
      <c r="I32"/>
    </row>
    <row r="33" spans="1:9">
      <c r="A33"/>
      <c r="B33"/>
      <c r="C33"/>
      <c r="D33"/>
      <c r="E33"/>
      <c r="F33"/>
      <c r="G33"/>
      <c r="H33"/>
      <c r="I33"/>
    </row>
    <row r="34" spans="1:9">
      <c r="A34"/>
      <c r="B34"/>
      <c r="C34"/>
      <c r="D34"/>
      <c r="E34"/>
      <c r="F34"/>
      <c r="G34"/>
      <c r="H34"/>
      <c r="I34"/>
    </row>
    <row r="35" spans="1:9">
      <c r="A35"/>
      <c r="B35"/>
      <c r="C35"/>
      <c r="D35"/>
      <c r="E35"/>
      <c r="F35"/>
      <c r="G35"/>
      <c r="H35"/>
      <c r="I35"/>
    </row>
    <row r="36" spans="1:9">
      <c r="A36"/>
      <c r="B36"/>
      <c r="C36"/>
      <c r="D36"/>
      <c r="E36"/>
      <c r="F36"/>
      <c r="G36"/>
      <c r="H36"/>
      <c r="I36"/>
    </row>
    <row r="37" spans="1:9">
      <c r="A37"/>
      <c r="B37"/>
      <c r="C37"/>
      <c r="D37"/>
      <c r="E37"/>
      <c r="F37"/>
      <c r="G37"/>
      <c r="H37"/>
      <c r="I37"/>
    </row>
    <row r="38" spans="1:9">
      <c r="A38"/>
      <c r="B38"/>
      <c r="C38"/>
      <c r="D38"/>
      <c r="E38"/>
      <c r="F38"/>
      <c r="G38"/>
      <c r="H38"/>
      <c r="I38"/>
    </row>
    <row r="39" spans="1:9">
      <c r="A39"/>
      <c r="B39"/>
      <c r="C39"/>
      <c r="D39"/>
      <c r="E39"/>
      <c r="F39"/>
      <c r="G39"/>
      <c r="H39"/>
      <c r="I39"/>
    </row>
    <row r="40" spans="1:9">
      <c r="A40"/>
      <c r="B40"/>
      <c r="C40"/>
      <c r="D40"/>
      <c r="E40"/>
      <c r="F40"/>
      <c r="G40"/>
      <c r="H40"/>
      <c r="I40"/>
    </row>
    <row r="41" spans="1:9">
      <c r="A41"/>
      <c r="B41"/>
      <c r="C41"/>
      <c r="D41"/>
      <c r="E41"/>
      <c r="F41"/>
      <c r="G41"/>
      <c r="H41"/>
      <c r="I41"/>
    </row>
    <row r="42" spans="1:9">
      <c r="A42"/>
      <c r="B42"/>
      <c r="C42"/>
      <c r="D42"/>
      <c r="E42"/>
      <c r="F42"/>
      <c r="G42"/>
      <c r="H42"/>
      <c r="I42"/>
    </row>
    <row r="43" spans="1:9">
      <c r="A43"/>
      <c r="B43"/>
      <c r="C43"/>
      <c r="D43"/>
      <c r="E43"/>
      <c r="F43"/>
      <c r="G43"/>
      <c r="H43"/>
      <c r="I43"/>
    </row>
    <row r="44" spans="1:9">
      <c r="A44"/>
      <c r="B44"/>
      <c r="C44"/>
      <c r="D44"/>
      <c r="E44"/>
      <c r="F44"/>
      <c r="G44"/>
      <c r="H44"/>
      <c r="I44"/>
    </row>
    <row r="45" spans="1:9">
      <c r="A45"/>
      <c r="B45"/>
      <c r="C45"/>
      <c r="D45"/>
      <c r="E45"/>
      <c r="F45"/>
      <c r="G45"/>
      <c r="H45"/>
      <c r="I45"/>
    </row>
    <row r="46" spans="1:9">
      <c r="A46"/>
      <c r="B46"/>
      <c r="C46"/>
      <c r="D46"/>
      <c r="E46"/>
      <c r="F46"/>
      <c r="G46"/>
      <c r="H46"/>
      <c r="I46"/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/>
      <c r="C48"/>
      <c r="D48"/>
      <c r="E48"/>
      <c r="F48"/>
      <c r="G48"/>
      <c r="H48"/>
      <c r="I48"/>
    </row>
    <row r="49" spans="1:9">
      <c r="A49"/>
      <c r="B49"/>
      <c r="C49"/>
      <c r="D49"/>
      <c r="E49"/>
      <c r="F49"/>
      <c r="G49"/>
      <c r="H49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  <row r="52" spans="1:9">
      <c r="A52"/>
      <c r="B52"/>
      <c r="C52"/>
      <c r="D52"/>
      <c r="E52"/>
      <c r="F52"/>
      <c r="G52"/>
      <c r="H52"/>
      <c r="I52"/>
    </row>
  </sheetData>
  <mergeCells count="2">
    <mergeCell ref="C3:D3"/>
    <mergeCell ref="A21:I21"/>
  </mergeCells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2">
    <tabColor theme="1"/>
    <pageSetUpPr fitToPage="1"/>
  </sheetPr>
  <dimension ref="A1:G112"/>
  <sheetViews>
    <sheetView showGridLines="0" zoomScaleNormal="100" zoomScaleSheetLayoutView="100" workbookViewId="0">
      <selection activeCell="O76" sqref="O76"/>
    </sheetView>
  </sheetViews>
  <sheetFormatPr defaultColWidth="9" defaultRowHeight="11.25"/>
  <cols>
    <col min="1" max="1" width="36.85546875" style="40" customWidth="1"/>
    <col min="2" max="2" width="9" style="354" customWidth="1"/>
    <col min="3" max="3" width="2.42578125" style="354" customWidth="1"/>
    <col min="4" max="4" width="34.85546875" style="39" customWidth="1"/>
    <col min="5" max="5" width="9" style="39" customWidth="1"/>
    <col min="6" max="16384" width="9" style="39"/>
  </cols>
  <sheetData>
    <row r="1" spans="1:6" ht="15.75">
      <c r="A1" s="1" t="s">
        <v>435</v>
      </c>
      <c r="F1" s="39" t="s">
        <v>505</v>
      </c>
    </row>
    <row r="2" spans="1:6" s="164" customFormat="1" ht="12.75" customHeight="1">
      <c r="A2" s="199" t="s">
        <v>242</v>
      </c>
      <c r="B2" s="355"/>
      <c r="C2" s="355"/>
    </row>
    <row r="3" spans="1:6" s="164" customFormat="1" ht="10.5" customHeight="1">
      <c r="B3" s="365"/>
      <c r="C3" s="362"/>
    </row>
    <row r="4" spans="1:6" s="187" customFormat="1" ht="15" customHeight="1">
      <c r="A4" s="356" t="s">
        <v>243</v>
      </c>
      <c r="B4" s="559">
        <f>'Sch 4 Revenue'!E43*1000</f>
        <v>1539670</v>
      </c>
      <c r="C4" s="357"/>
      <c r="D4" s="358"/>
      <c r="E4" s="358"/>
    </row>
    <row r="5" spans="1:6" s="187" customFormat="1" ht="15" customHeight="1">
      <c r="A5" s="251" t="s">
        <v>328</v>
      </c>
      <c r="B5" s="360"/>
      <c r="C5" s="361"/>
      <c r="D5" s="251" t="s">
        <v>374</v>
      </c>
      <c r="E5" s="49"/>
    </row>
    <row r="6" spans="1:6" s="187" customFormat="1" ht="12.75" customHeight="1">
      <c r="A6" s="323" t="s">
        <v>368</v>
      </c>
      <c r="B6" s="362">
        <v>15362</v>
      </c>
      <c r="C6" s="362"/>
      <c r="D6" s="323" t="s">
        <v>252</v>
      </c>
      <c r="E6" s="49"/>
    </row>
    <row r="7" spans="1:6" s="187" customFormat="1" ht="12.75" customHeight="1">
      <c r="A7" s="323" t="s">
        <v>369</v>
      </c>
      <c r="B7" s="362">
        <v>11913</v>
      </c>
      <c r="C7" s="362"/>
      <c r="E7" s="169">
        <v>4574</v>
      </c>
    </row>
    <row r="8" spans="1:6" s="187" customFormat="1" ht="12.75" customHeight="1">
      <c r="A8" s="323"/>
      <c r="B8" s="362"/>
      <c r="C8" s="362"/>
      <c r="D8" s="359" t="s">
        <v>99</v>
      </c>
    </row>
    <row r="9" spans="1:6" s="187" customFormat="1" ht="12.75" customHeight="1">
      <c r="A9" s="46" t="s">
        <v>379</v>
      </c>
      <c r="B9" s="362"/>
      <c r="C9" s="362"/>
      <c r="D9" s="323" t="s">
        <v>249</v>
      </c>
    </row>
    <row r="10" spans="1:6" s="187" customFormat="1" ht="12.75" customHeight="1">
      <c r="A10" s="323" t="s">
        <v>251</v>
      </c>
      <c r="B10" s="362">
        <v>34585</v>
      </c>
      <c r="C10" s="362"/>
      <c r="D10" s="323" t="s">
        <v>250</v>
      </c>
      <c r="E10" s="169">
        <v>200</v>
      </c>
    </row>
    <row r="11" spans="1:6" s="187" customFormat="1" ht="12.75" customHeight="1">
      <c r="A11" s="323" t="s">
        <v>324</v>
      </c>
      <c r="B11" s="362">
        <v>1705</v>
      </c>
      <c r="C11" s="362"/>
      <c r="E11" s="169">
        <v>161000</v>
      </c>
    </row>
    <row r="12" spans="1:6" s="187" customFormat="1" ht="12.75" customHeight="1">
      <c r="A12" s="323" t="s">
        <v>254</v>
      </c>
      <c r="B12" s="362">
        <v>50000</v>
      </c>
      <c r="C12" s="362"/>
      <c r="D12" s="187" t="s">
        <v>375</v>
      </c>
    </row>
    <row r="13" spans="1:6" s="187" customFormat="1" ht="12.75" customHeight="1">
      <c r="A13" s="323" t="s">
        <v>255</v>
      </c>
      <c r="B13" s="362">
        <v>14025</v>
      </c>
      <c r="C13" s="362"/>
      <c r="D13" s="323" t="s">
        <v>253</v>
      </c>
      <c r="E13" s="169"/>
    </row>
    <row r="14" spans="1:6" s="187" customFormat="1" ht="12.75" customHeight="1">
      <c r="A14" s="51" t="s">
        <v>257</v>
      </c>
      <c r="B14" s="362">
        <v>1450</v>
      </c>
      <c r="C14" s="362"/>
      <c r="E14" s="169">
        <v>400</v>
      </c>
    </row>
    <row r="15" spans="1:6" s="187" customFormat="1" ht="12.75" customHeight="1">
      <c r="A15" s="323" t="s">
        <v>258</v>
      </c>
      <c r="B15" s="362">
        <v>2200</v>
      </c>
      <c r="C15" s="362"/>
      <c r="D15" s="187" t="s">
        <v>329</v>
      </c>
    </row>
    <row r="16" spans="1:6" s="187" customFormat="1" ht="12.75" customHeight="1">
      <c r="A16" s="323"/>
      <c r="B16" s="362"/>
      <c r="C16" s="362"/>
      <c r="D16" s="323" t="s">
        <v>247</v>
      </c>
      <c r="E16" s="169"/>
    </row>
    <row r="17" spans="1:7" s="187" customFormat="1" ht="12.75" customHeight="1">
      <c r="A17" s="187" t="s">
        <v>371</v>
      </c>
      <c r="B17" s="362"/>
      <c r="C17" s="362"/>
      <c r="D17" s="323" t="s">
        <v>248</v>
      </c>
      <c r="E17" s="169">
        <v>52000</v>
      </c>
    </row>
    <row r="18" spans="1:7" s="164" customFormat="1" ht="12.75" customHeight="1">
      <c r="A18" s="51" t="s">
        <v>245</v>
      </c>
      <c r="B18" s="362">
        <v>6500</v>
      </c>
      <c r="C18" s="362"/>
      <c r="E18" s="169">
        <v>12000</v>
      </c>
    </row>
    <row r="19" spans="1:7" s="187" customFormat="1" ht="12.75" customHeight="1">
      <c r="B19" s="362"/>
      <c r="C19" s="362"/>
      <c r="D19" s="251" t="s">
        <v>334</v>
      </c>
      <c r="E19" s="169"/>
    </row>
    <row r="20" spans="1:7" s="187" customFormat="1" ht="12.75" customHeight="1">
      <c r="A20" s="46" t="s">
        <v>96</v>
      </c>
      <c r="B20" s="362"/>
      <c r="C20" s="362"/>
      <c r="D20" s="34" t="s">
        <v>321</v>
      </c>
      <c r="E20" s="169"/>
    </row>
    <row r="21" spans="1:7" s="187" customFormat="1" ht="12.75" customHeight="1">
      <c r="A21" s="323" t="s">
        <v>261</v>
      </c>
      <c r="B21" s="362">
        <v>150000</v>
      </c>
      <c r="C21" s="362"/>
      <c r="D21" s="164" t="s">
        <v>259</v>
      </c>
      <c r="E21" s="169">
        <v>1600</v>
      </c>
    </row>
    <row r="22" spans="1:7" s="187" customFormat="1" ht="12.75" customHeight="1">
      <c r="A22" s="323" t="s">
        <v>102</v>
      </c>
      <c r="B22" s="362">
        <v>150000</v>
      </c>
      <c r="C22" s="362"/>
      <c r="D22" s="164" t="s">
        <v>260</v>
      </c>
      <c r="E22" s="169">
        <v>44200</v>
      </c>
    </row>
    <row r="23" spans="1:7" s="187" customFormat="1" ht="12.75" customHeight="1">
      <c r="A23" s="164"/>
      <c r="B23" s="362"/>
      <c r="C23" s="362"/>
      <c r="D23" s="164"/>
      <c r="E23" s="164"/>
    </row>
    <row r="24" spans="1:7" s="164" customFormat="1" ht="12.75" customHeight="1">
      <c r="A24" s="251" t="s">
        <v>330</v>
      </c>
      <c r="B24" s="362"/>
      <c r="C24" s="362"/>
      <c r="D24" s="187" t="s">
        <v>376</v>
      </c>
      <c r="E24" s="169"/>
    </row>
    <row r="25" spans="1:7" s="164" customFormat="1" ht="12.75" customHeight="1">
      <c r="A25" s="363" t="s">
        <v>244</v>
      </c>
      <c r="B25" s="362">
        <v>500</v>
      </c>
      <c r="C25" s="362"/>
      <c r="D25" s="323" t="s">
        <v>255</v>
      </c>
      <c r="E25" s="169">
        <v>22605</v>
      </c>
    </row>
    <row r="26" spans="1:7" s="164" customFormat="1" ht="12.75" customHeight="1">
      <c r="B26" s="362"/>
      <c r="C26" s="362"/>
      <c r="D26" s="323" t="s">
        <v>423</v>
      </c>
      <c r="E26" s="169">
        <v>2500</v>
      </c>
    </row>
    <row r="27" spans="1:7" s="164" customFormat="1" ht="12.75" customHeight="1">
      <c r="A27" s="251" t="s">
        <v>373</v>
      </c>
      <c r="B27" s="362"/>
      <c r="C27" s="362"/>
      <c r="D27" s="323"/>
    </row>
    <row r="28" spans="1:7" s="164" customFormat="1" ht="12.75" customHeight="1">
      <c r="A28" s="363" t="s">
        <v>441</v>
      </c>
      <c r="B28" s="362">
        <v>10000</v>
      </c>
      <c r="C28" s="362"/>
      <c r="D28" s="187" t="s">
        <v>102</v>
      </c>
      <c r="E28" s="169"/>
    </row>
    <row r="29" spans="1:7" s="164" customFormat="1" ht="12.75" customHeight="1">
      <c r="D29" s="323" t="s">
        <v>256</v>
      </c>
      <c r="E29" s="169">
        <v>40000</v>
      </c>
    </row>
    <row r="30" spans="1:7" s="164" customFormat="1" ht="12.75" customHeight="1">
      <c r="A30" s="251" t="s">
        <v>98</v>
      </c>
      <c r="B30" s="362"/>
      <c r="C30" s="362"/>
      <c r="D30" s="187"/>
      <c r="E30" s="49"/>
    </row>
    <row r="31" spans="1:7" s="164" customFormat="1" ht="12.75" customHeight="1">
      <c r="A31" s="323" t="s">
        <v>246</v>
      </c>
      <c r="B31" s="169">
        <v>750351</v>
      </c>
      <c r="C31" s="362"/>
      <c r="D31" s="323"/>
      <c r="E31" s="49"/>
    </row>
    <row r="32" spans="1:7" s="164" customFormat="1" ht="12.75" customHeight="1" thickBot="1">
      <c r="A32" s="527"/>
      <c r="B32" s="528"/>
      <c r="C32" s="529"/>
      <c r="D32" s="530" t="s">
        <v>262</v>
      </c>
      <c r="E32" s="531">
        <f>SUM(B5:B32)+SUM(E5:E31)</f>
        <v>1539670</v>
      </c>
      <c r="G32" s="164" t="s">
        <v>450</v>
      </c>
    </row>
    <row r="33" spans="1:5" s="187" customFormat="1" ht="12.75" customHeight="1">
      <c r="C33" s="362"/>
      <c r="E33" s="49"/>
    </row>
    <row r="34" spans="1:5" s="187" customFormat="1" ht="12.75" customHeight="1">
      <c r="C34" s="362"/>
      <c r="D34" s="552" t="s">
        <v>439</v>
      </c>
      <c r="E34" s="49">
        <f>B4-E32</f>
        <v>0</v>
      </c>
    </row>
    <row r="35" spans="1:5" s="164" customFormat="1" ht="12.75" customHeight="1">
      <c r="B35" s="362"/>
      <c r="C35" s="38"/>
    </row>
    <row r="36" spans="1:5" s="164" customFormat="1" ht="12.75" customHeight="1">
      <c r="B36" s="362"/>
      <c r="C36" s="366"/>
    </row>
    <row r="37" spans="1:5" s="164" customFormat="1" ht="20.25" customHeight="1">
      <c r="A37" s="550" t="s">
        <v>429</v>
      </c>
      <c r="B37" s="362"/>
      <c r="C37" s="366"/>
    </row>
    <row r="38" spans="1:5" s="164" customFormat="1" ht="10.5" customHeight="1">
      <c r="B38" s="187"/>
      <c r="C38" s="38"/>
    </row>
    <row r="39" spans="1:5" s="164" customFormat="1" ht="12.75" customHeight="1">
      <c r="B39" s="187"/>
      <c r="C39" s="187"/>
    </row>
    <row r="40" spans="1:5" s="164" customFormat="1" ht="10.5" customHeight="1">
      <c r="B40" s="362"/>
      <c r="C40" s="366"/>
    </row>
    <row r="41" spans="1:5" s="164" customFormat="1" ht="12.75" customHeight="1">
      <c r="B41" s="362"/>
      <c r="C41" s="366"/>
    </row>
    <row r="42" spans="1:5" s="164" customFormat="1" ht="12.75" customHeight="1">
      <c r="B42" s="362"/>
      <c r="C42" s="366"/>
    </row>
    <row r="43" spans="1:5" s="164" customFormat="1" ht="12.75" customHeight="1">
      <c r="B43" s="362"/>
      <c r="C43" s="38"/>
    </row>
    <row r="44" spans="1:5" s="164" customFormat="1" ht="10.5" customHeight="1">
      <c r="B44" s="362"/>
      <c r="C44" s="38"/>
    </row>
    <row r="45" spans="1:5" s="164" customFormat="1" ht="12.75" customHeight="1">
      <c r="B45" s="362"/>
      <c r="C45" s="38"/>
    </row>
    <row r="46" spans="1:5" s="164" customFormat="1" ht="12.75" customHeight="1">
      <c r="B46" s="362"/>
      <c r="C46" s="38"/>
    </row>
    <row r="47" spans="1:5" s="164" customFormat="1" ht="12.75" customHeight="1">
      <c r="B47" s="362"/>
      <c r="C47" s="38"/>
    </row>
    <row r="48" spans="1:5" s="164" customFormat="1" ht="10.5" customHeight="1"/>
    <row r="49" spans="1:5" s="164" customFormat="1" ht="12.75" customHeight="1">
      <c r="B49" s="362"/>
    </row>
    <row r="50" spans="1:5" s="164" customFormat="1" ht="12.75" customHeight="1">
      <c r="B50" s="362"/>
    </row>
    <row r="51" spans="1:5" s="164" customFormat="1" ht="10.5" customHeight="1">
      <c r="B51" s="362"/>
    </row>
    <row r="52" spans="1:5" s="164" customFormat="1" ht="12.75" customHeight="1">
      <c r="B52" s="362"/>
    </row>
    <row r="53" spans="1:5" s="164" customFormat="1" ht="12.75" customHeight="1">
      <c r="B53" s="362"/>
    </row>
    <row r="54" spans="1:5" s="164" customFormat="1" ht="12.75" customHeight="1">
      <c r="B54" s="362"/>
    </row>
    <row r="55" spans="1:5" s="164" customFormat="1" ht="12.75" customHeight="1">
      <c r="B55" s="362"/>
      <c r="C55" s="38"/>
    </row>
    <row r="56" spans="1:5" s="164" customFormat="1" ht="12.75" customHeight="1">
      <c r="B56" s="366"/>
      <c r="C56" s="366"/>
    </row>
    <row r="57" spans="1:5" s="164" customFormat="1" ht="12.75" customHeight="1">
      <c r="B57" s="366"/>
      <c r="C57" s="366"/>
      <c r="D57" s="122"/>
      <c r="E57" s="122"/>
    </row>
    <row r="58" spans="1:5" s="164" customFormat="1" ht="12.75" customHeight="1">
      <c r="B58" s="366"/>
      <c r="C58" s="366"/>
    </row>
    <row r="59" spans="1:5" s="164" customFormat="1" ht="12.75" customHeight="1">
      <c r="A59" s="367"/>
      <c r="B59" s="366"/>
      <c r="C59" s="366"/>
    </row>
    <row r="60" spans="1:5" s="164" customFormat="1" ht="12.75" customHeight="1">
      <c r="B60" s="366"/>
      <c r="C60" s="366"/>
    </row>
    <row r="61" spans="1:5" s="164" customFormat="1" ht="12.75" customHeight="1">
      <c r="A61" s="39"/>
    </row>
    <row r="62" spans="1:5" s="164" customFormat="1" ht="12.75" customHeight="1">
      <c r="A62" s="39"/>
    </row>
    <row r="63" spans="1:5" s="164" customFormat="1" ht="12.75" customHeight="1">
      <c r="A63" s="39"/>
    </row>
    <row r="64" spans="1:5" s="164" customFormat="1" ht="12.75" customHeight="1">
      <c r="A64" s="39"/>
    </row>
    <row r="65" spans="1:5" s="164" customFormat="1" ht="12.75" customHeight="1">
      <c r="A65" s="39"/>
      <c r="D65" s="368"/>
      <c r="E65" s="368"/>
    </row>
    <row r="66" spans="1:5" s="164" customFormat="1" ht="12.75" customHeight="1">
      <c r="A66" s="39"/>
      <c r="D66" s="368"/>
      <c r="E66" s="368"/>
    </row>
    <row r="67" spans="1:5" s="164" customFormat="1" ht="12.75" customHeight="1">
      <c r="A67" s="368"/>
      <c r="D67" s="369"/>
      <c r="E67" s="369"/>
    </row>
    <row r="68" spans="1:5" s="164" customFormat="1" ht="12.75" customHeight="1">
      <c r="A68" s="39"/>
      <c r="D68" s="368"/>
      <c r="E68" s="368"/>
    </row>
    <row r="69" spans="1:5" s="164" customFormat="1" ht="12.75" customHeight="1">
      <c r="A69" s="39"/>
      <c r="B69" s="366"/>
      <c r="C69" s="366"/>
    </row>
    <row r="70" spans="1:5" s="164" customFormat="1" ht="12.75" customHeight="1">
      <c r="A70" s="39"/>
      <c r="B70" s="366"/>
      <c r="C70" s="366"/>
    </row>
    <row r="71" spans="1:5" s="164" customFormat="1" ht="12.75" customHeight="1">
      <c r="A71" s="39"/>
      <c r="B71" s="366"/>
      <c r="C71" s="366"/>
      <c r="D71" s="368"/>
      <c r="E71" s="368"/>
    </row>
    <row r="72" spans="1:5" s="164" customFormat="1" ht="12.75" customHeight="1">
      <c r="A72" s="39"/>
      <c r="B72" s="366"/>
      <c r="C72" s="366"/>
      <c r="D72" s="368"/>
      <c r="E72" s="368"/>
    </row>
    <row r="73" spans="1:5" s="164" customFormat="1" ht="12.75" customHeight="1">
      <c r="A73" s="39"/>
      <c r="B73" s="362"/>
      <c r="C73" s="362"/>
      <c r="D73" s="368"/>
      <c r="E73" s="368"/>
    </row>
    <row r="74" spans="1:5" s="164" customFormat="1" ht="12.75" customHeight="1">
      <c r="A74" s="39"/>
      <c r="B74" s="362"/>
      <c r="C74" s="362"/>
      <c r="D74" s="368"/>
      <c r="E74" s="368"/>
    </row>
    <row r="75" spans="1:5" s="164" customFormat="1" ht="12.75" customHeight="1">
      <c r="A75" s="39"/>
    </row>
    <row r="76" spans="1:5" ht="12" customHeight="1">
      <c r="A76" s="39"/>
      <c r="B76" s="164"/>
      <c r="C76" s="164"/>
      <c r="D76" s="164"/>
      <c r="E76" s="164"/>
    </row>
    <row r="77" spans="1:5" ht="12" customHeight="1">
      <c r="A77" s="39"/>
      <c r="B77" s="39"/>
      <c r="C77" s="39"/>
      <c r="D77" s="164"/>
      <c r="E77" s="164"/>
    </row>
    <row r="78" spans="1:5" ht="12" customHeight="1">
      <c r="A78" s="39"/>
      <c r="B78" s="39"/>
      <c r="C78" s="39"/>
      <c r="D78" s="164"/>
      <c r="E78" s="164"/>
    </row>
    <row r="79" spans="1:5" ht="12" customHeight="1">
      <c r="A79" s="39"/>
      <c r="B79" s="39"/>
      <c r="C79" s="39"/>
      <c r="D79" s="164"/>
      <c r="E79" s="164"/>
    </row>
    <row r="80" spans="1:5" ht="12" customHeight="1">
      <c r="A80" s="39"/>
      <c r="B80" s="39"/>
      <c r="C80" s="39"/>
      <c r="D80" s="164"/>
      <c r="E80" s="164"/>
    </row>
    <row r="81" s="39" customFormat="1" ht="12" customHeight="1"/>
    <row r="82" s="39" customFormat="1" ht="12" customHeight="1"/>
    <row r="83" s="39" customFormat="1" ht="12" customHeight="1"/>
    <row r="84" s="39" customFormat="1" ht="12" customHeight="1"/>
    <row r="85" s="39" customFormat="1" ht="12" customHeight="1"/>
    <row r="86" s="39" customFormat="1" ht="12" customHeight="1"/>
    <row r="87" s="39" customFormat="1" ht="12" customHeight="1"/>
    <row r="88" s="39" customFormat="1" ht="12" customHeight="1"/>
    <row r="89" s="39" customFormat="1" ht="12" customHeight="1"/>
    <row r="90" s="39" customFormat="1" ht="12" customHeight="1"/>
    <row r="91" s="39" customFormat="1" ht="12" customHeight="1"/>
    <row r="92" s="39" customFormat="1" ht="12" customHeight="1"/>
    <row r="93" s="39" customFormat="1" ht="12" customHeight="1"/>
    <row r="94" s="39" customFormat="1" ht="12" customHeight="1"/>
    <row r="95" s="39" customFormat="1" ht="12" customHeight="1"/>
    <row r="96" s="39" customFormat="1" ht="12" customHeight="1"/>
    <row r="97" spans="1:5" ht="12" customHeight="1">
      <c r="A97" s="39"/>
      <c r="B97" s="39"/>
      <c r="C97" s="39"/>
    </row>
    <row r="98" spans="1:5" ht="12" customHeight="1">
      <c r="A98" s="39"/>
      <c r="B98" s="39"/>
      <c r="C98" s="39"/>
    </row>
    <row r="99" spans="1:5" ht="12" customHeight="1">
      <c r="A99" s="39"/>
      <c r="B99" s="39"/>
      <c r="C99" s="39"/>
    </row>
    <row r="100" spans="1:5" ht="12" customHeight="1">
      <c r="A100" s="39"/>
      <c r="B100" s="39"/>
      <c r="C100" s="39"/>
    </row>
    <row r="101" spans="1:5" ht="12" customHeight="1">
      <c r="A101" s="39"/>
      <c r="B101" s="39"/>
      <c r="C101" s="39"/>
    </row>
    <row r="102" spans="1:5" ht="12" customHeight="1">
      <c r="A102" s="39"/>
      <c r="B102" s="39"/>
      <c r="C102" s="39"/>
    </row>
    <row r="103" spans="1:5" ht="12" customHeight="1">
      <c r="A103" s="39"/>
      <c r="B103" s="39"/>
      <c r="C103" s="39"/>
    </row>
    <row r="104" spans="1:5" ht="12" customHeight="1">
      <c r="A104" s="39"/>
      <c r="B104" s="39"/>
      <c r="C104" s="39"/>
    </row>
    <row r="105" spans="1:5" ht="12" customHeight="1">
      <c r="A105" s="39"/>
      <c r="B105" s="39"/>
      <c r="C105" s="39"/>
    </row>
    <row r="106" spans="1:5" s="251" customFormat="1" ht="15" customHeight="1">
      <c r="A106" s="39"/>
      <c r="B106" s="39"/>
      <c r="C106" s="39"/>
      <c r="D106" s="39"/>
      <c r="E106" s="39"/>
    </row>
    <row r="107" spans="1:5" ht="12" customHeight="1">
      <c r="A107" s="251"/>
      <c r="B107" s="251"/>
      <c r="C107" s="251"/>
    </row>
    <row r="108" spans="1:5">
      <c r="A108" s="39"/>
      <c r="B108" s="39"/>
      <c r="C108" s="39"/>
    </row>
    <row r="109" spans="1:5">
      <c r="A109" s="39"/>
      <c r="B109" s="39"/>
      <c r="C109" s="39"/>
    </row>
    <row r="110" spans="1:5">
      <c r="A110" s="39"/>
      <c r="B110" s="39"/>
      <c r="C110" s="39"/>
    </row>
    <row r="111" spans="1:5">
      <c r="A111" s="39"/>
      <c r="B111" s="39"/>
      <c r="C111" s="39"/>
    </row>
    <row r="112" spans="1:5">
      <c r="A112" s="39"/>
      <c r="B112" s="39"/>
      <c r="C112" s="39"/>
    </row>
  </sheetData>
  <pageMargins left="0.75" right="0.75" top="0.75" bottom="0.75" header="0.3" footer="0.3"/>
  <pageSetup orientation="portrait" r:id="rId1"/>
  <headerFooter alignWithMargins="0">
    <oddHeader>&amp;L&amp;8&amp;K000000pdf named: B25_FP_TBS_17_aolfr2.pdf&amp;R&amp;8&amp;K000000Budget 2025 - Fiscal Plan
Tables Section</oddHeader>
    <oddFooter>&amp;L&amp;"Calibri"&amp;11&amp;K000000&amp;8&amp;Z
&amp;F/&amp;A_x000D_&amp;1#&amp;"Calibri"&amp;11&amp;K000000 Classification: Public&amp;R&amp;8&amp;D/&amp;T&amp;L&amp;"Calibri"&amp;11&amp;K000000&amp;8&amp;Z
&amp;F/&amp;A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3">
    <tabColor rgb="FFFFC000"/>
  </sheetPr>
  <dimension ref="A1:D70"/>
  <sheetViews>
    <sheetView showGridLines="0" zoomScaleNormal="100" zoomScaleSheetLayoutView="110" workbookViewId="0">
      <selection activeCell="J25" sqref="J25"/>
    </sheetView>
  </sheetViews>
  <sheetFormatPr defaultColWidth="9" defaultRowHeight="12.75"/>
  <cols>
    <col min="1" max="1" width="67.42578125" style="401" customWidth="1"/>
    <col min="2" max="2" width="16.85546875" style="401" customWidth="1"/>
    <col min="3" max="3" width="15.85546875" style="401" customWidth="1"/>
    <col min="4" max="4" width="9" style="401"/>
    <col min="5" max="5" width="10.5703125" style="401" customWidth="1"/>
    <col min="6" max="6" width="19.5703125" style="401" customWidth="1"/>
    <col min="7" max="16384" width="9" style="401"/>
  </cols>
  <sheetData>
    <row r="1" spans="1:4" ht="15.75">
      <c r="A1" s="400" t="s">
        <v>282</v>
      </c>
      <c r="C1" s="611"/>
      <c r="D1" s="39"/>
    </row>
    <row r="2" spans="1:4" ht="18.75" hidden="1" customHeight="1">
      <c r="A2" s="403" t="s">
        <v>283</v>
      </c>
    </row>
    <row r="3" spans="1:4">
      <c r="A3" s="404" t="s">
        <v>284</v>
      </c>
      <c r="B3" s="612" t="s">
        <v>285</v>
      </c>
      <c r="C3" s="612" t="s">
        <v>325</v>
      </c>
      <c r="D3" s="402"/>
    </row>
    <row r="4" spans="1:4" ht="3.75" customHeight="1">
      <c r="A4" s="405"/>
      <c r="B4" s="406"/>
      <c r="C4" s="406"/>
      <c r="D4" s="402"/>
    </row>
    <row r="5" spans="1:4" ht="9.9499999999999993" customHeight="1">
      <c r="A5" s="407" t="s">
        <v>95</v>
      </c>
      <c r="B5" s="408"/>
      <c r="C5" s="408"/>
    </row>
    <row r="6" spans="1:4" ht="9.75" customHeight="1">
      <c r="A6" s="173" t="s">
        <v>451</v>
      </c>
      <c r="B6" s="594">
        <v>0</v>
      </c>
      <c r="C6" s="408" t="s">
        <v>452</v>
      </c>
    </row>
    <row r="7" spans="1:4" ht="9.75" hidden="1" customHeight="1">
      <c r="A7" s="173" t="s">
        <v>453</v>
      </c>
      <c r="B7" s="594" t="s">
        <v>454</v>
      </c>
      <c r="C7" s="408">
        <v>150</v>
      </c>
    </row>
    <row r="8" spans="1:4" ht="9.75" customHeight="1">
      <c r="A8" s="51" t="s">
        <v>455</v>
      </c>
      <c r="B8" s="583"/>
      <c r="C8" s="583"/>
    </row>
    <row r="9" spans="1:4" ht="9.75" customHeight="1">
      <c r="A9" s="173" t="s">
        <v>456</v>
      </c>
      <c r="B9" s="408" t="s">
        <v>457</v>
      </c>
      <c r="C9" s="408" t="s">
        <v>458</v>
      </c>
    </row>
    <row r="10" spans="1:4" ht="9.75" customHeight="1">
      <c r="A10" s="173" t="s">
        <v>459</v>
      </c>
      <c r="B10" s="594">
        <v>0</v>
      </c>
      <c r="C10" s="408">
        <v>3000</v>
      </c>
    </row>
    <row r="11" spans="1:4" ht="9.75" customHeight="1">
      <c r="A11" s="173" t="s">
        <v>460</v>
      </c>
      <c r="B11" s="408">
        <v>50</v>
      </c>
      <c r="C11" s="408">
        <v>100</v>
      </c>
    </row>
    <row r="12" spans="1:4" ht="11.25" customHeight="1">
      <c r="A12" s="173" t="s">
        <v>461</v>
      </c>
      <c r="B12" s="408" t="s">
        <v>462</v>
      </c>
      <c r="C12" s="408">
        <v>800</v>
      </c>
    </row>
    <row r="13" spans="1:4" ht="12" customHeight="1">
      <c r="A13" s="173" t="s">
        <v>463</v>
      </c>
      <c r="B13" s="408" t="s">
        <v>462</v>
      </c>
      <c r="C13" s="408">
        <v>2000</v>
      </c>
    </row>
    <row r="14" spans="1:4" ht="10.5" customHeight="1">
      <c r="A14" s="173" t="s">
        <v>464</v>
      </c>
      <c r="B14" s="408" t="s">
        <v>462</v>
      </c>
      <c r="C14" s="408">
        <v>6000</v>
      </c>
    </row>
    <row r="15" spans="1:4" ht="12.75" customHeight="1">
      <c r="A15" s="173" t="s">
        <v>465</v>
      </c>
      <c r="B15" s="408" t="s">
        <v>462</v>
      </c>
      <c r="C15" s="408">
        <v>12000</v>
      </c>
    </row>
    <row r="16" spans="1:4" ht="14.25" customHeight="1">
      <c r="A16" s="407" t="s">
        <v>379</v>
      </c>
      <c r="B16" s="584"/>
      <c r="C16" s="584"/>
    </row>
    <row r="17" spans="1:4" ht="9.75" customHeight="1">
      <c r="A17" s="173" t="s">
        <v>466</v>
      </c>
      <c r="B17" s="408" t="s">
        <v>458</v>
      </c>
      <c r="C17" s="408" t="s">
        <v>467</v>
      </c>
    </row>
    <row r="18" spans="1:4" ht="3.95" customHeight="1">
      <c r="A18" s="167"/>
      <c r="B18" s="409"/>
      <c r="C18" s="408"/>
      <c r="D18" s="402"/>
    </row>
    <row r="19" spans="1:4" ht="13.5" customHeight="1">
      <c r="A19" s="407" t="s">
        <v>330</v>
      </c>
      <c r="B19" s="585"/>
      <c r="C19" s="585"/>
    </row>
    <row r="20" spans="1:4" ht="9" customHeight="1">
      <c r="A20" s="173" t="s">
        <v>468</v>
      </c>
      <c r="B20" s="594">
        <v>0</v>
      </c>
      <c r="C20" s="408">
        <v>1.38</v>
      </c>
    </row>
    <row r="21" spans="1:4" ht="3" customHeight="1">
      <c r="A21" s="167"/>
      <c r="B21" s="594"/>
      <c r="C21" s="408"/>
      <c r="D21" s="402"/>
    </row>
    <row r="22" spans="1:4" ht="9.9499999999999993" customHeight="1">
      <c r="A22" s="597" t="s">
        <v>373</v>
      </c>
      <c r="B22" s="410"/>
      <c r="C22" s="410"/>
    </row>
    <row r="23" spans="1:4" ht="9.75" customHeight="1">
      <c r="A23" s="51" t="s">
        <v>506</v>
      </c>
      <c r="B23" s="410"/>
      <c r="C23" s="410"/>
    </row>
    <row r="24" spans="1:4" ht="9.75" customHeight="1">
      <c r="A24" s="173" t="s">
        <v>507</v>
      </c>
      <c r="B24" s="410" t="s">
        <v>469</v>
      </c>
      <c r="C24" s="410" t="s">
        <v>508</v>
      </c>
    </row>
    <row r="25" spans="1:4" ht="9.75" customHeight="1">
      <c r="A25" s="173" t="s">
        <v>509</v>
      </c>
      <c r="B25" s="410" t="s">
        <v>469</v>
      </c>
      <c r="C25" s="410" t="s">
        <v>510</v>
      </c>
    </row>
    <row r="26" spans="1:4" ht="9.75" customHeight="1">
      <c r="A26" s="173" t="s">
        <v>511</v>
      </c>
      <c r="B26" s="594">
        <v>0</v>
      </c>
      <c r="C26" s="595" t="s">
        <v>530</v>
      </c>
    </row>
    <row r="27" spans="1:4" ht="9.75" customHeight="1">
      <c r="A27" s="173" t="s">
        <v>512</v>
      </c>
      <c r="B27" s="594">
        <v>0</v>
      </c>
      <c r="C27" s="410" t="s">
        <v>529</v>
      </c>
      <c r="D27" s="402"/>
    </row>
    <row r="28" spans="1:4" ht="9.75" customHeight="1">
      <c r="A28" s="51" t="s">
        <v>470</v>
      </c>
      <c r="B28" s="594"/>
      <c r="C28" s="596"/>
      <c r="D28" s="402"/>
    </row>
    <row r="29" spans="1:4" ht="9.75" customHeight="1">
      <c r="A29" s="173" t="s">
        <v>471</v>
      </c>
      <c r="B29" s="594">
        <v>0</v>
      </c>
      <c r="C29" s="410">
        <v>20</v>
      </c>
      <c r="D29" s="402"/>
    </row>
    <row r="30" spans="1:4" ht="9.75" customHeight="1">
      <c r="A30" s="173" t="s">
        <v>472</v>
      </c>
      <c r="B30" s="594">
        <v>0</v>
      </c>
      <c r="C30" s="410">
        <v>5.25</v>
      </c>
      <c r="D30" s="402"/>
    </row>
    <row r="31" spans="1:4" ht="9.75" customHeight="1">
      <c r="A31" s="173" t="s">
        <v>473</v>
      </c>
      <c r="B31" s="594">
        <v>0</v>
      </c>
      <c r="C31" s="410">
        <v>25</v>
      </c>
      <c r="D31" s="402"/>
    </row>
    <row r="32" spans="1:4" ht="3" customHeight="1">
      <c r="A32" s="167"/>
      <c r="B32" s="409"/>
      <c r="C32" s="408"/>
      <c r="D32" s="402"/>
    </row>
    <row r="33" spans="1:4" ht="9.9499999999999993" customHeight="1">
      <c r="A33" s="586" t="s">
        <v>374</v>
      </c>
      <c r="B33" s="582"/>
      <c r="C33" s="408"/>
    </row>
    <row r="34" spans="1:4" ht="9.75" customHeight="1">
      <c r="A34" s="173" t="s">
        <v>539</v>
      </c>
      <c r="B34" s="408">
        <v>840</v>
      </c>
      <c r="C34" s="408">
        <v>1500</v>
      </c>
    </row>
    <row r="35" spans="1:4" ht="9.75" customHeight="1">
      <c r="A35" s="51" t="s">
        <v>424</v>
      </c>
      <c r="B35" s="582"/>
      <c r="C35" s="408"/>
    </row>
    <row r="36" spans="1:4" ht="9.75" customHeight="1">
      <c r="A36" s="173" t="s">
        <v>474</v>
      </c>
      <c r="B36" s="594">
        <v>0</v>
      </c>
      <c r="C36" s="408">
        <v>250</v>
      </c>
    </row>
    <row r="37" spans="1:4" ht="9.75" customHeight="1">
      <c r="A37" s="173" t="s">
        <v>475</v>
      </c>
      <c r="B37" s="594">
        <v>0</v>
      </c>
      <c r="C37" s="408">
        <v>200</v>
      </c>
    </row>
    <row r="38" spans="1:4" ht="9.75" customHeight="1">
      <c r="A38" s="173" t="s">
        <v>476</v>
      </c>
      <c r="B38" s="594">
        <v>0</v>
      </c>
      <c r="C38" s="408">
        <v>25</v>
      </c>
    </row>
    <row r="39" spans="1:4" ht="13.5" customHeight="1">
      <c r="A39" s="586" t="s">
        <v>536</v>
      </c>
      <c r="B39" s="410"/>
      <c r="C39" s="410"/>
    </row>
    <row r="40" spans="1:4" ht="9.75" customHeight="1">
      <c r="A40" s="173" t="s">
        <v>477</v>
      </c>
      <c r="B40" s="410" t="s">
        <v>478</v>
      </c>
      <c r="C40" s="410" t="s">
        <v>479</v>
      </c>
    </row>
    <row r="41" spans="1:4" ht="9.75" customHeight="1">
      <c r="A41" s="173" t="s">
        <v>480</v>
      </c>
      <c r="B41" s="410" t="s">
        <v>481</v>
      </c>
      <c r="C41" s="410" t="s">
        <v>482</v>
      </c>
    </row>
    <row r="42" spans="1:4" ht="9.75" customHeight="1">
      <c r="A42" s="51" t="s">
        <v>483</v>
      </c>
      <c r="B42" s="410"/>
      <c r="C42" s="410"/>
    </row>
    <row r="43" spans="1:4" ht="21.75" customHeight="1">
      <c r="A43" s="626" t="s">
        <v>533</v>
      </c>
      <c r="B43" s="627" t="s">
        <v>534</v>
      </c>
      <c r="C43" s="627" t="s">
        <v>535</v>
      </c>
    </row>
    <row r="44" spans="1:4" ht="21.95" customHeight="1">
      <c r="A44" s="626" t="s">
        <v>484</v>
      </c>
      <c r="B44" s="627" t="s">
        <v>531</v>
      </c>
      <c r="C44" s="627" t="s">
        <v>532</v>
      </c>
    </row>
    <row r="45" spans="1:4" ht="9.75" customHeight="1">
      <c r="A45" s="626" t="s">
        <v>485</v>
      </c>
      <c r="B45" s="627" t="s">
        <v>486</v>
      </c>
      <c r="C45" s="627" t="s">
        <v>487</v>
      </c>
    </row>
    <row r="46" spans="1:4" ht="3" customHeight="1">
      <c r="A46" s="167"/>
      <c r="B46" s="409"/>
      <c r="C46" s="408"/>
      <c r="D46" s="402"/>
    </row>
    <row r="47" spans="1:4" ht="9.9499999999999993" customHeight="1">
      <c r="A47" s="586" t="s">
        <v>101</v>
      </c>
      <c r="B47" s="587"/>
      <c r="C47" s="587"/>
    </row>
    <row r="48" spans="1:4" ht="9.75" customHeight="1">
      <c r="A48" s="173" t="s">
        <v>488</v>
      </c>
      <c r="B48" s="594">
        <v>0</v>
      </c>
      <c r="C48" s="410">
        <v>12129.411764705883</v>
      </c>
    </row>
    <row r="49" spans="1:4" ht="9.75" customHeight="1">
      <c r="A49" s="173" t="s">
        <v>489</v>
      </c>
      <c r="B49" s="594">
        <v>0</v>
      </c>
      <c r="C49" s="410">
        <v>300</v>
      </c>
    </row>
    <row r="50" spans="1:4" ht="9.75" customHeight="1">
      <c r="A50" s="173" t="s">
        <v>490</v>
      </c>
      <c r="B50" s="594">
        <v>0</v>
      </c>
      <c r="C50" s="410">
        <v>15</v>
      </c>
    </row>
    <row r="51" spans="1:4" ht="3.95" customHeight="1">
      <c r="A51" s="167"/>
      <c r="B51" s="409"/>
      <c r="C51" s="408"/>
      <c r="D51" s="402"/>
    </row>
    <row r="52" spans="1:4" ht="9.9499999999999993" customHeight="1">
      <c r="A52" s="586" t="s">
        <v>333</v>
      </c>
      <c r="B52" s="410"/>
      <c r="C52" s="410"/>
    </row>
    <row r="53" spans="1:4" ht="9.75" customHeight="1">
      <c r="A53" s="173" t="s">
        <v>491</v>
      </c>
      <c r="B53" s="410" t="s">
        <v>492</v>
      </c>
      <c r="C53" s="410" t="s">
        <v>493</v>
      </c>
    </row>
    <row r="54" spans="1:4" ht="3" customHeight="1">
      <c r="A54" s="167"/>
      <c r="B54" s="409"/>
      <c r="C54" s="408"/>
      <c r="D54" s="402"/>
    </row>
    <row r="55" spans="1:4" ht="11.25" customHeight="1">
      <c r="A55" s="586" t="s">
        <v>537</v>
      </c>
      <c r="B55" s="410"/>
      <c r="C55" s="410"/>
    </row>
    <row r="56" spans="1:4" ht="9.75" customHeight="1">
      <c r="A56" s="173" t="s">
        <v>494</v>
      </c>
      <c r="B56" s="410" t="s">
        <v>492</v>
      </c>
      <c r="C56" s="410" t="s">
        <v>495</v>
      </c>
    </row>
    <row r="57" spans="1:4" ht="9.75" customHeight="1">
      <c r="A57" s="173" t="s">
        <v>496</v>
      </c>
      <c r="B57" s="410" t="s">
        <v>497</v>
      </c>
      <c r="C57" s="410" t="s">
        <v>498</v>
      </c>
    </row>
    <row r="58" spans="1:4" ht="9.75" customHeight="1">
      <c r="A58" s="173" t="s">
        <v>499</v>
      </c>
      <c r="B58" s="410" t="s">
        <v>500</v>
      </c>
      <c r="C58" s="410" t="s">
        <v>501</v>
      </c>
    </row>
    <row r="59" spans="1:4" ht="3.95" customHeight="1">
      <c r="A59" s="167"/>
      <c r="B59" s="409"/>
      <c r="C59" s="408"/>
      <c r="D59" s="402"/>
    </row>
    <row r="60" spans="1:4" ht="9.9499999999999993" customHeight="1">
      <c r="A60" s="586" t="s">
        <v>336</v>
      </c>
      <c r="B60" s="410"/>
      <c r="C60" s="410"/>
    </row>
    <row r="61" spans="1:4" ht="9.75" customHeight="1">
      <c r="A61" s="173" t="s">
        <v>520</v>
      </c>
      <c r="B61" s="410" t="s">
        <v>521</v>
      </c>
      <c r="C61" s="410" t="s">
        <v>522</v>
      </c>
    </row>
    <row r="62" spans="1:4" ht="9.75" customHeight="1">
      <c r="A62" s="173" t="s">
        <v>523</v>
      </c>
      <c r="B62" s="410" t="s">
        <v>524</v>
      </c>
      <c r="C62" s="410" t="s">
        <v>525</v>
      </c>
    </row>
    <row r="63" spans="1:4" ht="9.75" customHeight="1">
      <c r="A63" s="173" t="s">
        <v>526</v>
      </c>
      <c r="B63" s="410" t="s">
        <v>527</v>
      </c>
      <c r="C63" s="410" t="s">
        <v>528</v>
      </c>
    </row>
    <row r="64" spans="1:4" ht="3" customHeight="1">
      <c r="A64" s="167"/>
      <c r="B64" s="409"/>
      <c r="C64" s="408"/>
      <c r="D64" s="402"/>
    </row>
    <row r="65" spans="1:3" ht="9.9499999999999993" customHeight="1">
      <c r="A65" s="586" t="s">
        <v>103</v>
      </c>
      <c r="B65" s="410"/>
      <c r="C65" s="410"/>
    </row>
    <row r="66" spans="1:3" ht="9.75" customHeight="1">
      <c r="A66" s="173" t="s">
        <v>502</v>
      </c>
      <c r="B66" s="410">
        <v>6</v>
      </c>
      <c r="C66" s="410">
        <v>12</v>
      </c>
    </row>
    <row r="67" spans="1:3" ht="9.75" customHeight="1">
      <c r="A67" s="173" t="s">
        <v>503</v>
      </c>
      <c r="B67" s="594">
        <v>0</v>
      </c>
      <c r="C67" s="410" t="s">
        <v>504</v>
      </c>
    </row>
    <row r="68" spans="1:3" ht="12.75" hidden="1" customHeight="1">
      <c r="A68" s="588"/>
      <c r="B68" s="594"/>
      <c r="C68" s="589"/>
    </row>
    <row r="69" spans="1:3" ht="12.75" hidden="1" customHeight="1">
      <c r="A69" s="401" t="s">
        <v>180</v>
      </c>
      <c r="B69" s="590"/>
      <c r="C69" s="590"/>
    </row>
    <row r="70" spans="1:3" ht="6.95" customHeight="1">
      <c r="B70" s="590"/>
      <c r="C70" s="590"/>
    </row>
  </sheetData>
  <pageMargins left="0.7" right="0.7" top="0.75" bottom="0.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>
    <tabColor rgb="FFFFC000"/>
  </sheetPr>
  <dimension ref="A1:K107"/>
  <sheetViews>
    <sheetView showGridLines="0" topLeftCell="A6" zoomScale="120" zoomScaleNormal="120" zoomScaleSheetLayoutView="82" workbookViewId="0">
      <selection activeCell="Q61" sqref="Q61"/>
    </sheetView>
  </sheetViews>
  <sheetFormatPr defaultColWidth="9" defaultRowHeight="11.25"/>
  <cols>
    <col min="1" max="1" width="73.42578125" style="249" customWidth="1"/>
    <col min="2" max="2" width="9" style="82" customWidth="1"/>
    <col min="3" max="3" width="9" style="309" customWidth="1"/>
    <col min="4" max="4" width="9" style="82" customWidth="1"/>
    <col min="5" max="16384" width="9" style="222"/>
  </cols>
  <sheetData>
    <row r="1" spans="1:7" ht="18.75">
      <c r="A1" s="308" t="s">
        <v>223</v>
      </c>
    </row>
    <row r="2" spans="1:7" s="336" customFormat="1" ht="12.75" customHeight="1">
      <c r="A2" s="249"/>
      <c r="B2" s="256" t="s">
        <v>285</v>
      </c>
      <c r="C2" s="335" t="s">
        <v>325</v>
      </c>
      <c r="D2" s="91"/>
      <c r="F2" s="222"/>
    </row>
    <row r="3" spans="1:7" s="336" customFormat="1" ht="12.75" customHeight="1">
      <c r="A3" s="337"/>
      <c r="B3" s="338" t="s">
        <v>8</v>
      </c>
      <c r="C3" s="339" t="s">
        <v>10</v>
      </c>
      <c r="D3" s="340" t="s">
        <v>184</v>
      </c>
      <c r="F3" s="222"/>
    </row>
    <row r="4" spans="1:7" s="336" customFormat="1" ht="12.75" customHeight="1">
      <c r="A4" s="341" t="s">
        <v>224</v>
      </c>
      <c r="B4" s="342"/>
      <c r="C4" s="335"/>
      <c r="D4" s="256"/>
      <c r="F4" s="254"/>
    </row>
    <row r="5" spans="1:7" s="254" customFormat="1" ht="10.5" customHeight="1">
      <c r="A5" s="210" t="s">
        <v>95</v>
      </c>
      <c r="B5" s="163">
        <v>538</v>
      </c>
      <c r="C5" s="335">
        <v>538</v>
      </c>
      <c r="D5" s="44">
        <v>0</v>
      </c>
      <c r="G5" s="336"/>
    </row>
    <row r="6" spans="1:7" s="254" customFormat="1" ht="10.5" customHeight="1">
      <c r="A6" s="210" t="s">
        <v>327</v>
      </c>
      <c r="B6" s="163">
        <v>116</v>
      </c>
      <c r="C6" s="335">
        <v>126</v>
      </c>
      <c r="D6" s="44">
        <v>10</v>
      </c>
    </row>
    <row r="7" spans="1:7" s="254" customFormat="1" ht="10.5" customHeight="1">
      <c r="A7" s="210" t="s">
        <v>328</v>
      </c>
      <c r="B7" s="163">
        <v>630</v>
      </c>
      <c r="C7" s="335">
        <v>636</v>
      </c>
      <c r="D7" s="44">
        <v>6</v>
      </c>
    </row>
    <row r="8" spans="1:7" s="254" customFormat="1" ht="10.5" customHeight="1">
      <c r="A8" s="210" t="s">
        <v>379</v>
      </c>
      <c r="B8" s="163">
        <v>460</v>
      </c>
      <c r="C8" s="335">
        <v>460</v>
      </c>
      <c r="D8" s="44">
        <v>0</v>
      </c>
    </row>
    <row r="9" spans="1:7" s="254" customFormat="1" ht="10.5" customHeight="1">
      <c r="A9" s="210" t="s">
        <v>371</v>
      </c>
      <c r="B9" s="163">
        <v>2734</v>
      </c>
      <c r="C9" s="335">
        <v>2734</v>
      </c>
      <c r="D9" s="44">
        <v>0</v>
      </c>
    </row>
    <row r="10" spans="1:7" s="254" customFormat="1" ht="10.5" customHeight="1">
      <c r="A10" s="210" t="s">
        <v>96</v>
      </c>
      <c r="B10" s="163">
        <v>572</v>
      </c>
      <c r="C10" s="335">
        <v>611</v>
      </c>
      <c r="D10" s="163">
        <v>39</v>
      </c>
    </row>
    <row r="11" spans="1:7" s="254" customFormat="1" ht="10.5" customHeight="1">
      <c r="A11" s="210" t="s">
        <v>372</v>
      </c>
      <c r="B11" s="163">
        <v>492</v>
      </c>
      <c r="C11" s="335">
        <v>482</v>
      </c>
      <c r="D11" s="163">
        <v>-10</v>
      </c>
      <c r="F11" s="222"/>
    </row>
    <row r="12" spans="1:7" s="254" customFormat="1" ht="10.5" customHeight="1">
      <c r="A12" s="210" t="s">
        <v>330</v>
      </c>
      <c r="B12" s="163">
        <v>1229</v>
      </c>
      <c r="C12" s="335">
        <v>1225</v>
      </c>
      <c r="D12" s="44">
        <v>-4</v>
      </c>
      <c r="F12" s="222"/>
    </row>
    <row r="13" spans="1:7" s="254" customFormat="1" ht="10.5" customHeight="1">
      <c r="A13" s="210" t="s">
        <v>97</v>
      </c>
      <c r="B13" s="163">
        <v>169</v>
      </c>
      <c r="C13" s="335">
        <v>170</v>
      </c>
      <c r="D13" s="44">
        <v>1</v>
      </c>
      <c r="F13" s="222"/>
      <c r="G13" s="222"/>
    </row>
    <row r="14" spans="1:7" s="254" customFormat="1" ht="10.5" customHeight="1">
      <c r="A14" s="210" t="s">
        <v>373</v>
      </c>
      <c r="B14" s="163">
        <v>1886</v>
      </c>
      <c r="C14" s="335">
        <v>1924</v>
      </c>
      <c r="D14" s="44">
        <v>38</v>
      </c>
      <c r="F14" s="222"/>
    </row>
    <row r="15" spans="1:7" s="254" customFormat="1" ht="10.5" customHeight="1">
      <c r="A15" s="210" t="s">
        <v>98</v>
      </c>
      <c r="B15" s="163">
        <v>1295</v>
      </c>
      <c r="C15" s="335">
        <v>1295</v>
      </c>
      <c r="D15" s="44">
        <v>0</v>
      </c>
      <c r="F15" s="82"/>
    </row>
    <row r="16" spans="1:7" s="254" customFormat="1" ht="10.5" customHeight="1">
      <c r="A16" s="210" t="s">
        <v>374</v>
      </c>
      <c r="B16" s="163">
        <v>190</v>
      </c>
      <c r="C16" s="335">
        <v>186</v>
      </c>
      <c r="D16" s="163">
        <v>-4</v>
      </c>
      <c r="F16" s="82"/>
    </row>
    <row r="17" spans="1:10" s="254" customFormat="1" ht="10.5" customHeight="1">
      <c r="A17" s="210" t="s">
        <v>99</v>
      </c>
      <c r="B17" s="163">
        <v>175</v>
      </c>
      <c r="C17" s="335">
        <v>175</v>
      </c>
      <c r="D17" s="163">
        <v>0</v>
      </c>
      <c r="F17" s="222"/>
      <c r="G17" s="222"/>
    </row>
    <row r="18" spans="1:10" s="254" customFormat="1" ht="10.5" customHeight="1">
      <c r="A18" s="210" t="s">
        <v>100</v>
      </c>
      <c r="B18" s="163">
        <v>842</v>
      </c>
      <c r="C18" s="335">
        <v>870</v>
      </c>
      <c r="D18" s="163">
        <v>28</v>
      </c>
      <c r="F18" s="82"/>
      <c r="J18" s="222"/>
    </row>
    <row r="19" spans="1:10" s="254" customFormat="1" ht="10.5" customHeight="1">
      <c r="A19" s="210" t="s">
        <v>375</v>
      </c>
      <c r="B19" s="163">
        <v>1305</v>
      </c>
      <c r="C19" s="335">
        <v>1316</v>
      </c>
      <c r="D19" s="163">
        <v>11</v>
      </c>
      <c r="F19" s="222"/>
      <c r="G19" s="222"/>
      <c r="J19" s="222"/>
    </row>
    <row r="20" spans="1:10" ht="10.5" customHeight="1">
      <c r="A20" s="210" t="s">
        <v>331</v>
      </c>
      <c r="B20" s="163">
        <v>3471</v>
      </c>
      <c r="C20" s="335">
        <v>3575</v>
      </c>
      <c r="D20" s="44">
        <v>104</v>
      </c>
      <c r="F20" s="82"/>
      <c r="J20" s="254"/>
    </row>
    <row r="21" spans="1:10" s="254" customFormat="1" ht="10.5" customHeight="1">
      <c r="A21" s="210" t="s">
        <v>332</v>
      </c>
      <c r="B21" s="163">
        <v>160</v>
      </c>
      <c r="C21" s="335">
        <v>186</v>
      </c>
      <c r="D21" s="169">
        <v>26</v>
      </c>
      <c r="F21" s="82"/>
    </row>
    <row r="22" spans="1:10" s="254" customFormat="1" ht="10.5" customHeight="1">
      <c r="A22" s="210" t="s">
        <v>101</v>
      </c>
      <c r="B22" s="169">
        <v>441</v>
      </c>
      <c r="C22" s="335">
        <v>441</v>
      </c>
      <c r="D22" s="44">
        <v>0</v>
      </c>
      <c r="F22" s="82"/>
    </row>
    <row r="23" spans="1:10" s="254" customFormat="1" ht="10.5" customHeight="1">
      <c r="A23" s="210" t="s">
        <v>333</v>
      </c>
      <c r="B23" s="169">
        <v>4638</v>
      </c>
      <c r="C23" s="335">
        <v>4737</v>
      </c>
      <c r="D23" s="44">
        <v>99</v>
      </c>
      <c r="F23"/>
    </row>
    <row r="24" spans="1:10" s="254" customFormat="1" ht="10.5" customHeight="1">
      <c r="A24" s="210" t="s">
        <v>329</v>
      </c>
      <c r="B24" s="169">
        <v>3099</v>
      </c>
      <c r="C24" s="335">
        <v>3131</v>
      </c>
      <c r="D24" s="163">
        <v>32</v>
      </c>
      <c r="F24"/>
    </row>
    <row r="25" spans="1:10" s="254" customFormat="1" ht="10.5" customHeight="1">
      <c r="A25" s="210" t="s">
        <v>334</v>
      </c>
      <c r="B25" s="163">
        <v>1085</v>
      </c>
      <c r="C25" s="335">
        <v>1113</v>
      </c>
      <c r="D25" s="163">
        <v>28</v>
      </c>
      <c r="F25"/>
    </row>
    <row r="26" spans="1:10" s="254" customFormat="1" ht="10.5" customHeight="1">
      <c r="A26" s="210" t="s">
        <v>335</v>
      </c>
      <c r="B26" s="163">
        <v>1282</v>
      </c>
      <c r="C26" s="335">
        <v>1313</v>
      </c>
      <c r="D26" s="163">
        <v>31</v>
      </c>
      <c r="F26"/>
    </row>
    <row r="27" spans="1:10" s="254" customFormat="1" ht="10.5" customHeight="1">
      <c r="A27" s="210" t="s">
        <v>376</v>
      </c>
      <c r="B27" s="163">
        <v>60</v>
      </c>
      <c r="C27" s="335">
        <v>62</v>
      </c>
      <c r="D27" s="163">
        <v>2</v>
      </c>
      <c r="F27"/>
    </row>
    <row r="28" spans="1:10" s="254" customFormat="1" ht="10.5" customHeight="1">
      <c r="A28" s="210" t="s">
        <v>336</v>
      </c>
      <c r="B28" s="163">
        <v>696</v>
      </c>
      <c r="C28" s="335">
        <v>696</v>
      </c>
      <c r="D28" s="169">
        <v>0</v>
      </c>
      <c r="F28"/>
    </row>
    <row r="29" spans="1:10" s="254" customFormat="1" ht="10.5" customHeight="1">
      <c r="A29" s="210" t="s">
        <v>225</v>
      </c>
      <c r="B29" s="169">
        <v>620</v>
      </c>
      <c r="C29" s="335">
        <v>672</v>
      </c>
      <c r="D29" s="169">
        <v>52</v>
      </c>
      <c r="F29"/>
    </row>
    <row r="30" spans="1:10" s="254" customFormat="1" ht="10.5" customHeight="1">
      <c r="A30" s="210" t="s">
        <v>226</v>
      </c>
      <c r="B30" s="169">
        <v>273</v>
      </c>
      <c r="C30" s="335">
        <v>273</v>
      </c>
      <c r="D30" s="169">
        <v>0</v>
      </c>
      <c r="F30"/>
      <c r="G30"/>
      <c r="J30"/>
    </row>
    <row r="31" spans="1:10" ht="10.5" customHeight="1">
      <c r="A31" s="210" t="s">
        <v>227</v>
      </c>
      <c r="B31" s="169">
        <v>603</v>
      </c>
      <c r="C31" s="335">
        <v>603</v>
      </c>
      <c r="D31" s="169">
        <v>0</v>
      </c>
      <c r="F31"/>
      <c r="G31" s="254"/>
      <c r="J31"/>
    </row>
    <row r="32" spans="1:10" ht="12.75" customHeight="1">
      <c r="A32" s="211" t="s">
        <v>224</v>
      </c>
      <c r="B32" s="304">
        <v>29061</v>
      </c>
      <c r="C32" s="343">
        <v>29550</v>
      </c>
      <c r="D32" s="303">
        <v>489</v>
      </c>
      <c r="F32"/>
      <c r="G32"/>
      <c r="J32"/>
    </row>
    <row r="33" spans="1:11" ht="4.5" customHeight="1">
      <c r="A33" s="344"/>
      <c r="B33" s="500"/>
      <c r="C33" s="345"/>
      <c r="D33" s="305"/>
      <c r="F33"/>
      <c r="G33"/>
      <c r="J33"/>
    </row>
    <row r="34" spans="1:11" ht="10.5" customHeight="1">
      <c r="A34" s="341" t="s">
        <v>228</v>
      </c>
      <c r="B34" s="163"/>
      <c r="C34" s="335"/>
      <c r="D34" s="44"/>
      <c r="F34"/>
      <c r="G34"/>
      <c r="J34"/>
    </row>
    <row r="35" spans="1:11" s="254" customFormat="1" ht="10.5" customHeight="1">
      <c r="A35" s="210" t="s">
        <v>229</v>
      </c>
      <c r="B35" s="163">
        <v>33114</v>
      </c>
      <c r="C35" s="335">
        <v>33741</v>
      </c>
      <c r="D35" s="44">
        <v>627</v>
      </c>
      <c r="G35"/>
      <c r="J35"/>
    </row>
    <row r="36" spans="1:11" s="254" customFormat="1" ht="10.5" customHeight="1">
      <c r="A36" s="210" t="s">
        <v>353</v>
      </c>
      <c r="B36" s="163">
        <v>132</v>
      </c>
      <c r="C36" s="335">
        <v>132</v>
      </c>
      <c r="D36" s="44">
        <v>0</v>
      </c>
      <c r="J36"/>
    </row>
    <row r="37" spans="1:11" s="254" customFormat="1" ht="10.5" customHeight="1">
      <c r="A37" s="210" t="s">
        <v>354</v>
      </c>
      <c r="B37" s="163">
        <v>570</v>
      </c>
      <c r="C37" s="335">
        <v>570</v>
      </c>
      <c r="D37" s="44">
        <v>0</v>
      </c>
      <c r="J37"/>
    </row>
    <row r="38" spans="1:11" s="254" customFormat="1" ht="10.5" customHeight="1">
      <c r="A38" s="210" t="s">
        <v>230</v>
      </c>
      <c r="B38" s="163"/>
      <c r="C38" s="335"/>
      <c r="D38" s="44"/>
      <c r="J38"/>
      <c r="K38" s="254" t="s">
        <v>180</v>
      </c>
    </row>
    <row r="39" spans="1:11" s="254" customFormat="1" ht="10.5" customHeight="1">
      <c r="A39" s="210" t="s">
        <v>231</v>
      </c>
      <c r="B39" s="163">
        <v>38882</v>
      </c>
      <c r="C39" s="335">
        <v>39927</v>
      </c>
      <c r="D39" s="44">
        <v>1045</v>
      </c>
      <c r="J39"/>
    </row>
    <row r="40" spans="1:11" s="254" customFormat="1" ht="10.5" customHeight="1">
      <c r="A40" s="210" t="s">
        <v>232</v>
      </c>
      <c r="B40" s="163">
        <v>28100</v>
      </c>
      <c r="C40" s="335">
        <v>28660</v>
      </c>
      <c r="D40" s="44">
        <v>560</v>
      </c>
      <c r="J40"/>
    </row>
    <row r="41" spans="1:11" s="254" customFormat="1" ht="10.5" customHeight="1">
      <c r="A41" s="210" t="s">
        <v>377</v>
      </c>
      <c r="B41" s="163">
        <v>1077</v>
      </c>
      <c r="C41" s="335">
        <v>1102</v>
      </c>
      <c r="D41" s="44">
        <v>25</v>
      </c>
      <c r="J41"/>
    </row>
    <row r="42" spans="1:11" s="254" customFormat="1" ht="10.5" customHeight="1">
      <c r="A42" s="210" t="s">
        <v>355</v>
      </c>
      <c r="B42" s="163">
        <v>34</v>
      </c>
      <c r="C42" s="335">
        <v>34</v>
      </c>
      <c r="D42" s="44">
        <v>0</v>
      </c>
      <c r="J42"/>
    </row>
    <row r="43" spans="1:11" s="254" customFormat="1" ht="10.5" customHeight="1">
      <c r="A43" s="210" t="s">
        <v>418</v>
      </c>
      <c r="B43" s="163">
        <v>50</v>
      </c>
      <c r="C43" s="335">
        <v>50</v>
      </c>
      <c r="D43" s="44">
        <v>0</v>
      </c>
      <c r="J43"/>
    </row>
    <row r="44" spans="1:11" s="254" customFormat="1" ht="10.5" customHeight="1">
      <c r="A44" s="210" t="s">
        <v>538</v>
      </c>
      <c r="B44" s="169">
        <v>79730</v>
      </c>
      <c r="C44" s="335">
        <v>81530</v>
      </c>
      <c r="D44" s="44">
        <v>1800</v>
      </c>
      <c r="J44"/>
    </row>
    <row r="45" spans="1:11" s="254" customFormat="1" ht="10.5" customHeight="1">
      <c r="A45" s="210" t="s">
        <v>517</v>
      </c>
      <c r="B45" s="169">
        <v>950</v>
      </c>
      <c r="C45" s="335">
        <v>970</v>
      </c>
      <c r="D45" s="44">
        <v>20</v>
      </c>
      <c r="J45"/>
    </row>
    <row r="46" spans="1:11" s="254" customFormat="1" ht="10.5" customHeight="1">
      <c r="A46" s="210" t="s">
        <v>233</v>
      </c>
      <c r="B46" s="169">
        <v>45</v>
      </c>
      <c r="C46" s="335">
        <v>45</v>
      </c>
      <c r="D46" s="44">
        <v>0</v>
      </c>
      <c r="J46"/>
    </row>
    <row r="47" spans="1:11" s="254" customFormat="1" ht="10.5" customHeight="1">
      <c r="A47" s="210" t="s">
        <v>234</v>
      </c>
      <c r="B47" s="169">
        <v>19</v>
      </c>
      <c r="C47" s="335">
        <f>19+3</f>
        <v>22</v>
      </c>
      <c r="D47" s="44">
        <v>3</v>
      </c>
      <c r="J47"/>
    </row>
    <row r="48" spans="1:11" s="254" customFormat="1" ht="10.5" customHeight="1">
      <c r="A48" s="210" t="s">
        <v>440</v>
      </c>
      <c r="B48" s="169">
        <v>0</v>
      </c>
      <c r="C48" s="335">
        <v>40</v>
      </c>
      <c r="D48" s="44">
        <v>40</v>
      </c>
      <c r="J48"/>
    </row>
    <row r="49" spans="1:10" s="254" customFormat="1" ht="10.5" customHeight="1">
      <c r="A49" s="210" t="s">
        <v>518</v>
      </c>
      <c r="B49" s="169">
        <v>7550</v>
      </c>
      <c r="C49" s="335">
        <v>7770</v>
      </c>
      <c r="D49" s="44">
        <v>220</v>
      </c>
      <c r="J49"/>
    </row>
    <row r="50" spans="1:10" s="254" customFormat="1" ht="10.5" customHeight="1">
      <c r="A50" s="210" t="s">
        <v>235</v>
      </c>
      <c r="B50" s="169">
        <v>60</v>
      </c>
      <c r="C50" s="335">
        <v>60</v>
      </c>
      <c r="D50" s="44">
        <v>0</v>
      </c>
      <c r="J50"/>
    </row>
    <row r="51" spans="1:10" s="254" customFormat="1" ht="10.5" customHeight="1">
      <c r="A51" s="210" t="s">
        <v>356</v>
      </c>
      <c r="B51" s="169">
        <v>54</v>
      </c>
      <c r="C51" s="335">
        <v>54</v>
      </c>
      <c r="D51" s="44">
        <v>0</v>
      </c>
      <c r="J51"/>
    </row>
    <row r="52" spans="1:10" s="254" customFormat="1" ht="10.5" customHeight="1">
      <c r="A52" s="210" t="s">
        <v>357</v>
      </c>
      <c r="B52" s="169">
        <v>13</v>
      </c>
      <c r="C52" s="335">
        <v>13</v>
      </c>
      <c r="D52" s="44">
        <v>0</v>
      </c>
      <c r="J52"/>
    </row>
    <row r="53" spans="1:10" s="254" customFormat="1" ht="10.5" customHeight="1">
      <c r="A53" s="210" t="s">
        <v>358</v>
      </c>
      <c r="B53" s="169">
        <v>603</v>
      </c>
      <c r="C53" s="335">
        <v>604</v>
      </c>
      <c r="D53" s="44">
        <v>1</v>
      </c>
      <c r="J53"/>
    </row>
    <row r="54" spans="1:10" s="254" customFormat="1" ht="10.5" customHeight="1">
      <c r="A54" s="210" t="s">
        <v>419</v>
      </c>
      <c r="B54" s="169">
        <v>80</v>
      </c>
      <c r="C54" s="335">
        <v>80</v>
      </c>
      <c r="D54" s="44">
        <v>0</v>
      </c>
      <c r="J54"/>
    </row>
    <row r="55" spans="1:10" s="254" customFormat="1" ht="10.5" customHeight="1">
      <c r="A55" s="210" t="s">
        <v>236</v>
      </c>
      <c r="B55" s="169">
        <v>24</v>
      </c>
      <c r="C55" s="335">
        <v>41</v>
      </c>
      <c r="D55" s="44">
        <v>17</v>
      </c>
      <c r="J55"/>
    </row>
    <row r="56" spans="1:10" s="254" customFormat="1" ht="10.5" customHeight="1">
      <c r="A56" s="210" t="s">
        <v>237</v>
      </c>
      <c r="B56" s="169">
        <v>737</v>
      </c>
      <c r="C56" s="335">
        <v>723</v>
      </c>
      <c r="D56" s="44">
        <v>-14</v>
      </c>
      <c r="J56"/>
    </row>
    <row r="57" spans="1:10" s="254" customFormat="1" ht="10.5" customHeight="1">
      <c r="A57" s="210" t="s">
        <v>238</v>
      </c>
      <c r="B57" s="169">
        <v>365</v>
      </c>
      <c r="C57" s="335">
        <v>375</v>
      </c>
      <c r="D57" s="44">
        <v>10</v>
      </c>
    </row>
    <row r="58" spans="1:10" s="254" customFormat="1" ht="10.5" customHeight="1">
      <c r="A58" s="210" t="s">
        <v>239</v>
      </c>
      <c r="B58" s="169">
        <v>272</v>
      </c>
      <c r="C58" s="335">
        <v>280</v>
      </c>
      <c r="D58" s="44">
        <v>8</v>
      </c>
    </row>
    <row r="59" spans="1:10" s="254" customFormat="1" ht="10.5" customHeight="1">
      <c r="A59" s="346" t="s">
        <v>104</v>
      </c>
      <c r="B59" s="169">
        <v>777</v>
      </c>
      <c r="C59" s="335">
        <v>782</v>
      </c>
      <c r="D59" s="44">
        <v>5</v>
      </c>
    </row>
    <row r="60" spans="1:10" ht="10.5" customHeight="1">
      <c r="A60" s="211" t="s">
        <v>240</v>
      </c>
      <c r="B60" s="304">
        <v>193238</v>
      </c>
      <c r="C60" s="343">
        <v>197605</v>
      </c>
      <c r="D60" s="303">
        <v>4367</v>
      </c>
      <c r="F60" s="254"/>
      <c r="G60" s="254"/>
      <c r="H60" s="254"/>
    </row>
    <row r="61" spans="1:10" ht="10.5" customHeight="1">
      <c r="A61" s="347"/>
      <c r="B61" s="501"/>
      <c r="C61" s="349"/>
      <c r="D61" s="348"/>
      <c r="F61" s="254"/>
      <c r="G61" s="254"/>
      <c r="H61" s="254"/>
    </row>
    <row r="62" spans="1:10" ht="10.5" customHeight="1" thickBot="1">
      <c r="A62" s="350" t="s">
        <v>241</v>
      </c>
      <c r="B62" s="502">
        <v>222299</v>
      </c>
      <c r="C62" s="352">
        <v>227155</v>
      </c>
      <c r="D62" s="351">
        <v>4856</v>
      </c>
    </row>
    <row r="63" spans="1:10" ht="12.75" customHeight="1">
      <c r="A63" s="253"/>
      <c r="F63"/>
    </row>
    <row r="64" spans="1:10" ht="12">
      <c r="A64" s="253"/>
      <c r="F64"/>
    </row>
    <row r="65" spans="1:6" ht="12">
      <c r="A65" s="253"/>
      <c r="F65"/>
    </row>
    <row r="66" spans="1:6" ht="12">
      <c r="A66" s="253"/>
      <c r="F66"/>
    </row>
    <row r="67" spans="1:6" ht="12">
      <c r="A67" s="253"/>
      <c r="F67"/>
    </row>
    <row r="68" spans="1:6" s="82" customFormat="1" ht="12">
      <c r="A68" s="253"/>
      <c r="C68" s="309"/>
      <c r="F68"/>
    </row>
    <row r="69" spans="1:6" s="82" customFormat="1" ht="12">
      <c r="A69" s="253"/>
      <c r="C69" s="309"/>
      <c r="F69"/>
    </row>
    <row r="70" spans="1:6" s="82" customFormat="1">
      <c r="A70" s="253"/>
      <c r="C70" s="309"/>
      <c r="F70" s="222"/>
    </row>
    <row r="71" spans="1:6" s="82" customFormat="1">
      <c r="A71" s="249"/>
      <c r="C71" s="309"/>
      <c r="F71" s="222"/>
    </row>
    <row r="72" spans="1:6" s="82" customFormat="1">
      <c r="A72" s="341"/>
      <c r="C72" s="309"/>
      <c r="F72" s="222"/>
    </row>
    <row r="73" spans="1:6">
      <c r="A73" s="254"/>
    </row>
    <row r="74" spans="1:6" s="82" customFormat="1">
      <c r="A74" s="253"/>
      <c r="C74" s="309"/>
      <c r="F74" s="222"/>
    </row>
    <row r="75" spans="1:6" s="82" customFormat="1">
      <c r="A75" s="253"/>
      <c r="C75" s="309"/>
      <c r="F75" s="222"/>
    </row>
    <row r="76" spans="1:6" s="82" customFormat="1">
      <c r="A76" s="253"/>
      <c r="C76" s="309"/>
      <c r="F76" s="222"/>
    </row>
    <row r="77" spans="1:6" s="82" customFormat="1">
      <c r="A77" s="249"/>
      <c r="C77" s="309"/>
      <c r="F77" s="222"/>
    </row>
    <row r="78" spans="1:6" s="82" customFormat="1">
      <c r="A78" s="253"/>
      <c r="C78" s="309"/>
      <c r="F78" s="222"/>
    </row>
    <row r="79" spans="1:6">
      <c r="A79" s="254"/>
    </row>
    <row r="80" spans="1:6" s="82" customFormat="1">
      <c r="A80" s="353"/>
      <c r="C80" s="309"/>
      <c r="F80" s="222"/>
    </row>
    <row r="81" spans="1:6" s="82" customFormat="1" ht="12">
      <c r="A81" s="254"/>
      <c r="C81" s="309"/>
      <c r="F81"/>
    </row>
    <row r="82" spans="1:6" s="82" customFormat="1" ht="12">
      <c r="A82" s="253"/>
      <c r="C82" s="309"/>
      <c r="F82"/>
    </row>
    <row r="83" spans="1:6" s="82" customFormat="1" ht="12">
      <c r="A83" s="249"/>
      <c r="C83" s="309"/>
      <c r="F83"/>
    </row>
    <row r="84" spans="1:6" s="82" customFormat="1" ht="12">
      <c r="A84" s="249"/>
      <c r="C84" s="309"/>
      <c r="F84"/>
    </row>
    <row r="85" spans="1:6" ht="12">
      <c r="F85"/>
    </row>
    <row r="86" spans="1:6" ht="12">
      <c r="F86"/>
    </row>
    <row r="87" spans="1:6" ht="12">
      <c r="F87"/>
    </row>
    <row r="88" spans="1:6" ht="12">
      <c r="F88"/>
    </row>
    <row r="89" spans="1:6" ht="12">
      <c r="F89"/>
    </row>
    <row r="90" spans="1:6" ht="12">
      <c r="F90"/>
    </row>
    <row r="91" spans="1:6" ht="12">
      <c r="F91"/>
    </row>
    <row r="92" spans="1:6" ht="12">
      <c r="F92"/>
    </row>
    <row r="93" spans="1:6" ht="12">
      <c r="F93"/>
    </row>
    <row r="94" spans="1:6" ht="12">
      <c r="F94"/>
    </row>
    <row r="95" spans="1:6" ht="12">
      <c r="F95"/>
    </row>
    <row r="96" spans="1:6" ht="12">
      <c r="F96"/>
    </row>
    <row r="97" spans="6:6" ht="12">
      <c r="F97"/>
    </row>
    <row r="98" spans="6:6" ht="12">
      <c r="F98"/>
    </row>
    <row r="99" spans="6:6" ht="12">
      <c r="F99"/>
    </row>
    <row r="100" spans="6:6" ht="12">
      <c r="F100"/>
    </row>
    <row r="101" spans="6:6" ht="12">
      <c r="F101"/>
    </row>
    <row r="102" spans="6:6" ht="12">
      <c r="F102"/>
    </row>
    <row r="103" spans="6:6" ht="12">
      <c r="F103"/>
    </row>
    <row r="104" spans="6:6" ht="12">
      <c r="F104"/>
    </row>
    <row r="105" spans="6:6" ht="12">
      <c r="F105"/>
    </row>
    <row r="106" spans="6:6" ht="12">
      <c r="F106"/>
    </row>
    <row r="107" spans="6:6" ht="12">
      <c r="F107"/>
    </row>
  </sheetData>
  <conditionalFormatting sqref="F35:F61 G36:H61">
    <cfRule type="duplicateValues" dxfId="2" priority="8"/>
  </conditionalFormatting>
  <conditionalFormatting sqref="F108:F1048576 F1:F22">
    <cfRule type="duplicateValues" dxfId="1" priority="2"/>
  </conditionalFormatting>
  <conditionalFormatting sqref="J5:J29">
    <cfRule type="duplicateValues" dxfId="0" priority="3"/>
  </conditionalFormatting>
  <pageMargins left="0.7" right="0.7" top="0.75" bottom="0.75" header="0.3" footer="0.3"/>
  <pageSetup orientation="portrait" r:id="rId1"/>
  <headerFooter alignWithMargins="0">
    <oddFooter>&amp;L_x000D_&amp;1#&amp;"Calibri"&amp;11&amp;K000000 Classification: Public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>
    <tabColor rgb="FFFFC000"/>
  </sheetPr>
  <dimension ref="A1:L42"/>
  <sheetViews>
    <sheetView topLeftCell="A3" zoomScaleNormal="100" zoomScaleSheetLayoutView="95" workbookViewId="0">
      <selection activeCell="O22" sqref="O22"/>
    </sheetView>
  </sheetViews>
  <sheetFormatPr defaultColWidth="10.42578125" defaultRowHeight="12"/>
  <cols>
    <col min="1" max="1" width="60.5703125" style="253" customWidth="1"/>
    <col min="2" max="10" width="7.42578125" style="371" customWidth="1"/>
    <col min="11" max="11" width="7.5703125" style="371" customWidth="1"/>
    <col min="13" max="245" width="10.42578125" style="255"/>
    <col min="246" max="246" width="57.42578125" style="255" customWidth="1"/>
    <col min="247" max="256" width="6.5703125" style="255" customWidth="1"/>
    <col min="257" max="260" width="10.42578125" style="255" customWidth="1"/>
    <col min="261" max="261" width="12" style="255" customWidth="1"/>
    <col min="262" max="262" width="12.42578125" style="255" customWidth="1"/>
    <col min="263" max="501" width="10.42578125" style="255"/>
    <col min="502" max="502" width="57.42578125" style="255" customWidth="1"/>
    <col min="503" max="512" width="6.5703125" style="255" customWidth="1"/>
    <col min="513" max="516" width="10.42578125" style="255" customWidth="1"/>
    <col min="517" max="517" width="12" style="255" customWidth="1"/>
    <col min="518" max="518" width="12.42578125" style="255" customWidth="1"/>
    <col min="519" max="757" width="10.42578125" style="255"/>
    <col min="758" max="758" width="57.42578125" style="255" customWidth="1"/>
    <col min="759" max="768" width="6.5703125" style="255" customWidth="1"/>
    <col min="769" max="772" width="10.42578125" style="255" customWidth="1"/>
    <col min="773" max="773" width="12" style="255" customWidth="1"/>
    <col min="774" max="774" width="12.42578125" style="255" customWidth="1"/>
    <col min="775" max="1013" width="10.42578125" style="255"/>
    <col min="1014" max="1014" width="57.42578125" style="255" customWidth="1"/>
    <col min="1015" max="1024" width="6.5703125" style="255" customWidth="1"/>
    <col min="1025" max="1028" width="10.42578125" style="255" customWidth="1"/>
    <col min="1029" max="1029" width="12" style="255" customWidth="1"/>
    <col min="1030" max="1030" width="12.42578125" style="255" customWidth="1"/>
    <col min="1031" max="1269" width="10.42578125" style="255"/>
    <col min="1270" max="1270" width="57.42578125" style="255" customWidth="1"/>
    <col min="1271" max="1280" width="6.5703125" style="255" customWidth="1"/>
    <col min="1281" max="1284" width="10.42578125" style="255" customWidth="1"/>
    <col min="1285" max="1285" width="12" style="255" customWidth="1"/>
    <col min="1286" max="1286" width="12.42578125" style="255" customWidth="1"/>
    <col min="1287" max="1525" width="10.42578125" style="255"/>
    <col min="1526" max="1526" width="57.42578125" style="255" customWidth="1"/>
    <col min="1527" max="1536" width="6.5703125" style="255" customWidth="1"/>
    <col min="1537" max="1540" width="10.42578125" style="255" customWidth="1"/>
    <col min="1541" max="1541" width="12" style="255" customWidth="1"/>
    <col min="1542" max="1542" width="12.42578125" style="255" customWidth="1"/>
    <col min="1543" max="1781" width="10.42578125" style="255"/>
    <col min="1782" max="1782" width="57.42578125" style="255" customWidth="1"/>
    <col min="1783" max="1792" width="6.5703125" style="255" customWidth="1"/>
    <col min="1793" max="1796" width="10.42578125" style="255" customWidth="1"/>
    <col min="1797" max="1797" width="12" style="255" customWidth="1"/>
    <col min="1798" max="1798" width="12.42578125" style="255" customWidth="1"/>
    <col min="1799" max="2037" width="10.42578125" style="255"/>
    <col min="2038" max="2038" width="57.42578125" style="255" customWidth="1"/>
    <col min="2039" max="2048" width="6.5703125" style="255" customWidth="1"/>
    <col min="2049" max="2052" width="10.42578125" style="255" customWidth="1"/>
    <col min="2053" max="2053" width="12" style="255" customWidth="1"/>
    <col min="2054" max="2054" width="12.42578125" style="255" customWidth="1"/>
    <col min="2055" max="2293" width="10.42578125" style="255"/>
    <col min="2294" max="2294" width="57.42578125" style="255" customWidth="1"/>
    <col min="2295" max="2304" width="6.5703125" style="255" customWidth="1"/>
    <col min="2305" max="2308" width="10.42578125" style="255" customWidth="1"/>
    <col min="2309" max="2309" width="12" style="255" customWidth="1"/>
    <col min="2310" max="2310" width="12.42578125" style="255" customWidth="1"/>
    <col min="2311" max="2549" width="10.42578125" style="255"/>
    <col min="2550" max="2550" width="57.42578125" style="255" customWidth="1"/>
    <col min="2551" max="2560" width="6.5703125" style="255" customWidth="1"/>
    <col min="2561" max="2564" width="10.42578125" style="255" customWidth="1"/>
    <col min="2565" max="2565" width="12" style="255" customWidth="1"/>
    <col min="2566" max="2566" width="12.42578125" style="255" customWidth="1"/>
    <col min="2567" max="2805" width="10.42578125" style="255"/>
    <col min="2806" max="2806" width="57.42578125" style="255" customWidth="1"/>
    <col min="2807" max="2816" width="6.5703125" style="255" customWidth="1"/>
    <col min="2817" max="2820" width="10.42578125" style="255" customWidth="1"/>
    <col min="2821" max="2821" width="12" style="255" customWidth="1"/>
    <col min="2822" max="2822" width="12.42578125" style="255" customWidth="1"/>
    <col min="2823" max="3061" width="10.42578125" style="255"/>
    <col min="3062" max="3062" width="57.42578125" style="255" customWidth="1"/>
    <col min="3063" max="3072" width="6.5703125" style="255" customWidth="1"/>
    <col min="3073" max="3076" width="10.42578125" style="255" customWidth="1"/>
    <col min="3077" max="3077" width="12" style="255" customWidth="1"/>
    <col min="3078" max="3078" width="12.42578125" style="255" customWidth="1"/>
    <col min="3079" max="3317" width="10.42578125" style="255"/>
    <col min="3318" max="3318" width="57.42578125" style="255" customWidth="1"/>
    <col min="3319" max="3328" width="6.5703125" style="255" customWidth="1"/>
    <col min="3329" max="3332" width="10.42578125" style="255" customWidth="1"/>
    <col min="3333" max="3333" width="12" style="255" customWidth="1"/>
    <col min="3334" max="3334" width="12.42578125" style="255" customWidth="1"/>
    <col min="3335" max="3573" width="10.42578125" style="255"/>
    <col min="3574" max="3574" width="57.42578125" style="255" customWidth="1"/>
    <col min="3575" max="3584" width="6.5703125" style="255" customWidth="1"/>
    <col min="3585" max="3588" width="10.42578125" style="255" customWidth="1"/>
    <col min="3589" max="3589" width="12" style="255" customWidth="1"/>
    <col min="3590" max="3590" width="12.42578125" style="255" customWidth="1"/>
    <col min="3591" max="3829" width="10.42578125" style="255"/>
    <col min="3830" max="3830" width="57.42578125" style="255" customWidth="1"/>
    <col min="3831" max="3840" width="6.5703125" style="255" customWidth="1"/>
    <col min="3841" max="3844" width="10.42578125" style="255" customWidth="1"/>
    <col min="3845" max="3845" width="12" style="255" customWidth="1"/>
    <col min="3846" max="3846" width="12.42578125" style="255" customWidth="1"/>
    <col min="3847" max="4085" width="10.42578125" style="255"/>
    <col min="4086" max="4086" width="57.42578125" style="255" customWidth="1"/>
    <col min="4087" max="4096" width="6.5703125" style="255" customWidth="1"/>
    <col min="4097" max="4100" width="10.42578125" style="255" customWidth="1"/>
    <col min="4101" max="4101" width="12" style="255" customWidth="1"/>
    <col min="4102" max="4102" width="12.42578125" style="255" customWidth="1"/>
    <col min="4103" max="4341" width="10.42578125" style="255"/>
    <col min="4342" max="4342" width="57.42578125" style="255" customWidth="1"/>
    <col min="4343" max="4352" width="6.5703125" style="255" customWidth="1"/>
    <col min="4353" max="4356" width="10.42578125" style="255" customWidth="1"/>
    <col min="4357" max="4357" width="12" style="255" customWidth="1"/>
    <col min="4358" max="4358" width="12.42578125" style="255" customWidth="1"/>
    <col min="4359" max="4597" width="10.42578125" style="255"/>
    <col min="4598" max="4598" width="57.42578125" style="255" customWidth="1"/>
    <col min="4599" max="4608" width="6.5703125" style="255" customWidth="1"/>
    <col min="4609" max="4612" width="10.42578125" style="255" customWidth="1"/>
    <col min="4613" max="4613" width="12" style="255" customWidth="1"/>
    <col min="4614" max="4614" width="12.42578125" style="255" customWidth="1"/>
    <col min="4615" max="4853" width="10.42578125" style="255"/>
    <col min="4854" max="4854" width="57.42578125" style="255" customWidth="1"/>
    <col min="4855" max="4864" width="6.5703125" style="255" customWidth="1"/>
    <col min="4865" max="4868" width="10.42578125" style="255" customWidth="1"/>
    <col min="4869" max="4869" width="12" style="255" customWidth="1"/>
    <col min="4870" max="4870" width="12.42578125" style="255" customWidth="1"/>
    <col min="4871" max="5109" width="10.42578125" style="255"/>
    <col min="5110" max="5110" width="57.42578125" style="255" customWidth="1"/>
    <col min="5111" max="5120" width="6.5703125" style="255" customWidth="1"/>
    <col min="5121" max="5124" width="10.42578125" style="255" customWidth="1"/>
    <col min="5125" max="5125" width="12" style="255" customWidth="1"/>
    <col min="5126" max="5126" width="12.42578125" style="255" customWidth="1"/>
    <col min="5127" max="5365" width="10.42578125" style="255"/>
    <col min="5366" max="5366" width="57.42578125" style="255" customWidth="1"/>
    <col min="5367" max="5376" width="6.5703125" style="255" customWidth="1"/>
    <col min="5377" max="5380" width="10.42578125" style="255" customWidth="1"/>
    <col min="5381" max="5381" width="12" style="255" customWidth="1"/>
    <col min="5382" max="5382" width="12.42578125" style="255" customWidth="1"/>
    <col min="5383" max="5621" width="10.42578125" style="255"/>
    <col min="5622" max="5622" width="57.42578125" style="255" customWidth="1"/>
    <col min="5623" max="5632" width="6.5703125" style="255" customWidth="1"/>
    <col min="5633" max="5636" width="10.42578125" style="255" customWidth="1"/>
    <col min="5637" max="5637" width="12" style="255" customWidth="1"/>
    <col min="5638" max="5638" width="12.42578125" style="255" customWidth="1"/>
    <col min="5639" max="5877" width="10.42578125" style="255"/>
    <col min="5878" max="5878" width="57.42578125" style="255" customWidth="1"/>
    <col min="5879" max="5888" width="6.5703125" style="255" customWidth="1"/>
    <col min="5889" max="5892" width="10.42578125" style="255" customWidth="1"/>
    <col min="5893" max="5893" width="12" style="255" customWidth="1"/>
    <col min="5894" max="5894" width="12.42578125" style="255" customWidth="1"/>
    <col min="5895" max="6133" width="10.42578125" style="255"/>
    <col min="6134" max="6134" width="57.42578125" style="255" customWidth="1"/>
    <col min="6135" max="6144" width="6.5703125" style="255" customWidth="1"/>
    <col min="6145" max="6148" width="10.42578125" style="255" customWidth="1"/>
    <col min="6149" max="6149" width="12" style="255" customWidth="1"/>
    <col min="6150" max="6150" width="12.42578125" style="255" customWidth="1"/>
    <col min="6151" max="6389" width="10.42578125" style="255"/>
    <col min="6390" max="6390" width="57.42578125" style="255" customWidth="1"/>
    <col min="6391" max="6400" width="6.5703125" style="255" customWidth="1"/>
    <col min="6401" max="6404" width="10.42578125" style="255" customWidth="1"/>
    <col min="6405" max="6405" width="12" style="255" customWidth="1"/>
    <col min="6406" max="6406" width="12.42578125" style="255" customWidth="1"/>
    <col min="6407" max="6645" width="10.42578125" style="255"/>
    <col min="6646" max="6646" width="57.42578125" style="255" customWidth="1"/>
    <col min="6647" max="6656" width="6.5703125" style="255" customWidth="1"/>
    <col min="6657" max="6660" width="10.42578125" style="255" customWidth="1"/>
    <col min="6661" max="6661" width="12" style="255" customWidth="1"/>
    <col min="6662" max="6662" width="12.42578125" style="255" customWidth="1"/>
    <col min="6663" max="6901" width="10.42578125" style="255"/>
    <col min="6902" max="6902" width="57.42578125" style="255" customWidth="1"/>
    <col min="6903" max="6912" width="6.5703125" style="255" customWidth="1"/>
    <col min="6913" max="6916" width="10.42578125" style="255" customWidth="1"/>
    <col min="6917" max="6917" width="12" style="255" customWidth="1"/>
    <col min="6918" max="6918" width="12.42578125" style="255" customWidth="1"/>
    <col min="6919" max="7157" width="10.42578125" style="255"/>
    <col min="7158" max="7158" width="57.42578125" style="255" customWidth="1"/>
    <col min="7159" max="7168" width="6.5703125" style="255" customWidth="1"/>
    <col min="7169" max="7172" width="10.42578125" style="255" customWidth="1"/>
    <col min="7173" max="7173" width="12" style="255" customWidth="1"/>
    <col min="7174" max="7174" width="12.42578125" style="255" customWidth="1"/>
    <col min="7175" max="7413" width="10.42578125" style="255"/>
    <col min="7414" max="7414" width="57.42578125" style="255" customWidth="1"/>
    <col min="7415" max="7424" width="6.5703125" style="255" customWidth="1"/>
    <col min="7425" max="7428" width="10.42578125" style="255" customWidth="1"/>
    <col min="7429" max="7429" width="12" style="255" customWidth="1"/>
    <col min="7430" max="7430" width="12.42578125" style="255" customWidth="1"/>
    <col min="7431" max="7669" width="10.42578125" style="255"/>
    <col min="7670" max="7670" width="57.42578125" style="255" customWidth="1"/>
    <col min="7671" max="7680" width="6.5703125" style="255" customWidth="1"/>
    <col min="7681" max="7684" width="10.42578125" style="255" customWidth="1"/>
    <col min="7685" max="7685" width="12" style="255" customWidth="1"/>
    <col min="7686" max="7686" width="12.42578125" style="255" customWidth="1"/>
    <col min="7687" max="7925" width="10.42578125" style="255"/>
    <col min="7926" max="7926" width="57.42578125" style="255" customWidth="1"/>
    <col min="7927" max="7936" width="6.5703125" style="255" customWidth="1"/>
    <col min="7937" max="7940" width="10.42578125" style="255" customWidth="1"/>
    <col min="7941" max="7941" width="12" style="255" customWidth="1"/>
    <col min="7942" max="7942" width="12.42578125" style="255" customWidth="1"/>
    <col min="7943" max="8181" width="10.42578125" style="255"/>
    <col min="8182" max="8182" width="57.42578125" style="255" customWidth="1"/>
    <col min="8183" max="8192" width="6.5703125" style="255" customWidth="1"/>
    <col min="8193" max="8196" width="10.42578125" style="255" customWidth="1"/>
    <col min="8197" max="8197" width="12" style="255" customWidth="1"/>
    <col min="8198" max="8198" width="12.42578125" style="255" customWidth="1"/>
    <col min="8199" max="8437" width="10.42578125" style="255"/>
    <col min="8438" max="8438" width="57.42578125" style="255" customWidth="1"/>
    <col min="8439" max="8448" width="6.5703125" style="255" customWidth="1"/>
    <col min="8449" max="8452" width="10.42578125" style="255" customWidth="1"/>
    <col min="8453" max="8453" width="12" style="255" customWidth="1"/>
    <col min="8454" max="8454" width="12.42578125" style="255" customWidth="1"/>
    <col min="8455" max="8693" width="10.42578125" style="255"/>
    <col min="8694" max="8694" width="57.42578125" style="255" customWidth="1"/>
    <col min="8695" max="8704" width="6.5703125" style="255" customWidth="1"/>
    <col min="8705" max="8708" width="10.42578125" style="255" customWidth="1"/>
    <col min="8709" max="8709" width="12" style="255" customWidth="1"/>
    <col min="8710" max="8710" width="12.42578125" style="255" customWidth="1"/>
    <col min="8711" max="8949" width="10.42578125" style="255"/>
    <col min="8950" max="8950" width="57.42578125" style="255" customWidth="1"/>
    <col min="8951" max="8960" width="6.5703125" style="255" customWidth="1"/>
    <col min="8961" max="8964" width="10.42578125" style="255" customWidth="1"/>
    <col min="8965" max="8965" width="12" style="255" customWidth="1"/>
    <col min="8966" max="8966" width="12.42578125" style="255" customWidth="1"/>
    <col min="8967" max="9205" width="10.42578125" style="255"/>
    <col min="9206" max="9206" width="57.42578125" style="255" customWidth="1"/>
    <col min="9207" max="9216" width="6.5703125" style="255" customWidth="1"/>
    <col min="9217" max="9220" width="10.42578125" style="255" customWidth="1"/>
    <col min="9221" max="9221" width="12" style="255" customWidth="1"/>
    <col min="9222" max="9222" width="12.42578125" style="255" customWidth="1"/>
    <col min="9223" max="9461" width="10.42578125" style="255"/>
    <col min="9462" max="9462" width="57.42578125" style="255" customWidth="1"/>
    <col min="9463" max="9472" width="6.5703125" style="255" customWidth="1"/>
    <col min="9473" max="9476" width="10.42578125" style="255" customWidth="1"/>
    <col min="9477" max="9477" width="12" style="255" customWidth="1"/>
    <col min="9478" max="9478" width="12.42578125" style="255" customWidth="1"/>
    <col min="9479" max="9717" width="10.42578125" style="255"/>
    <col min="9718" max="9718" width="57.42578125" style="255" customWidth="1"/>
    <col min="9719" max="9728" width="6.5703125" style="255" customWidth="1"/>
    <col min="9729" max="9732" width="10.42578125" style="255" customWidth="1"/>
    <col min="9733" max="9733" width="12" style="255" customWidth="1"/>
    <col min="9734" max="9734" width="12.42578125" style="255" customWidth="1"/>
    <col min="9735" max="9973" width="10.42578125" style="255"/>
    <col min="9974" max="9974" width="57.42578125" style="255" customWidth="1"/>
    <col min="9975" max="9984" width="6.5703125" style="255" customWidth="1"/>
    <col min="9985" max="9988" width="10.42578125" style="255" customWidth="1"/>
    <col min="9989" max="9989" width="12" style="255" customWidth="1"/>
    <col min="9990" max="9990" width="12.42578125" style="255" customWidth="1"/>
    <col min="9991" max="10229" width="10.42578125" style="255"/>
    <col min="10230" max="10230" width="57.42578125" style="255" customWidth="1"/>
    <col min="10231" max="10240" width="6.5703125" style="255" customWidth="1"/>
    <col min="10241" max="10244" width="10.42578125" style="255" customWidth="1"/>
    <col min="10245" max="10245" width="12" style="255" customWidth="1"/>
    <col min="10246" max="10246" width="12.42578125" style="255" customWidth="1"/>
    <col min="10247" max="10485" width="10.42578125" style="255"/>
    <col min="10486" max="10486" width="57.42578125" style="255" customWidth="1"/>
    <col min="10487" max="10496" width="6.5703125" style="255" customWidth="1"/>
    <col min="10497" max="10500" width="10.42578125" style="255" customWidth="1"/>
    <col min="10501" max="10501" width="12" style="255" customWidth="1"/>
    <col min="10502" max="10502" width="12.42578125" style="255" customWidth="1"/>
    <col min="10503" max="10741" width="10.42578125" style="255"/>
    <col min="10742" max="10742" width="57.42578125" style="255" customWidth="1"/>
    <col min="10743" max="10752" width="6.5703125" style="255" customWidth="1"/>
    <col min="10753" max="10756" width="10.42578125" style="255" customWidth="1"/>
    <col min="10757" max="10757" width="12" style="255" customWidth="1"/>
    <col min="10758" max="10758" width="12.42578125" style="255" customWidth="1"/>
    <col min="10759" max="10997" width="10.42578125" style="255"/>
    <col min="10998" max="10998" width="57.42578125" style="255" customWidth="1"/>
    <col min="10999" max="11008" width="6.5703125" style="255" customWidth="1"/>
    <col min="11009" max="11012" width="10.42578125" style="255" customWidth="1"/>
    <col min="11013" max="11013" width="12" style="255" customWidth="1"/>
    <col min="11014" max="11014" width="12.42578125" style="255" customWidth="1"/>
    <col min="11015" max="11253" width="10.42578125" style="255"/>
    <col min="11254" max="11254" width="57.42578125" style="255" customWidth="1"/>
    <col min="11255" max="11264" width="6.5703125" style="255" customWidth="1"/>
    <col min="11265" max="11268" width="10.42578125" style="255" customWidth="1"/>
    <col min="11269" max="11269" width="12" style="255" customWidth="1"/>
    <col min="11270" max="11270" width="12.42578125" style="255" customWidth="1"/>
    <col min="11271" max="11509" width="10.42578125" style="255"/>
    <col min="11510" max="11510" width="57.42578125" style="255" customWidth="1"/>
    <col min="11511" max="11520" width="6.5703125" style="255" customWidth="1"/>
    <col min="11521" max="11524" width="10.42578125" style="255" customWidth="1"/>
    <col min="11525" max="11525" width="12" style="255" customWidth="1"/>
    <col min="11526" max="11526" width="12.42578125" style="255" customWidth="1"/>
    <col min="11527" max="11765" width="10.42578125" style="255"/>
    <col min="11766" max="11766" width="57.42578125" style="255" customWidth="1"/>
    <col min="11767" max="11776" width="6.5703125" style="255" customWidth="1"/>
    <col min="11777" max="11780" width="10.42578125" style="255" customWidth="1"/>
    <col min="11781" max="11781" width="12" style="255" customWidth="1"/>
    <col min="11782" max="11782" width="12.42578125" style="255" customWidth="1"/>
    <col min="11783" max="12021" width="10.42578125" style="255"/>
    <col min="12022" max="12022" width="57.42578125" style="255" customWidth="1"/>
    <col min="12023" max="12032" width="6.5703125" style="255" customWidth="1"/>
    <col min="12033" max="12036" width="10.42578125" style="255" customWidth="1"/>
    <col min="12037" max="12037" width="12" style="255" customWidth="1"/>
    <col min="12038" max="12038" width="12.42578125" style="255" customWidth="1"/>
    <col min="12039" max="12277" width="10.42578125" style="255"/>
    <col min="12278" max="12278" width="57.42578125" style="255" customWidth="1"/>
    <col min="12279" max="12288" width="6.5703125" style="255" customWidth="1"/>
    <col min="12289" max="12292" width="10.42578125" style="255" customWidth="1"/>
    <col min="12293" max="12293" width="12" style="255" customWidth="1"/>
    <col min="12294" max="12294" width="12.42578125" style="255" customWidth="1"/>
    <col min="12295" max="12533" width="10.42578125" style="255"/>
    <col min="12534" max="12534" width="57.42578125" style="255" customWidth="1"/>
    <col min="12535" max="12544" width="6.5703125" style="255" customWidth="1"/>
    <col min="12545" max="12548" width="10.42578125" style="255" customWidth="1"/>
    <col min="12549" max="12549" width="12" style="255" customWidth="1"/>
    <col min="12550" max="12550" width="12.42578125" style="255" customWidth="1"/>
    <col min="12551" max="12789" width="10.42578125" style="255"/>
    <col min="12790" max="12790" width="57.42578125" style="255" customWidth="1"/>
    <col min="12791" max="12800" width="6.5703125" style="255" customWidth="1"/>
    <col min="12801" max="12804" width="10.42578125" style="255" customWidth="1"/>
    <col min="12805" max="12805" width="12" style="255" customWidth="1"/>
    <col min="12806" max="12806" width="12.42578125" style="255" customWidth="1"/>
    <col min="12807" max="13045" width="10.42578125" style="255"/>
    <col min="13046" max="13046" width="57.42578125" style="255" customWidth="1"/>
    <col min="13047" max="13056" width="6.5703125" style="255" customWidth="1"/>
    <col min="13057" max="13060" width="10.42578125" style="255" customWidth="1"/>
    <col min="13061" max="13061" width="12" style="255" customWidth="1"/>
    <col min="13062" max="13062" width="12.42578125" style="255" customWidth="1"/>
    <col min="13063" max="13301" width="10.42578125" style="255"/>
    <col min="13302" max="13302" width="57.42578125" style="255" customWidth="1"/>
    <col min="13303" max="13312" width="6.5703125" style="255" customWidth="1"/>
    <col min="13313" max="13316" width="10.42578125" style="255" customWidth="1"/>
    <col min="13317" max="13317" width="12" style="255" customWidth="1"/>
    <col min="13318" max="13318" width="12.42578125" style="255" customWidth="1"/>
    <col min="13319" max="13557" width="10.42578125" style="255"/>
    <col min="13558" max="13558" width="57.42578125" style="255" customWidth="1"/>
    <col min="13559" max="13568" width="6.5703125" style="255" customWidth="1"/>
    <col min="13569" max="13572" width="10.42578125" style="255" customWidth="1"/>
    <col min="13573" max="13573" width="12" style="255" customWidth="1"/>
    <col min="13574" max="13574" width="12.42578125" style="255" customWidth="1"/>
    <col min="13575" max="13813" width="10.42578125" style="255"/>
    <col min="13814" max="13814" width="57.42578125" style="255" customWidth="1"/>
    <col min="13815" max="13824" width="6.5703125" style="255" customWidth="1"/>
    <col min="13825" max="13828" width="10.42578125" style="255" customWidth="1"/>
    <col min="13829" max="13829" width="12" style="255" customWidth="1"/>
    <col min="13830" max="13830" width="12.42578125" style="255" customWidth="1"/>
    <col min="13831" max="14069" width="10.42578125" style="255"/>
    <col min="14070" max="14070" width="57.42578125" style="255" customWidth="1"/>
    <col min="14071" max="14080" width="6.5703125" style="255" customWidth="1"/>
    <col min="14081" max="14084" width="10.42578125" style="255" customWidth="1"/>
    <col min="14085" max="14085" width="12" style="255" customWidth="1"/>
    <col min="14086" max="14086" width="12.42578125" style="255" customWidth="1"/>
    <col min="14087" max="14325" width="10.42578125" style="255"/>
    <col min="14326" max="14326" width="57.42578125" style="255" customWidth="1"/>
    <col min="14327" max="14336" width="6.5703125" style="255" customWidth="1"/>
    <col min="14337" max="14340" width="10.42578125" style="255" customWidth="1"/>
    <col min="14341" max="14341" width="12" style="255" customWidth="1"/>
    <col min="14342" max="14342" width="12.42578125" style="255" customWidth="1"/>
    <col min="14343" max="14581" width="10.42578125" style="255"/>
    <col min="14582" max="14582" width="57.42578125" style="255" customWidth="1"/>
    <col min="14583" max="14592" width="6.5703125" style="255" customWidth="1"/>
    <col min="14593" max="14596" width="10.42578125" style="255" customWidth="1"/>
    <col min="14597" max="14597" width="12" style="255" customWidth="1"/>
    <col min="14598" max="14598" width="12.42578125" style="255" customWidth="1"/>
    <col min="14599" max="14837" width="10.42578125" style="255"/>
    <col min="14838" max="14838" width="57.42578125" style="255" customWidth="1"/>
    <col min="14839" max="14848" width="6.5703125" style="255" customWidth="1"/>
    <col min="14849" max="14852" width="10.42578125" style="255" customWidth="1"/>
    <col min="14853" max="14853" width="12" style="255" customWidth="1"/>
    <col min="14854" max="14854" width="12.42578125" style="255" customWidth="1"/>
    <col min="14855" max="15093" width="10.42578125" style="255"/>
    <col min="15094" max="15094" width="57.42578125" style="255" customWidth="1"/>
    <col min="15095" max="15104" width="6.5703125" style="255" customWidth="1"/>
    <col min="15105" max="15108" width="10.42578125" style="255" customWidth="1"/>
    <col min="15109" max="15109" width="12" style="255" customWidth="1"/>
    <col min="15110" max="15110" width="12.42578125" style="255" customWidth="1"/>
    <col min="15111" max="15349" width="10.42578125" style="255"/>
    <col min="15350" max="15350" width="57.42578125" style="255" customWidth="1"/>
    <col min="15351" max="15360" width="6.5703125" style="255" customWidth="1"/>
    <col min="15361" max="15364" width="10.42578125" style="255" customWidth="1"/>
    <col min="15365" max="15365" width="12" style="255" customWidth="1"/>
    <col min="15366" max="15366" width="12.42578125" style="255" customWidth="1"/>
    <col min="15367" max="15605" width="10.42578125" style="255"/>
    <col min="15606" max="15606" width="57.42578125" style="255" customWidth="1"/>
    <col min="15607" max="15616" width="6.5703125" style="255" customWidth="1"/>
    <col min="15617" max="15620" width="10.42578125" style="255" customWidth="1"/>
    <col min="15621" max="15621" width="12" style="255" customWidth="1"/>
    <col min="15622" max="15622" width="12.42578125" style="255" customWidth="1"/>
    <col min="15623" max="15861" width="10.42578125" style="255"/>
    <col min="15862" max="15862" width="57.42578125" style="255" customWidth="1"/>
    <col min="15863" max="15872" width="6.5703125" style="255" customWidth="1"/>
    <col min="15873" max="15876" width="10.42578125" style="255" customWidth="1"/>
    <col min="15877" max="15877" width="12" style="255" customWidth="1"/>
    <col min="15878" max="15878" width="12.42578125" style="255" customWidth="1"/>
    <col min="15879" max="16117" width="10.42578125" style="255"/>
    <col min="16118" max="16118" width="57.42578125" style="255" customWidth="1"/>
    <col min="16119" max="16128" width="6.5703125" style="255" customWidth="1"/>
    <col min="16129" max="16132" width="10.42578125" style="255" customWidth="1"/>
    <col min="16133" max="16133" width="12" style="255" customWidth="1"/>
    <col min="16134" max="16134" width="12.42578125" style="255" customWidth="1"/>
    <col min="16135" max="16384" width="10.42578125" style="255"/>
  </cols>
  <sheetData>
    <row r="1" spans="1:11" ht="15.75">
      <c r="A1" s="370" t="s">
        <v>274</v>
      </c>
    </row>
    <row r="3" spans="1:11" s="374" customFormat="1" ht="12.75" customHeight="1">
      <c r="A3" s="372"/>
      <c r="B3" s="654" t="s">
        <v>275</v>
      </c>
      <c r="C3" s="652" t="s">
        <v>276</v>
      </c>
      <c r="D3" s="651" t="s">
        <v>277</v>
      </c>
      <c r="E3" s="652" t="s">
        <v>170</v>
      </c>
      <c r="F3" s="651" t="s">
        <v>278</v>
      </c>
      <c r="G3" s="652" t="s">
        <v>279</v>
      </c>
      <c r="H3" s="651" t="s">
        <v>280</v>
      </c>
      <c r="I3" s="652" t="s">
        <v>273</v>
      </c>
      <c r="J3" s="651" t="s">
        <v>281</v>
      </c>
      <c r="K3" s="653" t="s">
        <v>436</v>
      </c>
    </row>
    <row r="4" spans="1:11" s="374" customFormat="1" ht="11.25">
      <c r="A4" s="394"/>
      <c r="B4" s="655"/>
      <c r="C4" s="656"/>
      <c r="D4" s="657"/>
      <c r="E4" s="656"/>
      <c r="F4" s="655"/>
      <c r="G4" s="652"/>
      <c r="H4" s="651"/>
      <c r="I4" s="652"/>
      <c r="J4" s="651"/>
      <c r="K4" s="653"/>
    </row>
    <row r="5" spans="1:11" s="374" customFormat="1">
      <c r="A5" s="372"/>
      <c r="B5" s="655"/>
      <c r="C5" s="656"/>
      <c r="D5" s="657"/>
      <c r="E5" s="656"/>
      <c r="F5" s="655"/>
      <c r="G5" s="652"/>
      <c r="H5" s="651"/>
      <c r="I5" s="652"/>
      <c r="J5" s="651"/>
      <c r="K5" s="653"/>
    </row>
    <row r="6" spans="1:11" s="374" customFormat="1" ht="12" customHeight="1">
      <c r="A6" s="372"/>
      <c r="B6" s="655"/>
      <c r="C6" s="656"/>
      <c r="D6" s="657"/>
      <c r="E6" s="656"/>
      <c r="F6" s="655"/>
      <c r="G6" s="652"/>
      <c r="H6" s="651"/>
      <c r="I6" s="652"/>
      <c r="J6" s="651"/>
      <c r="K6" s="653"/>
    </row>
    <row r="7" spans="1:11" s="374" customFormat="1">
      <c r="A7" s="372"/>
      <c r="B7" s="655"/>
      <c r="C7" s="656"/>
      <c r="D7" s="657"/>
      <c r="E7" s="656"/>
      <c r="F7" s="655"/>
      <c r="G7" s="652"/>
      <c r="H7" s="651"/>
      <c r="I7" s="652"/>
      <c r="J7" s="651"/>
      <c r="K7" s="653"/>
    </row>
    <row r="8" spans="1:11" s="376" customFormat="1" ht="11.25" customHeight="1">
      <c r="B8" s="655"/>
      <c r="C8" s="656"/>
      <c r="D8" s="657"/>
      <c r="E8" s="656"/>
      <c r="F8" s="655"/>
      <c r="G8" s="652"/>
      <c r="H8" s="651"/>
      <c r="I8" s="652"/>
      <c r="J8" s="651"/>
      <c r="K8" s="653"/>
    </row>
    <row r="9" spans="1:11" s="376" customFormat="1">
      <c r="B9" s="655"/>
      <c r="C9" s="656"/>
      <c r="D9" s="657"/>
      <c r="E9" s="656"/>
      <c r="F9" s="655"/>
      <c r="G9" s="652"/>
      <c r="H9" s="651"/>
      <c r="I9" s="652"/>
      <c r="J9" s="651"/>
      <c r="K9" s="653"/>
    </row>
    <row r="10" spans="1:11" s="376" customFormat="1">
      <c r="B10" s="655"/>
      <c r="C10" s="656"/>
      <c r="D10" s="657"/>
      <c r="E10" s="656"/>
      <c r="F10" s="655"/>
      <c r="G10" s="652"/>
      <c r="H10" s="651"/>
      <c r="I10" s="652"/>
      <c r="J10" s="651"/>
      <c r="K10" s="653"/>
    </row>
    <row r="11" spans="1:11" s="376" customFormat="1">
      <c r="B11" s="655"/>
      <c r="C11" s="656"/>
      <c r="D11" s="657"/>
      <c r="E11" s="656"/>
      <c r="F11" s="655"/>
      <c r="G11" s="652"/>
      <c r="H11" s="651"/>
      <c r="I11" s="652"/>
      <c r="J11" s="651"/>
      <c r="K11" s="653"/>
    </row>
    <row r="12" spans="1:11" s="376" customFormat="1">
      <c r="B12" s="655"/>
      <c r="C12" s="656"/>
      <c r="D12" s="657"/>
      <c r="E12" s="656"/>
      <c r="F12" s="655"/>
      <c r="G12" s="652"/>
      <c r="H12" s="651"/>
      <c r="I12" s="652"/>
      <c r="J12" s="651"/>
      <c r="K12" s="653"/>
    </row>
    <row r="13" spans="1:11" s="376" customFormat="1" ht="5.25" customHeight="1">
      <c r="A13" s="395"/>
      <c r="B13" s="396"/>
      <c r="C13" s="395"/>
      <c r="D13" s="381"/>
      <c r="E13" s="380"/>
      <c r="F13" s="381"/>
      <c r="G13" s="380"/>
      <c r="H13" s="381"/>
      <c r="I13" s="380"/>
      <c r="J13" s="397"/>
      <c r="K13" s="380"/>
    </row>
    <row r="14" spans="1:11" ht="12" customHeight="1">
      <c r="A14" s="253" t="s">
        <v>169</v>
      </c>
      <c r="B14" s="383">
        <v>94.738</v>
      </c>
      <c r="C14" s="382">
        <v>51.302999999999997</v>
      </c>
      <c r="D14" s="383">
        <v>0</v>
      </c>
      <c r="E14" s="382">
        <v>0</v>
      </c>
      <c r="F14" s="383">
        <v>2.532</v>
      </c>
      <c r="G14" s="382">
        <v>0</v>
      </c>
      <c r="H14" s="383">
        <v>0</v>
      </c>
      <c r="I14" s="382">
        <v>0</v>
      </c>
      <c r="J14" s="383">
        <v>15.398</v>
      </c>
      <c r="K14" s="384">
        <v>164.071</v>
      </c>
    </row>
    <row r="15" spans="1:11" ht="12" customHeight="1">
      <c r="A15" s="253" t="s">
        <v>95</v>
      </c>
      <c r="B15" s="383">
        <v>4211.88</v>
      </c>
      <c r="C15" s="382">
        <v>1592.6790000000001</v>
      </c>
      <c r="D15" s="383">
        <v>661.03700000000003</v>
      </c>
      <c r="E15" s="382">
        <v>0</v>
      </c>
      <c r="F15" s="383">
        <v>573.21699999999998</v>
      </c>
      <c r="G15" s="382">
        <v>202.90199999999999</v>
      </c>
      <c r="H15" s="383">
        <v>-48.988999999999997</v>
      </c>
      <c r="I15" s="382">
        <v>0</v>
      </c>
      <c r="J15" s="383">
        <v>169.602</v>
      </c>
      <c r="K15" s="384">
        <v>7362.3280000000004</v>
      </c>
    </row>
    <row r="16" spans="1:11" ht="12" customHeight="1">
      <c r="A16" s="253" t="s">
        <v>327</v>
      </c>
      <c r="B16" s="383">
        <v>42.857999999999997</v>
      </c>
      <c r="C16" s="382">
        <v>18.885000000000002</v>
      </c>
      <c r="D16" s="383">
        <v>84.834999999999994</v>
      </c>
      <c r="E16" s="382">
        <v>6.4</v>
      </c>
      <c r="F16" s="383">
        <v>1.6080000000000001</v>
      </c>
      <c r="G16" s="382">
        <v>0</v>
      </c>
      <c r="H16" s="383">
        <v>0</v>
      </c>
      <c r="I16" s="382">
        <v>0</v>
      </c>
      <c r="J16" s="383">
        <v>13.658999999999999</v>
      </c>
      <c r="K16" s="384">
        <v>168.24499999999998</v>
      </c>
    </row>
    <row r="17" spans="1:11" ht="12" customHeight="1">
      <c r="A17" s="255" t="s">
        <v>328</v>
      </c>
      <c r="B17" s="383">
        <v>139.00800000000001</v>
      </c>
      <c r="C17" s="382">
        <v>592.31700000000001</v>
      </c>
      <c r="D17" s="383">
        <v>120.232</v>
      </c>
      <c r="E17" s="382">
        <v>85.100999999999999</v>
      </c>
      <c r="F17" s="383">
        <v>39.558999999999997</v>
      </c>
      <c r="G17" s="382">
        <v>0</v>
      </c>
      <c r="H17" s="383">
        <v>0</v>
      </c>
      <c r="I17" s="382">
        <v>0</v>
      </c>
      <c r="J17" s="383">
        <v>8.0250000000000004</v>
      </c>
      <c r="K17" s="384">
        <v>984.24199999999996</v>
      </c>
    </row>
    <row r="18" spans="1:11" ht="12" customHeight="1">
      <c r="A18" s="253" t="s">
        <v>370</v>
      </c>
      <c r="B18" s="383">
        <v>53.883000000000003</v>
      </c>
      <c r="C18" s="382">
        <v>30.449000000000002</v>
      </c>
      <c r="D18" s="383">
        <v>71.7</v>
      </c>
      <c r="E18" s="382">
        <v>60.793999999999997</v>
      </c>
      <c r="F18" s="383">
        <v>6.9640000000000004</v>
      </c>
      <c r="G18" s="382">
        <v>1.0900000000000001</v>
      </c>
      <c r="H18" s="383">
        <v>0</v>
      </c>
      <c r="I18" s="382">
        <v>0</v>
      </c>
      <c r="J18" s="383">
        <v>1.0649999999999999</v>
      </c>
      <c r="K18" s="384">
        <v>225.94500000000002</v>
      </c>
    </row>
    <row r="19" spans="1:11" ht="12" customHeight="1">
      <c r="A19" s="253" t="s">
        <v>371</v>
      </c>
      <c r="B19" s="383">
        <v>321.72800000000001</v>
      </c>
      <c r="C19" s="382">
        <v>690.73599999999999</v>
      </c>
      <c r="D19" s="383">
        <v>582.505</v>
      </c>
      <c r="E19" s="382">
        <v>0</v>
      </c>
      <c r="F19" s="383">
        <v>0</v>
      </c>
      <c r="G19" s="382">
        <v>0</v>
      </c>
      <c r="H19" s="383">
        <v>0</v>
      </c>
      <c r="I19" s="382">
        <v>0</v>
      </c>
      <c r="J19" s="383">
        <v>0</v>
      </c>
      <c r="K19" s="384">
        <v>1594.9690000000001</v>
      </c>
    </row>
    <row r="20" spans="1:11" ht="12" customHeight="1">
      <c r="A20" s="253" t="s">
        <v>96</v>
      </c>
      <c r="B20" s="383">
        <v>7608.2169999999996</v>
      </c>
      <c r="C20" s="382">
        <v>1758.39</v>
      </c>
      <c r="D20" s="383">
        <v>515.52200000000005</v>
      </c>
      <c r="E20" s="382">
        <v>11.477</v>
      </c>
      <c r="F20" s="383">
        <v>504.39100000000002</v>
      </c>
      <c r="G20" s="382">
        <v>0</v>
      </c>
      <c r="H20" s="383">
        <v>0</v>
      </c>
      <c r="I20" s="382">
        <v>41.505000000000003</v>
      </c>
      <c r="J20" s="383">
        <v>0</v>
      </c>
      <c r="K20" s="384">
        <v>10439.502</v>
      </c>
    </row>
    <row r="21" spans="1:11" ht="12" customHeight="1">
      <c r="A21" s="253" t="s">
        <v>372</v>
      </c>
      <c r="B21" s="383">
        <v>248.38200000000001</v>
      </c>
      <c r="C21" s="382">
        <v>643.029</v>
      </c>
      <c r="D21" s="383">
        <v>0.77500000000000002</v>
      </c>
      <c r="E21" s="382">
        <v>217.279</v>
      </c>
      <c r="F21" s="383">
        <v>12.5</v>
      </c>
      <c r="G21" s="382">
        <v>0</v>
      </c>
      <c r="H21" s="383">
        <v>0</v>
      </c>
      <c r="I21" s="382">
        <v>0</v>
      </c>
      <c r="J21" s="383">
        <v>0</v>
      </c>
      <c r="K21" s="384">
        <v>1121.9650000000001</v>
      </c>
    </row>
    <row r="22" spans="1:11" ht="12" customHeight="1">
      <c r="A22" s="253" t="s">
        <v>330</v>
      </c>
      <c r="B22" s="383">
        <v>153.90899999999999</v>
      </c>
      <c r="C22" s="382">
        <v>113.831</v>
      </c>
      <c r="D22" s="383">
        <v>246.596</v>
      </c>
      <c r="E22" s="382">
        <v>51.6</v>
      </c>
      <c r="F22" s="383">
        <v>4.4640000000000004</v>
      </c>
      <c r="G22" s="382">
        <v>0</v>
      </c>
      <c r="H22" s="383">
        <v>0</v>
      </c>
      <c r="I22" s="382">
        <v>0</v>
      </c>
      <c r="J22" s="383">
        <v>0</v>
      </c>
      <c r="K22" s="384">
        <v>570.40000000000009</v>
      </c>
    </row>
    <row r="23" spans="1:11" ht="12" customHeight="1">
      <c r="A23" s="253" t="s">
        <v>97</v>
      </c>
      <c r="B23" s="383">
        <v>34.384</v>
      </c>
      <c r="C23" s="382">
        <v>31.417999999999999</v>
      </c>
      <c r="D23" s="383">
        <v>1.5</v>
      </c>
      <c r="E23" s="382">
        <v>0</v>
      </c>
      <c r="F23" s="383">
        <v>0</v>
      </c>
      <c r="G23" s="382">
        <v>0</v>
      </c>
      <c r="H23" s="383">
        <v>0</v>
      </c>
      <c r="I23" s="382">
        <v>0</v>
      </c>
      <c r="J23" s="383">
        <v>0</v>
      </c>
      <c r="K23" s="384">
        <v>67.301999999999992</v>
      </c>
    </row>
    <row r="24" spans="1:11" ht="12" customHeight="1">
      <c r="A24" s="255" t="s">
        <v>373</v>
      </c>
      <c r="B24" s="383">
        <v>183.41499999999999</v>
      </c>
      <c r="C24" s="382">
        <v>152.60599999999999</v>
      </c>
      <c r="D24" s="383">
        <v>26.172999999999998</v>
      </c>
      <c r="E24" s="382">
        <v>0.5</v>
      </c>
      <c r="F24" s="383">
        <v>39.066000000000003</v>
      </c>
      <c r="G24" s="382">
        <v>1.31</v>
      </c>
      <c r="H24" s="383">
        <v>0</v>
      </c>
      <c r="I24" s="382">
        <v>0</v>
      </c>
      <c r="J24" s="383">
        <v>0</v>
      </c>
      <c r="K24" s="384">
        <v>403.07</v>
      </c>
    </row>
    <row r="25" spans="1:11" ht="12" customHeight="1">
      <c r="A25" s="253" t="s">
        <v>98</v>
      </c>
      <c r="B25" s="383">
        <v>8380.2389999999996</v>
      </c>
      <c r="C25" s="382">
        <v>4883.2960000000003</v>
      </c>
      <c r="D25" s="383">
        <v>8830.1360000000004</v>
      </c>
      <c r="E25" s="382">
        <v>0</v>
      </c>
      <c r="F25" s="383">
        <v>333.02</v>
      </c>
      <c r="G25" s="382">
        <v>1607.8579999999999</v>
      </c>
      <c r="H25" s="383">
        <v>0</v>
      </c>
      <c r="I25" s="382">
        <v>0</v>
      </c>
      <c r="J25" s="383">
        <v>2.0619999999999998</v>
      </c>
      <c r="K25" s="384">
        <v>24036.611000000004</v>
      </c>
    </row>
    <row r="26" spans="1:11" ht="12" customHeight="1">
      <c r="A26" s="253" t="s">
        <v>374</v>
      </c>
      <c r="B26" s="383">
        <v>22.334</v>
      </c>
      <c r="C26" s="382">
        <v>3.45</v>
      </c>
      <c r="D26" s="383">
        <v>15.974</v>
      </c>
      <c r="E26" s="382">
        <v>0</v>
      </c>
      <c r="F26" s="383">
        <v>0</v>
      </c>
      <c r="G26" s="382">
        <v>0</v>
      </c>
      <c r="H26" s="383">
        <v>0</v>
      </c>
      <c r="I26" s="382">
        <v>0</v>
      </c>
      <c r="J26" s="383">
        <v>0</v>
      </c>
      <c r="K26" s="384">
        <v>41.757999999999996</v>
      </c>
    </row>
    <row r="27" spans="1:11" ht="12" customHeight="1">
      <c r="A27" s="253" t="s">
        <v>99</v>
      </c>
      <c r="B27" s="383">
        <v>26.632000000000001</v>
      </c>
      <c r="C27" s="382">
        <v>8.0950000000000006</v>
      </c>
      <c r="D27" s="383">
        <v>193.22</v>
      </c>
      <c r="E27" s="382">
        <v>10</v>
      </c>
      <c r="F27" s="383">
        <v>0</v>
      </c>
      <c r="G27" s="382">
        <v>0</v>
      </c>
      <c r="H27" s="383">
        <v>0</v>
      </c>
      <c r="I27" s="382">
        <v>0</v>
      </c>
      <c r="J27" s="383">
        <v>0</v>
      </c>
      <c r="K27" s="384">
        <v>237.947</v>
      </c>
    </row>
    <row r="28" spans="1:11" ht="12" customHeight="1">
      <c r="A28" s="253" t="s">
        <v>100</v>
      </c>
      <c r="B28" s="383">
        <v>66.475999999999999</v>
      </c>
      <c r="C28" s="382">
        <v>413.10700000000003</v>
      </c>
      <c r="D28" s="383">
        <v>0</v>
      </c>
      <c r="E28" s="382">
        <v>4</v>
      </c>
      <c r="F28" s="383">
        <v>424.90300000000002</v>
      </c>
      <c r="G28" s="382">
        <v>1.5</v>
      </c>
      <c r="H28" s="383">
        <v>0</v>
      </c>
      <c r="I28" s="382">
        <v>0</v>
      </c>
      <c r="J28" s="383">
        <v>11.502000000000001</v>
      </c>
      <c r="K28" s="384">
        <v>921.48800000000006</v>
      </c>
    </row>
    <row r="29" spans="1:11" ht="12" customHeight="1">
      <c r="A29" s="253" t="s">
        <v>375</v>
      </c>
      <c r="B29" s="383">
        <v>166.24700000000001</v>
      </c>
      <c r="C29" s="382">
        <v>108.97499999999999</v>
      </c>
      <c r="D29" s="383">
        <v>2029.296</v>
      </c>
      <c r="E29" s="382">
        <v>8</v>
      </c>
      <c r="F29" s="383">
        <v>2.1259999999999999</v>
      </c>
      <c r="G29" s="382">
        <v>0</v>
      </c>
      <c r="H29" s="383">
        <v>0</v>
      </c>
      <c r="I29" s="382">
        <v>0</v>
      </c>
      <c r="J29" s="383">
        <v>0</v>
      </c>
      <c r="K29" s="384">
        <v>2314.6440000000002</v>
      </c>
    </row>
    <row r="30" spans="1:11" ht="12" customHeight="1">
      <c r="A30" s="254" t="s">
        <v>331</v>
      </c>
      <c r="B30" s="383">
        <v>523.84500000000003</v>
      </c>
      <c r="C30" s="382">
        <v>75.418000000000006</v>
      </c>
      <c r="D30" s="383">
        <v>94.762</v>
      </c>
      <c r="E30" s="382">
        <v>0</v>
      </c>
      <c r="F30" s="383">
        <v>6.835</v>
      </c>
      <c r="G30" s="382">
        <v>0</v>
      </c>
      <c r="H30" s="383">
        <v>0</v>
      </c>
      <c r="I30" s="382">
        <v>0</v>
      </c>
      <c r="J30" s="383">
        <v>6.0519999999999996</v>
      </c>
      <c r="K30" s="384">
        <v>706.91200000000015</v>
      </c>
    </row>
    <row r="31" spans="1:11" ht="12" customHeight="1">
      <c r="A31" s="253" t="s">
        <v>332</v>
      </c>
      <c r="B31" s="383">
        <v>927.25800000000004</v>
      </c>
      <c r="C31" s="382">
        <v>557.78</v>
      </c>
      <c r="D31" s="383">
        <v>177.435</v>
      </c>
      <c r="E31" s="382">
        <v>112.199</v>
      </c>
      <c r="F31" s="383">
        <v>0</v>
      </c>
      <c r="G31" s="382">
        <v>17.332000000000001</v>
      </c>
      <c r="H31" s="383">
        <v>0</v>
      </c>
      <c r="I31" s="382">
        <v>0</v>
      </c>
      <c r="J31" s="383">
        <v>0</v>
      </c>
      <c r="K31" s="384">
        <v>1792.0040000000001</v>
      </c>
    </row>
    <row r="32" spans="1:11" ht="12" customHeight="1">
      <c r="A32" s="255" t="s">
        <v>101</v>
      </c>
      <c r="B32" s="383">
        <v>61.639000000000003</v>
      </c>
      <c r="C32" s="382">
        <v>29.809000000000001</v>
      </c>
      <c r="D32" s="383">
        <v>166.80600000000001</v>
      </c>
      <c r="E32" s="382">
        <v>1128.8579999999999</v>
      </c>
      <c r="F32" s="383">
        <v>0</v>
      </c>
      <c r="G32" s="382">
        <v>0</v>
      </c>
      <c r="H32" s="383">
        <v>0</v>
      </c>
      <c r="I32" s="382">
        <v>0</v>
      </c>
      <c r="J32" s="383">
        <v>0</v>
      </c>
      <c r="K32" s="384">
        <v>1388.1120000000001</v>
      </c>
    </row>
    <row r="33" spans="1:11" ht="12" customHeight="1">
      <c r="A33" s="441" t="s">
        <v>333</v>
      </c>
      <c r="B33" s="442">
        <v>508.41699999999997</v>
      </c>
      <c r="C33" s="443">
        <v>537.55100000000004</v>
      </c>
      <c r="D33" s="442">
        <v>265.678</v>
      </c>
      <c r="E33" s="443">
        <v>8.1359999999999992</v>
      </c>
      <c r="F33" s="442">
        <v>29.224</v>
      </c>
      <c r="G33" s="443">
        <v>1</v>
      </c>
      <c r="H33" s="442">
        <v>0</v>
      </c>
      <c r="I33" s="443">
        <v>0</v>
      </c>
      <c r="J33" s="442">
        <v>0</v>
      </c>
      <c r="K33" s="384">
        <v>1350.0060000000001</v>
      </c>
    </row>
    <row r="34" spans="1:11" ht="12" customHeight="1">
      <c r="A34" s="255" t="s">
        <v>329</v>
      </c>
      <c r="B34" s="383">
        <v>1728.7929999999999</v>
      </c>
      <c r="C34" s="382">
        <v>3883.2080000000001</v>
      </c>
      <c r="D34" s="383">
        <v>4403.8159999999998</v>
      </c>
      <c r="E34" s="382">
        <v>476.25400000000002</v>
      </c>
      <c r="F34" s="383">
        <v>69.781999999999996</v>
      </c>
      <c r="G34" s="382">
        <v>40.953000000000003</v>
      </c>
      <c r="H34" s="383">
        <v>0</v>
      </c>
      <c r="I34" s="382">
        <v>0</v>
      </c>
      <c r="J34" s="383">
        <v>0</v>
      </c>
      <c r="K34" s="384">
        <v>10602.805999999999</v>
      </c>
    </row>
    <row r="35" spans="1:11" ht="12" customHeight="1">
      <c r="A35" s="255" t="s">
        <v>334</v>
      </c>
      <c r="B35" s="383">
        <v>103.41800000000001</v>
      </c>
      <c r="C35" s="382">
        <v>29.899000000000001</v>
      </c>
      <c r="D35" s="383">
        <v>45.7</v>
      </c>
      <c r="E35" s="382">
        <v>0</v>
      </c>
      <c r="F35" s="383">
        <v>18.100000000000001</v>
      </c>
      <c r="G35" s="382">
        <v>5.5</v>
      </c>
      <c r="H35" s="383">
        <v>0</v>
      </c>
      <c r="I35" s="382">
        <v>0</v>
      </c>
      <c r="J35" s="383">
        <v>0.63300000000000001</v>
      </c>
      <c r="K35" s="384">
        <v>203.25</v>
      </c>
    </row>
    <row r="36" spans="1:11" ht="12" customHeight="1">
      <c r="A36" s="255" t="s">
        <v>335</v>
      </c>
      <c r="B36" s="383">
        <v>231.09800000000001</v>
      </c>
      <c r="C36" s="382">
        <v>400.08</v>
      </c>
      <c r="D36" s="383">
        <v>202.03399999999999</v>
      </c>
      <c r="E36" s="382">
        <v>106.2</v>
      </c>
      <c r="F36" s="383">
        <v>70.138999999999996</v>
      </c>
      <c r="G36" s="382">
        <v>0</v>
      </c>
      <c r="H36" s="383">
        <v>0</v>
      </c>
      <c r="I36" s="382">
        <v>0</v>
      </c>
      <c r="J36" s="383">
        <v>0.57599999999999996</v>
      </c>
      <c r="K36" s="384">
        <v>1010.1270000000001</v>
      </c>
    </row>
    <row r="37" spans="1:11" ht="12" customHeight="1">
      <c r="A37" s="253" t="s">
        <v>376</v>
      </c>
      <c r="B37" s="442">
        <v>18.202000000000002</v>
      </c>
      <c r="C37" s="443">
        <v>40.664000000000001</v>
      </c>
      <c r="D37" s="442">
        <v>58.701999999999998</v>
      </c>
      <c r="E37" s="443">
        <v>15</v>
      </c>
      <c r="F37" s="442">
        <v>0</v>
      </c>
      <c r="G37" s="443">
        <v>0</v>
      </c>
      <c r="H37" s="442">
        <v>0</v>
      </c>
      <c r="I37" s="443">
        <v>0</v>
      </c>
      <c r="J37" s="442">
        <v>0</v>
      </c>
      <c r="K37" s="384">
        <v>132.56799999999998</v>
      </c>
    </row>
    <row r="38" spans="1:11" ht="12" customHeight="1">
      <c r="A38" s="255" t="s">
        <v>336</v>
      </c>
      <c r="B38" s="383">
        <v>62.319000000000003</v>
      </c>
      <c r="C38" s="382">
        <v>485.23399999999998</v>
      </c>
      <c r="D38" s="383">
        <v>23.248999999999999</v>
      </c>
      <c r="E38" s="382">
        <v>1150.579</v>
      </c>
      <c r="F38" s="383">
        <v>884.22199999999998</v>
      </c>
      <c r="G38" s="382">
        <v>65.906999999999996</v>
      </c>
      <c r="H38" s="383">
        <v>0</v>
      </c>
      <c r="I38" s="382">
        <v>111.57299999999999</v>
      </c>
      <c r="J38" s="383">
        <v>9.0649999999999995</v>
      </c>
      <c r="K38" s="384">
        <v>2792.1480000000001</v>
      </c>
    </row>
    <row r="39" spans="1:11" ht="12" customHeight="1">
      <c r="A39" s="253" t="s">
        <v>103</v>
      </c>
      <c r="B39" s="383">
        <v>579.08100000000002</v>
      </c>
      <c r="C39" s="382">
        <v>993.43799999999999</v>
      </c>
      <c r="D39" s="383">
        <v>565.75</v>
      </c>
      <c r="E39" s="382">
        <v>0</v>
      </c>
      <c r="F39" s="383">
        <v>24.254999999999999</v>
      </c>
      <c r="G39" s="382">
        <v>0</v>
      </c>
      <c r="H39" s="383">
        <v>-326</v>
      </c>
      <c r="I39" s="382">
        <v>2814</v>
      </c>
      <c r="J39" s="383">
        <v>64.063000000000002</v>
      </c>
      <c r="K39" s="384">
        <v>4714.5870000000004</v>
      </c>
    </row>
    <row r="40" spans="1:11" ht="12" customHeight="1">
      <c r="A40" s="385" t="s">
        <v>367</v>
      </c>
      <c r="B40" s="387">
        <v>0</v>
      </c>
      <c r="C40" s="386">
        <v>0</v>
      </c>
      <c r="D40" s="387">
        <v>0</v>
      </c>
      <c r="E40" s="386">
        <v>0</v>
      </c>
      <c r="F40" s="387">
        <v>0</v>
      </c>
      <c r="G40" s="386">
        <v>0</v>
      </c>
      <c r="H40" s="387">
        <v>0</v>
      </c>
      <c r="I40" s="386">
        <v>0</v>
      </c>
      <c r="J40" s="387">
        <v>4000</v>
      </c>
      <c r="K40" s="384">
        <v>4000</v>
      </c>
    </row>
    <row r="41" spans="1:11" ht="15" customHeight="1" thickBot="1">
      <c r="A41" s="388" t="s">
        <v>436</v>
      </c>
      <c r="B41" s="398">
        <v>26498.400000000005</v>
      </c>
      <c r="C41" s="399">
        <v>18125.647000000001</v>
      </c>
      <c r="D41" s="398">
        <v>19383.433000000001</v>
      </c>
      <c r="E41" s="399">
        <v>3452.3769999999995</v>
      </c>
      <c r="F41" s="398">
        <v>3047.9070000000002</v>
      </c>
      <c r="G41" s="399">
        <v>1945.3519999999999</v>
      </c>
      <c r="H41" s="398">
        <v>-374.98899999999998</v>
      </c>
      <c r="I41" s="399">
        <v>2968.078</v>
      </c>
      <c r="J41" s="398">
        <v>4302.7020000000002</v>
      </c>
      <c r="K41" s="399">
        <v>79349.006999999998</v>
      </c>
    </row>
    <row r="42" spans="1:11">
      <c r="B42" s="391"/>
      <c r="C42" s="391"/>
      <c r="D42" s="391"/>
      <c r="E42" s="391"/>
      <c r="F42" s="391"/>
      <c r="G42" s="391"/>
      <c r="H42" s="391"/>
      <c r="I42" s="391"/>
      <c r="J42" s="391"/>
      <c r="K42" s="392"/>
    </row>
  </sheetData>
  <mergeCells count="10">
    <mergeCell ref="H3:H12"/>
    <mergeCell ref="I3:I12"/>
    <mergeCell ref="J3:J12"/>
    <mergeCell ref="K3:K12"/>
    <mergeCell ref="B3:B12"/>
    <mergeCell ref="C3:C12"/>
    <mergeCell ref="D3:D12"/>
    <mergeCell ref="E3:E12"/>
    <mergeCell ref="F3:F12"/>
    <mergeCell ref="G3:G12"/>
  </mergeCells>
  <pageMargins left="0.7" right="0.7" top="0.75" bottom="0.75" header="0.3" footer="0.3"/>
  <pageSetup orientation="landscape" r:id="rId1"/>
  <headerFooter alignWithMargins="0">
    <oddFooter>&amp;L_x000D_&amp;1#&amp;"Calibri"&amp;11&amp;K000000 Classification: Public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>
    <tabColor rgb="FFFFC000"/>
  </sheetPr>
  <dimension ref="A1:O45"/>
  <sheetViews>
    <sheetView topLeftCell="A2" zoomScaleNormal="100" zoomScaleSheetLayoutView="91" workbookViewId="0">
      <selection activeCell="V30" sqref="V30"/>
    </sheetView>
  </sheetViews>
  <sheetFormatPr defaultColWidth="10.42578125" defaultRowHeight="11.25"/>
  <cols>
    <col min="1" max="1" width="37.42578125" style="253" customWidth="1"/>
    <col min="2" max="14" width="7" style="371" customWidth="1"/>
    <col min="15" max="15" width="3.42578125" style="255" customWidth="1"/>
    <col min="16" max="231" width="10.42578125" style="255"/>
    <col min="232" max="232" width="39.5703125" style="255" customWidth="1"/>
    <col min="233" max="233" width="7.42578125" style="255" customWidth="1"/>
    <col min="234" max="244" width="6.42578125" style="255" customWidth="1"/>
    <col min="245" max="245" width="6.5703125" style="255" customWidth="1"/>
    <col min="246" max="487" width="10.42578125" style="255"/>
    <col min="488" max="488" width="39.5703125" style="255" customWidth="1"/>
    <col min="489" max="489" width="7.42578125" style="255" customWidth="1"/>
    <col min="490" max="500" width="6.42578125" style="255" customWidth="1"/>
    <col min="501" max="501" width="6.5703125" style="255" customWidth="1"/>
    <col min="502" max="743" width="10.42578125" style="255"/>
    <col min="744" max="744" width="39.5703125" style="255" customWidth="1"/>
    <col min="745" max="745" width="7.42578125" style="255" customWidth="1"/>
    <col min="746" max="756" width="6.42578125" style="255" customWidth="1"/>
    <col min="757" max="757" width="6.5703125" style="255" customWidth="1"/>
    <col min="758" max="999" width="10.42578125" style="255"/>
    <col min="1000" max="1000" width="39.5703125" style="255" customWidth="1"/>
    <col min="1001" max="1001" width="7.42578125" style="255" customWidth="1"/>
    <col min="1002" max="1012" width="6.42578125" style="255" customWidth="1"/>
    <col min="1013" max="1013" width="6.5703125" style="255" customWidth="1"/>
    <col min="1014" max="1255" width="10.42578125" style="255"/>
    <col min="1256" max="1256" width="39.5703125" style="255" customWidth="1"/>
    <col min="1257" max="1257" width="7.42578125" style="255" customWidth="1"/>
    <col min="1258" max="1268" width="6.42578125" style="255" customWidth="1"/>
    <col min="1269" max="1269" width="6.5703125" style="255" customWidth="1"/>
    <col min="1270" max="1511" width="10.42578125" style="255"/>
    <col min="1512" max="1512" width="39.5703125" style="255" customWidth="1"/>
    <col min="1513" max="1513" width="7.42578125" style="255" customWidth="1"/>
    <col min="1514" max="1524" width="6.42578125" style="255" customWidth="1"/>
    <col min="1525" max="1525" width="6.5703125" style="255" customWidth="1"/>
    <col min="1526" max="1767" width="10.42578125" style="255"/>
    <col min="1768" max="1768" width="39.5703125" style="255" customWidth="1"/>
    <col min="1769" max="1769" width="7.42578125" style="255" customWidth="1"/>
    <col min="1770" max="1780" width="6.42578125" style="255" customWidth="1"/>
    <col min="1781" max="1781" width="6.5703125" style="255" customWidth="1"/>
    <col min="1782" max="2023" width="10.42578125" style="255"/>
    <col min="2024" max="2024" width="39.5703125" style="255" customWidth="1"/>
    <col min="2025" max="2025" width="7.42578125" style="255" customWidth="1"/>
    <col min="2026" max="2036" width="6.42578125" style="255" customWidth="1"/>
    <col min="2037" max="2037" width="6.5703125" style="255" customWidth="1"/>
    <col min="2038" max="2279" width="10.42578125" style="255"/>
    <col min="2280" max="2280" width="39.5703125" style="255" customWidth="1"/>
    <col min="2281" max="2281" width="7.42578125" style="255" customWidth="1"/>
    <col min="2282" max="2292" width="6.42578125" style="255" customWidth="1"/>
    <col min="2293" max="2293" width="6.5703125" style="255" customWidth="1"/>
    <col min="2294" max="2535" width="10.42578125" style="255"/>
    <col min="2536" max="2536" width="39.5703125" style="255" customWidth="1"/>
    <col min="2537" max="2537" width="7.42578125" style="255" customWidth="1"/>
    <col min="2538" max="2548" width="6.42578125" style="255" customWidth="1"/>
    <col min="2549" max="2549" width="6.5703125" style="255" customWidth="1"/>
    <col min="2550" max="2791" width="10.42578125" style="255"/>
    <col min="2792" max="2792" width="39.5703125" style="255" customWidth="1"/>
    <col min="2793" max="2793" width="7.42578125" style="255" customWidth="1"/>
    <col min="2794" max="2804" width="6.42578125" style="255" customWidth="1"/>
    <col min="2805" max="2805" width="6.5703125" style="255" customWidth="1"/>
    <col min="2806" max="3047" width="10.42578125" style="255"/>
    <col min="3048" max="3048" width="39.5703125" style="255" customWidth="1"/>
    <col min="3049" max="3049" width="7.42578125" style="255" customWidth="1"/>
    <col min="3050" max="3060" width="6.42578125" style="255" customWidth="1"/>
    <col min="3061" max="3061" width="6.5703125" style="255" customWidth="1"/>
    <col min="3062" max="3303" width="10.42578125" style="255"/>
    <col min="3304" max="3304" width="39.5703125" style="255" customWidth="1"/>
    <col min="3305" max="3305" width="7.42578125" style="255" customWidth="1"/>
    <col min="3306" max="3316" width="6.42578125" style="255" customWidth="1"/>
    <col min="3317" max="3317" width="6.5703125" style="255" customWidth="1"/>
    <col min="3318" max="3559" width="10.42578125" style="255"/>
    <col min="3560" max="3560" width="39.5703125" style="255" customWidth="1"/>
    <col min="3561" max="3561" width="7.42578125" style="255" customWidth="1"/>
    <col min="3562" max="3572" width="6.42578125" style="255" customWidth="1"/>
    <col min="3573" max="3573" width="6.5703125" style="255" customWidth="1"/>
    <col min="3574" max="3815" width="10.42578125" style="255"/>
    <col min="3816" max="3816" width="39.5703125" style="255" customWidth="1"/>
    <col min="3817" max="3817" width="7.42578125" style="255" customWidth="1"/>
    <col min="3818" max="3828" width="6.42578125" style="255" customWidth="1"/>
    <col min="3829" max="3829" width="6.5703125" style="255" customWidth="1"/>
    <col min="3830" max="4071" width="10.42578125" style="255"/>
    <col min="4072" max="4072" width="39.5703125" style="255" customWidth="1"/>
    <col min="4073" max="4073" width="7.42578125" style="255" customWidth="1"/>
    <col min="4074" max="4084" width="6.42578125" style="255" customWidth="1"/>
    <col min="4085" max="4085" width="6.5703125" style="255" customWidth="1"/>
    <col min="4086" max="4327" width="10.42578125" style="255"/>
    <col min="4328" max="4328" width="39.5703125" style="255" customWidth="1"/>
    <col min="4329" max="4329" width="7.42578125" style="255" customWidth="1"/>
    <col min="4330" max="4340" width="6.42578125" style="255" customWidth="1"/>
    <col min="4341" max="4341" width="6.5703125" style="255" customWidth="1"/>
    <col min="4342" max="4583" width="10.42578125" style="255"/>
    <col min="4584" max="4584" width="39.5703125" style="255" customWidth="1"/>
    <col min="4585" max="4585" width="7.42578125" style="255" customWidth="1"/>
    <col min="4586" max="4596" width="6.42578125" style="255" customWidth="1"/>
    <col min="4597" max="4597" width="6.5703125" style="255" customWidth="1"/>
    <col min="4598" max="4839" width="10.42578125" style="255"/>
    <col min="4840" max="4840" width="39.5703125" style="255" customWidth="1"/>
    <col min="4841" max="4841" width="7.42578125" style="255" customWidth="1"/>
    <col min="4842" max="4852" width="6.42578125" style="255" customWidth="1"/>
    <col min="4853" max="4853" width="6.5703125" style="255" customWidth="1"/>
    <col min="4854" max="5095" width="10.42578125" style="255"/>
    <col min="5096" max="5096" width="39.5703125" style="255" customWidth="1"/>
    <col min="5097" max="5097" width="7.42578125" style="255" customWidth="1"/>
    <col min="5098" max="5108" width="6.42578125" style="255" customWidth="1"/>
    <col min="5109" max="5109" width="6.5703125" style="255" customWidth="1"/>
    <col min="5110" max="5351" width="10.42578125" style="255"/>
    <col min="5352" max="5352" width="39.5703125" style="255" customWidth="1"/>
    <col min="5353" max="5353" width="7.42578125" style="255" customWidth="1"/>
    <col min="5354" max="5364" width="6.42578125" style="255" customWidth="1"/>
    <col min="5365" max="5365" width="6.5703125" style="255" customWidth="1"/>
    <col min="5366" max="5607" width="10.42578125" style="255"/>
    <col min="5608" max="5608" width="39.5703125" style="255" customWidth="1"/>
    <col min="5609" max="5609" width="7.42578125" style="255" customWidth="1"/>
    <col min="5610" max="5620" width="6.42578125" style="255" customWidth="1"/>
    <col min="5621" max="5621" width="6.5703125" style="255" customWidth="1"/>
    <col min="5622" max="5863" width="10.42578125" style="255"/>
    <col min="5864" max="5864" width="39.5703125" style="255" customWidth="1"/>
    <col min="5865" max="5865" width="7.42578125" style="255" customWidth="1"/>
    <col min="5866" max="5876" width="6.42578125" style="255" customWidth="1"/>
    <col min="5877" max="5877" width="6.5703125" style="255" customWidth="1"/>
    <col min="5878" max="6119" width="10.42578125" style="255"/>
    <col min="6120" max="6120" width="39.5703125" style="255" customWidth="1"/>
    <col min="6121" max="6121" width="7.42578125" style="255" customWidth="1"/>
    <col min="6122" max="6132" width="6.42578125" style="255" customWidth="1"/>
    <col min="6133" max="6133" width="6.5703125" style="255" customWidth="1"/>
    <col min="6134" max="6375" width="10.42578125" style="255"/>
    <col min="6376" max="6376" width="39.5703125" style="255" customWidth="1"/>
    <col min="6377" max="6377" width="7.42578125" style="255" customWidth="1"/>
    <col min="6378" max="6388" width="6.42578125" style="255" customWidth="1"/>
    <col min="6389" max="6389" width="6.5703125" style="255" customWidth="1"/>
    <col min="6390" max="6631" width="10.42578125" style="255"/>
    <col min="6632" max="6632" width="39.5703125" style="255" customWidth="1"/>
    <col min="6633" max="6633" width="7.42578125" style="255" customWidth="1"/>
    <col min="6634" max="6644" width="6.42578125" style="255" customWidth="1"/>
    <col min="6645" max="6645" width="6.5703125" style="255" customWidth="1"/>
    <col min="6646" max="6887" width="10.42578125" style="255"/>
    <col min="6888" max="6888" width="39.5703125" style="255" customWidth="1"/>
    <col min="6889" max="6889" width="7.42578125" style="255" customWidth="1"/>
    <col min="6890" max="6900" width="6.42578125" style="255" customWidth="1"/>
    <col min="6901" max="6901" width="6.5703125" style="255" customWidth="1"/>
    <col min="6902" max="7143" width="10.42578125" style="255"/>
    <col min="7144" max="7144" width="39.5703125" style="255" customWidth="1"/>
    <col min="7145" max="7145" width="7.42578125" style="255" customWidth="1"/>
    <col min="7146" max="7156" width="6.42578125" style="255" customWidth="1"/>
    <col min="7157" max="7157" width="6.5703125" style="255" customWidth="1"/>
    <col min="7158" max="7399" width="10.42578125" style="255"/>
    <col min="7400" max="7400" width="39.5703125" style="255" customWidth="1"/>
    <col min="7401" max="7401" width="7.42578125" style="255" customWidth="1"/>
    <col min="7402" max="7412" width="6.42578125" style="255" customWidth="1"/>
    <col min="7413" max="7413" width="6.5703125" style="255" customWidth="1"/>
    <col min="7414" max="7655" width="10.42578125" style="255"/>
    <col min="7656" max="7656" width="39.5703125" style="255" customWidth="1"/>
    <col min="7657" max="7657" width="7.42578125" style="255" customWidth="1"/>
    <col min="7658" max="7668" width="6.42578125" style="255" customWidth="1"/>
    <col min="7669" max="7669" width="6.5703125" style="255" customWidth="1"/>
    <col min="7670" max="7911" width="10.42578125" style="255"/>
    <col min="7912" max="7912" width="39.5703125" style="255" customWidth="1"/>
    <col min="7913" max="7913" width="7.42578125" style="255" customWidth="1"/>
    <col min="7914" max="7924" width="6.42578125" style="255" customWidth="1"/>
    <col min="7925" max="7925" width="6.5703125" style="255" customWidth="1"/>
    <col min="7926" max="8167" width="10.42578125" style="255"/>
    <col min="8168" max="8168" width="39.5703125" style="255" customWidth="1"/>
    <col min="8169" max="8169" width="7.42578125" style="255" customWidth="1"/>
    <col min="8170" max="8180" width="6.42578125" style="255" customWidth="1"/>
    <col min="8181" max="8181" width="6.5703125" style="255" customWidth="1"/>
    <col min="8182" max="8423" width="10.42578125" style="255"/>
    <col min="8424" max="8424" width="39.5703125" style="255" customWidth="1"/>
    <col min="8425" max="8425" width="7.42578125" style="255" customWidth="1"/>
    <col min="8426" max="8436" width="6.42578125" style="255" customWidth="1"/>
    <col min="8437" max="8437" width="6.5703125" style="255" customWidth="1"/>
    <col min="8438" max="8679" width="10.42578125" style="255"/>
    <col min="8680" max="8680" width="39.5703125" style="255" customWidth="1"/>
    <col min="8681" max="8681" width="7.42578125" style="255" customWidth="1"/>
    <col min="8682" max="8692" width="6.42578125" style="255" customWidth="1"/>
    <col min="8693" max="8693" width="6.5703125" style="255" customWidth="1"/>
    <col min="8694" max="8935" width="10.42578125" style="255"/>
    <col min="8936" max="8936" width="39.5703125" style="255" customWidth="1"/>
    <col min="8937" max="8937" width="7.42578125" style="255" customWidth="1"/>
    <col min="8938" max="8948" width="6.42578125" style="255" customWidth="1"/>
    <col min="8949" max="8949" width="6.5703125" style="255" customWidth="1"/>
    <col min="8950" max="9191" width="10.42578125" style="255"/>
    <col min="9192" max="9192" width="39.5703125" style="255" customWidth="1"/>
    <col min="9193" max="9193" width="7.42578125" style="255" customWidth="1"/>
    <col min="9194" max="9204" width="6.42578125" style="255" customWidth="1"/>
    <col min="9205" max="9205" width="6.5703125" style="255" customWidth="1"/>
    <col min="9206" max="9447" width="10.42578125" style="255"/>
    <col min="9448" max="9448" width="39.5703125" style="255" customWidth="1"/>
    <col min="9449" max="9449" width="7.42578125" style="255" customWidth="1"/>
    <col min="9450" max="9460" width="6.42578125" style="255" customWidth="1"/>
    <col min="9461" max="9461" width="6.5703125" style="255" customWidth="1"/>
    <col min="9462" max="9703" width="10.42578125" style="255"/>
    <col min="9704" max="9704" width="39.5703125" style="255" customWidth="1"/>
    <col min="9705" max="9705" width="7.42578125" style="255" customWidth="1"/>
    <col min="9706" max="9716" width="6.42578125" style="255" customWidth="1"/>
    <col min="9717" max="9717" width="6.5703125" style="255" customWidth="1"/>
    <col min="9718" max="9959" width="10.42578125" style="255"/>
    <col min="9960" max="9960" width="39.5703125" style="255" customWidth="1"/>
    <col min="9961" max="9961" width="7.42578125" style="255" customWidth="1"/>
    <col min="9962" max="9972" width="6.42578125" style="255" customWidth="1"/>
    <col min="9973" max="9973" width="6.5703125" style="255" customWidth="1"/>
    <col min="9974" max="10215" width="10.42578125" style="255"/>
    <col min="10216" max="10216" width="39.5703125" style="255" customWidth="1"/>
    <col min="10217" max="10217" width="7.42578125" style="255" customWidth="1"/>
    <col min="10218" max="10228" width="6.42578125" style="255" customWidth="1"/>
    <col min="10229" max="10229" width="6.5703125" style="255" customWidth="1"/>
    <col min="10230" max="10471" width="10.42578125" style="255"/>
    <col min="10472" max="10472" width="39.5703125" style="255" customWidth="1"/>
    <col min="10473" max="10473" width="7.42578125" style="255" customWidth="1"/>
    <col min="10474" max="10484" width="6.42578125" style="255" customWidth="1"/>
    <col min="10485" max="10485" width="6.5703125" style="255" customWidth="1"/>
    <col min="10486" max="10727" width="10.42578125" style="255"/>
    <col min="10728" max="10728" width="39.5703125" style="255" customWidth="1"/>
    <col min="10729" max="10729" width="7.42578125" style="255" customWidth="1"/>
    <col min="10730" max="10740" width="6.42578125" style="255" customWidth="1"/>
    <col min="10741" max="10741" width="6.5703125" style="255" customWidth="1"/>
    <col min="10742" max="10983" width="10.42578125" style="255"/>
    <col min="10984" max="10984" width="39.5703125" style="255" customWidth="1"/>
    <col min="10985" max="10985" width="7.42578125" style="255" customWidth="1"/>
    <col min="10986" max="10996" width="6.42578125" style="255" customWidth="1"/>
    <col min="10997" max="10997" width="6.5703125" style="255" customWidth="1"/>
    <col min="10998" max="11239" width="10.42578125" style="255"/>
    <col min="11240" max="11240" width="39.5703125" style="255" customWidth="1"/>
    <col min="11241" max="11241" width="7.42578125" style="255" customWidth="1"/>
    <col min="11242" max="11252" width="6.42578125" style="255" customWidth="1"/>
    <col min="11253" max="11253" width="6.5703125" style="255" customWidth="1"/>
    <col min="11254" max="11495" width="10.42578125" style="255"/>
    <col min="11496" max="11496" width="39.5703125" style="255" customWidth="1"/>
    <col min="11497" max="11497" width="7.42578125" style="255" customWidth="1"/>
    <col min="11498" max="11508" width="6.42578125" style="255" customWidth="1"/>
    <col min="11509" max="11509" width="6.5703125" style="255" customWidth="1"/>
    <col min="11510" max="11751" width="10.42578125" style="255"/>
    <col min="11752" max="11752" width="39.5703125" style="255" customWidth="1"/>
    <col min="11753" max="11753" width="7.42578125" style="255" customWidth="1"/>
    <col min="11754" max="11764" width="6.42578125" style="255" customWidth="1"/>
    <col min="11765" max="11765" width="6.5703125" style="255" customWidth="1"/>
    <col min="11766" max="12007" width="10.42578125" style="255"/>
    <col min="12008" max="12008" width="39.5703125" style="255" customWidth="1"/>
    <col min="12009" max="12009" width="7.42578125" style="255" customWidth="1"/>
    <col min="12010" max="12020" width="6.42578125" style="255" customWidth="1"/>
    <col min="12021" max="12021" width="6.5703125" style="255" customWidth="1"/>
    <col min="12022" max="12263" width="10.42578125" style="255"/>
    <col min="12264" max="12264" width="39.5703125" style="255" customWidth="1"/>
    <col min="12265" max="12265" width="7.42578125" style="255" customWidth="1"/>
    <col min="12266" max="12276" width="6.42578125" style="255" customWidth="1"/>
    <col min="12277" max="12277" width="6.5703125" style="255" customWidth="1"/>
    <col min="12278" max="12519" width="10.42578125" style="255"/>
    <col min="12520" max="12520" width="39.5703125" style="255" customWidth="1"/>
    <col min="12521" max="12521" width="7.42578125" style="255" customWidth="1"/>
    <col min="12522" max="12532" width="6.42578125" style="255" customWidth="1"/>
    <col min="12533" max="12533" width="6.5703125" style="255" customWidth="1"/>
    <col min="12534" max="12775" width="10.42578125" style="255"/>
    <col min="12776" max="12776" width="39.5703125" style="255" customWidth="1"/>
    <col min="12777" max="12777" width="7.42578125" style="255" customWidth="1"/>
    <col min="12778" max="12788" width="6.42578125" style="255" customWidth="1"/>
    <col min="12789" max="12789" width="6.5703125" style="255" customWidth="1"/>
    <col min="12790" max="13031" width="10.42578125" style="255"/>
    <col min="13032" max="13032" width="39.5703125" style="255" customWidth="1"/>
    <col min="13033" max="13033" width="7.42578125" style="255" customWidth="1"/>
    <col min="13034" max="13044" width="6.42578125" style="255" customWidth="1"/>
    <col min="13045" max="13045" width="6.5703125" style="255" customWidth="1"/>
    <col min="13046" max="13287" width="10.42578125" style="255"/>
    <col min="13288" max="13288" width="39.5703125" style="255" customWidth="1"/>
    <col min="13289" max="13289" width="7.42578125" style="255" customWidth="1"/>
    <col min="13290" max="13300" width="6.42578125" style="255" customWidth="1"/>
    <col min="13301" max="13301" width="6.5703125" style="255" customWidth="1"/>
    <col min="13302" max="13543" width="10.42578125" style="255"/>
    <col min="13544" max="13544" width="39.5703125" style="255" customWidth="1"/>
    <col min="13545" max="13545" width="7.42578125" style="255" customWidth="1"/>
    <col min="13546" max="13556" width="6.42578125" style="255" customWidth="1"/>
    <col min="13557" max="13557" width="6.5703125" style="255" customWidth="1"/>
    <col min="13558" max="13799" width="10.42578125" style="255"/>
    <col min="13800" max="13800" width="39.5703125" style="255" customWidth="1"/>
    <col min="13801" max="13801" width="7.42578125" style="255" customWidth="1"/>
    <col min="13802" max="13812" width="6.42578125" style="255" customWidth="1"/>
    <col min="13813" max="13813" width="6.5703125" style="255" customWidth="1"/>
    <col min="13814" max="14055" width="10.42578125" style="255"/>
    <col min="14056" max="14056" width="39.5703125" style="255" customWidth="1"/>
    <col min="14057" max="14057" width="7.42578125" style="255" customWidth="1"/>
    <col min="14058" max="14068" width="6.42578125" style="255" customWidth="1"/>
    <col min="14069" max="14069" width="6.5703125" style="255" customWidth="1"/>
    <col min="14070" max="14311" width="10.42578125" style="255"/>
    <col min="14312" max="14312" width="39.5703125" style="255" customWidth="1"/>
    <col min="14313" max="14313" width="7.42578125" style="255" customWidth="1"/>
    <col min="14314" max="14324" width="6.42578125" style="255" customWidth="1"/>
    <col min="14325" max="14325" width="6.5703125" style="255" customWidth="1"/>
    <col min="14326" max="14567" width="10.42578125" style="255"/>
    <col min="14568" max="14568" width="39.5703125" style="255" customWidth="1"/>
    <col min="14569" max="14569" width="7.42578125" style="255" customWidth="1"/>
    <col min="14570" max="14580" width="6.42578125" style="255" customWidth="1"/>
    <col min="14581" max="14581" width="6.5703125" style="255" customWidth="1"/>
    <col min="14582" max="14823" width="10.42578125" style="255"/>
    <col min="14824" max="14824" width="39.5703125" style="255" customWidth="1"/>
    <col min="14825" max="14825" width="7.42578125" style="255" customWidth="1"/>
    <col min="14826" max="14836" width="6.42578125" style="255" customWidth="1"/>
    <col min="14837" max="14837" width="6.5703125" style="255" customWidth="1"/>
    <col min="14838" max="15079" width="10.42578125" style="255"/>
    <col min="15080" max="15080" width="39.5703125" style="255" customWidth="1"/>
    <col min="15081" max="15081" width="7.42578125" style="255" customWidth="1"/>
    <col min="15082" max="15092" width="6.42578125" style="255" customWidth="1"/>
    <col min="15093" max="15093" width="6.5703125" style="255" customWidth="1"/>
    <col min="15094" max="15335" width="10.42578125" style="255"/>
    <col min="15336" max="15336" width="39.5703125" style="255" customWidth="1"/>
    <col min="15337" max="15337" width="7.42578125" style="255" customWidth="1"/>
    <col min="15338" max="15348" width="6.42578125" style="255" customWidth="1"/>
    <col min="15349" max="15349" width="6.5703125" style="255" customWidth="1"/>
    <col min="15350" max="15591" width="10.42578125" style="255"/>
    <col min="15592" max="15592" width="39.5703125" style="255" customWidth="1"/>
    <col min="15593" max="15593" width="7.42578125" style="255" customWidth="1"/>
    <col min="15594" max="15604" width="6.42578125" style="255" customWidth="1"/>
    <col min="15605" max="15605" width="6.5703125" style="255" customWidth="1"/>
    <col min="15606" max="15847" width="10.42578125" style="255"/>
    <col min="15848" max="15848" width="39.5703125" style="255" customWidth="1"/>
    <col min="15849" max="15849" width="7.42578125" style="255" customWidth="1"/>
    <col min="15850" max="15860" width="6.42578125" style="255" customWidth="1"/>
    <col min="15861" max="15861" width="6.5703125" style="255" customWidth="1"/>
    <col min="15862" max="16103" width="10.42578125" style="255"/>
    <col min="16104" max="16104" width="39.5703125" style="255" customWidth="1"/>
    <col min="16105" max="16105" width="7.42578125" style="255" customWidth="1"/>
    <col min="16106" max="16116" width="6.42578125" style="255" customWidth="1"/>
    <col min="16117" max="16117" width="6.5703125" style="255" customWidth="1"/>
    <col min="16118" max="16384" width="10.42578125" style="255"/>
  </cols>
  <sheetData>
    <row r="1" spans="1:14" ht="15.75">
      <c r="A1" s="370" t="s">
        <v>263</v>
      </c>
    </row>
    <row r="3" spans="1:14" s="374" customFormat="1" ht="12.75" customHeight="1">
      <c r="A3" s="372"/>
      <c r="B3" s="660" t="s">
        <v>98</v>
      </c>
      <c r="C3" s="661" t="s">
        <v>96</v>
      </c>
      <c r="D3" s="652" t="s">
        <v>264</v>
      </c>
      <c r="E3" s="663" t="s">
        <v>265</v>
      </c>
      <c r="F3" s="652" t="s">
        <v>266</v>
      </c>
      <c r="G3" s="651" t="s">
        <v>267</v>
      </c>
      <c r="H3" s="652" t="s">
        <v>268</v>
      </c>
      <c r="I3" s="651" t="s">
        <v>269</v>
      </c>
      <c r="J3" s="652" t="s">
        <v>270</v>
      </c>
      <c r="K3" s="651" t="s">
        <v>271</v>
      </c>
      <c r="L3" s="664" t="s">
        <v>272</v>
      </c>
      <c r="M3" s="373"/>
      <c r="N3" s="653" t="s">
        <v>436</v>
      </c>
    </row>
    <row r="4" spans="1:14" s="374" customFormat="1">
      <c r="A4" s="375"/>
      <c r="B4" s="656"/>
      <c r="C4" s="655"/>
      <c r="D4" s="662"/>
      <c r="E4" s="663"/>
      <c r="F4" s="652"/>
      <c r="G4" s="655"/>
      <c r="H4" s="652"/>
      <c r="I4" s="651"/>
      <c r="J4" s="652"/>
      <c r="K4" s="651"/>
      <c r="L4" s="664"/>
      <c r="M4" s="373"/>
      <c r="N4" s="653"/>
    </row>
    <row r="5" spans="1:14" s="374" customFormat="1" ht="12">
      <c r="A5" s="372"/>
      <c r="B5" s="656"/>
      <c r="C5" s="655"/>
      <c r="D5" s="662"/>
      <c r="E5" s="663"/>
      <c r="F5" s="652"/>
      <c r="G5" s="655"/>
      <c r="H5" s="652"/>
      <c r="I5" s="651"/>
      <c r="J5" s="652"/>
      <c r="K5" s="651"/>
      <c r="L5" s="664"/>
      <c r="M5" s="373"/>
      <c r="N5" s="653"/>
    </row>
    <row r="6" spans="1:14" s="374" customFormat="1" ht="12" customHeight="1">
      <c r="A6" s="372"/>
      <c r="B6" s="656"/>
      <c r="C6" s="655"/>
      <c r="D6" s="662"/>
      <c r="E6" s="663"/>
      <c r="F6" s="652"/>
      <c r="G6" s="655"/>
      <c r="H6" s="652"/>
      <c r="I6" s="651"/>
      <c r="J6" s="652"/>
      <c r="K6" s="651"/>
      <c r="L6" s="664"/>
      <c r="M6" s="658" t="s">
        <v>273</v>
      </c>
      <c r="N6" s="653"/>
    </row>
    <row r="7" spans="1:14" s="374" customFormat="1" ht="12">
      <c r="A7" s="372"/>
      <c r="B7" s="656"/>
      <c r="C7" s="655"/>
      <c r="D7" s="662"/>
      <c r="E7" s="663"/>
      <c r="F7" s="652"/>
      <c r="G7" s="655"/>
      <c r="H7" s="652"/>
      <c r="I7" s="651"/>
      <c r="J7" s="652"/>
      <c r="K7" s="651"/>
      <c r="L7" s="664"/>
      <c r="M7" s="659"/>
      <c r="N7" s="653"/>
    </row>
    <row r="8" spans="1:14" s="376" customFormat="1" ht="11.25" customHeight="1">
      <c r="B8" s="656"/>
      <c r="C8" s="655"/>
      <c r="D8" s="662"/>
      <c r="E8" s="663"/>
      <c r="F8" s="652"/>
      <c r="G8" s="655"/>
      <c r="H8" s="652"/>
      <c r="I8" s="651"/>
      <c r="J8" s="652"/>
      <c r="K8" s="651"/>
      <c r="L8" s="664"/>
      <c r="M8" s="659"/>
      <c r="N8" s="653"/>
    </row>
    <row r="9" spans="1:14" s="376" customFormat="1">
      <c r="A9" s="253"/>
      <c r="B9" s="656"/>
      <c r="C9" s="655"/>
      <c r="D9" s="662"/>
      <c r="E9" s="663"/>
      <c r="F9" s="652"/>
      <c r="G9" s="655"/>
      <c r="H9" s="652"/>
      <c r="I9" s="651"/>
      <c r="J9" s="652"/>
      <c r="K9" s="651"/>
      <c r="L9" s="664"/>
      <c r="M9" s="659"/>
      <c r="N9" s="653"/>
    </row>
    <row r="10" spans="1:14" s="376" customFormat="1" ht="12">
      <c r="B10" s="656"/>
      <c r="C10" s="655"/>
      <c r="D10" s="662"/>
      <c r="E10" s="663"/>
      <c r="F10" s="652"/>
      <c r="G10" s="655"/>
      <c r="H10" s="652"/>
      <c r="I10" s="651"/>
      <c r="J10" s="652"/>
      <c r="K10" s="651"/>
      <c r="L10" s="664"/>
      <c r="M10" s="659"/>
      <c r="N10" s="653"/>
    </row>
    <row r="11" spans="1:14" s="376" customFormat="1" ht="12">
      <c r="B11" s="656"/>
      <c r="C11" s="655"/>
      <c r="D11" s="662"/>
      <c r="E11" s="663"/>
      <c r="F11" s="652"/>
      <c r="G11" s="655"/>
      <c r="H11" s="652"/>
      <c r="I11" s="651"/>
      <c r="J11" s="652"/>
      <c r="K11" s="651"/>
      <c r="L11" s="664"/>
      <c r="M11" s="659"/>
      <c r="N11" s="653"/>
    </row>
    <row r="12" spans="1:14" s="376" customFormat="1" ht="12" customHeight="1">
      <c r="B12" s="656"/>
      <c r="C12" s="655"/>
      <c r="D12" s="662"/>
      <c r="E12" s="663"/>
      <c r="F12" s="652"/>
      <c r="G12" s="655"/>
      <c r="H12" s="652"/>
      <c r="I12" s="651"/>
      <c r="J12" s="652"/>
      <c r="K12" s="651"/>
      <c r="L12" s="664"/>
      <c r="M12" s="659"/>
      <c r="N12" s="653"/>
    </row>
    <row r="13" spans="1:14" s="376" customFormat="1" ht="5.25" customHeight="1">
      <c r="A13" s="377"/>
      <c r="B13" s="378"/>
      <c r="C13" s="379"/>
      <c r="D13" s="380"/>
      <c r="E13" s="381"/>
      <c r="F13" s="380"/>
      <c r="G13" s="381"/>
      <c r="H13" s="380"/>
      <c r="I13" s="381"/>
      <c r="J13" s="380"/>
      <c r="K13" s="381"/>
      <c r="L13" s="380"/>
      <c r="M13" s="381"/>
      <c r="N13" s="380"/>
    </row>
    <row r="14" spans="1:14" ht="11.25" customHeight="1">
      <c r="A14" s="253" t="s">
        <v>169</v>
      </c>
      <c r="B14" s="382">
        <v>0</v>
      </c>
      <c r="C14" s="383">
        <v>0</v>
      </c>
      <c r="D14" s="382">
        <v>17.033999999999999</v>
      </c>
      <c r="E14" s="383">
        <v>0</v>
      </c>
      <c r="F14" s="382">
        <v>0</v>
      </c>
      <c r="G14" s="383">
        <v>0</v>
      </c>
      <c r="H14" s="382">
        <v>0</v>
      </c>
      <c r="I14" s="383">
        <v>0</v>
      </c>
      <c r="J14" s="382">
        <v>0</v>
      </c>
      <c r="K14" s="383">
        <v>0</v>
      </c>
      <c r="L14" s="382">
        <v>147.04599999999999</v>
      </c>
      <c r="M14" s="383">
        <v>0</v>
      </c>
      <c r="N14" s="384">
        <v>164.07999999999998</v>
      </c>
    </row>
    <row r="15" spans="1:14" ht="11.25" customHeight="1">
      <c r="A15" s="253" t="s">
        <v>95</v>
      </c>
      <c r="B15" s="382">
        <v>0</v>
      </c>
      <c r="C15" s="383">
        <v>7409.1589999999997</v>
      </c>
      <c r="D15" s="382">
        <v>0</v>
      </c>
      <c r="E15" s="383">
        <v>1.6579999999999999</v>
      </c>
      <c r="F15" s="382">
        <v>0</v>
      </c>
      <c r="G15" s="383">
        <v>0</v>
      </c>
      <c r="H15" s="382">
        <v>0</v>
      </c>
      <c r="I15" s="383">
        <v>0</v>
      </c>
      <c r="J15" s="382">
        <v>0</v>
      </c>
      <c r="K15" s="383">
        <v>0</v>
      </c>
      <c r="L15" s="382">
        <v>-48.988999999999997</v>
      </c>
      <c r="M15" s="383">
        <v>0</v>
      </c>
      <c r="N15" s="384">
        <v>7361.8280000000004</v>
      </c>
    </row>
    <row r="16" spans="1:14" ht="11.25" customHeight="1">
      <c r="A16" s="253" t="s">
        <v>327</v>
      </c>
      <c r="B16" s="382">
        <v>0</v>
      </c>
      <c r="C16" s="383">
        <v>0</v>
      </c>
      <c r="D16" s="382">
        <v>0</v>
      </c>
      <c r="E16" s="383">
        <v>18.527000000000001</v>
      </c>
      <c r="F16" s="382">
        <v>13.157999999999999</v>
      </c>
      <c r="G16" s="383">
        <v>35.067999999999998</v>
      </c>
      <c r="H16" s="382">
        <v>0</v>
      </c>
      <c r="I16" s="383">
        <v>95.718000000000004</v>
      </c>
      <c r="J16" s="382">
        <v>0</v>
      </c>
      <c r="K16" s="383">
        <v>0</v>
      </c>
      <c r="L16" s="382">
        <v>5.774</v>
      </c>
      <c r="M16" s="383">
        <v>0</v>
      </c>
      <c r="N16" s="384">
        <v>168.245</v>
      </c>
    </row>
    <row r="17" spans="1:14" ht="11.25" customHeight="1">
      <c r="A17" s="255" t="s">
        <v>328</v>
      </c>
      <c r="B17" s="382">
        <v>0</v>
      </c>
      <c r="C17" s="383">
        <v>0</v>
      </c>
      <c r="D17" s="382">
        <v>0</v>
      </c>
      <c r="E17" s="383">
        <v>917.75099999999998</v>
      </c>
      <c r="F17" s="382">
        <v>0</v>
      </c>
      <c r="G17" s="383">
        <v>0</v>
      </c>
      <c r="H17" s="382">
        <v>0</v>
      </c>
      <c r="I17" s="383">
        <v>66.491</v>
      </c>
      <c r="J17" s="382">
        <v>0</v>
      </c>
      <c r="K17" s="383">
        <v>0</v>
      </c>
      <c r="L17" s="382">
        <v>0</v>
      </c>
      <c r="M17" s="383">
        <v>0</v>
      </c>
      <c r="N17" s="384">
        <v>984.24199999999996</v>
      </c>
    </row>
    <row r="18" spans="1:14" ht="11.25" customHeight="1">
      <c r="A18" s="253" t="s">
        <v>370</v>
      </c>
      <c r="B18" s="382">
        <v>0</v>
      </c>
      <c r="C18" s="383">
        <v>0</v>
      </c>
      <c r="D18" s="382">
        <v>0</v>
      </c>
      <c r="E18" s="383">
        <v>35.737000000000002</v>
      </c>
      <c r="F18" s="382">
        <v>0</v>
      </c>
      <c r="G18" s="383">
        <v>0</v>
      </c>
      <c r="H18" s="382">
        <v>0</v>
      </c>
      <c r="I18" s="383">
        <v>0</v>
      </c>
      <c r="J18" s="382">
        <v>190.208</v>
      </c>
      <c r="K18" s="383">
        <v>0</v>
      </c>
      <c r="L18" s="382">
        <v>0</v>
      </c>
      <c r="M18" s="383">
        <v>0</v>
      </c>
      <c r="N18" s="384">
        <v>225.94499999999999</v>
      </c>
    </row>
    <row r="19" spans="1:14" ht="11.25" customHeight="1">
      <c r="A19" s="253" t="s">
        <v>371</v>
      </c>
      <c r="B19" s="382">
        <v>0</v>
      </c>
      <c r="C19" s="383">
        <v>0</v>
      </c>
      <c r="D19" s="382">
        <v>1595.105</v>
      </c>
      <c r="E19" s="383">
        <v>0</v>
      </c>
      <c r="F19" s="382">
        <v>0</v>
      </c>
      <c r="G19" s="383">
        <v>0</v>
      </c>
      <c r="H19" s="382">
        <v>0</v>
      </c>
      <c r="I19" s="383">
        <v>0</v>
      </c>
      <c r="J19" s="382">
        <v>0</v>
      </c>
      <c r="K19" s="383">
        <v>0</v>
      </c>
      <c r="L19" s="382">
        <v>0</v>
      </c>
      <c r="M19" s="383">
        <v>0</v>
      </c>
      <c r="N19" s="384">
        <v>1595.105</v>
      </c>
    </row>
    <row r="20" spans="1:14" ht="11.25" customHeight="1">
      <c r="A20" s="253" t="s">
        <v>96</v>
      </c>
      <c r="B20" s="382">
        <v>0</v>
      </c>
      <c r="C20" s="383">
        <v>10398.486999999999</v>
      </c>
      <c r="D20" s="382">
        <v>0</v>
      </c>
      <c r="E20" s="383">
        <v>0</v>
      </c>
      <c r="F20" s="382">
        <v>0</v>
      </c>
      <c r="G20" s="383">
        <v>0</v>
      </c>
      <c r="H20" s="382">
        <v>0</v>
      </c>
      <c r="I20" s="383">
        <v>0</v>
      </c>
      <c r="J20" s="382">
        <v>0</v>
      </c>
      <c r="K20" s="383">
        <v>0</v>
      </c>
      <c r="L20" s="382">
        <v>0</v>
      </c>
      <c r="M20" s="383">
        <v>41.505000000000003</v>
      </c>
      <c r="N20" s="384">
        <v>10439.991999999998</v>
      </c>
    </row>
    <row r="21" spans="1:14" ht="11.25" customHeight="1">
      <c r="A21" s="253" t="s">
        <v>372</v>
      </c>
      <c r="B21" s="382">
        <v>0</v>
      </c>
      <c r="C21" s="383">
        <v>0</v>
      </c>
      <c r="D21" s="382">
        <v>0</v>
      </c>
      <c r="E21" s="383">
        <v>951.89400000000001</v>
      </c>
      <c r="F21" s="382">
        <v>0</v>
      </c>
      <c r="G21" s="383">
        <v>0</v>
      </c>
      <c r="H21" s="382">
        <v>0</v>
      </c>
      <c r="I21" s="383">
        <v>144.94999999999999</v>
      </c>
      <c r="J21" s="382">
        <v>0</v>
      </c>
      <c r="K21" s="383">
        <v>0</v>
      </c>
      <c r="L21" s="382">
        <v>25.190999999999999</v>
      </c>
      <c r="M21" s="383">
        <v>0</v>
      </c>
      <c r="N21" s="384">
        <v>1122.0350000000001</v>
      </c>
    </row>
    <row r="22" spans="1:14" ht="11.25" customHeight="1">
      <c r="A22" s="253" t="s">
        <v>330</v>
      </c>
      <c r="B22" s="382">
        <v>0</v>
      </c>
      <c r="C22" s="383">
        <v>0</v>
      </c>
      <c r="D22" s="382">
        <v>0</v>
      </c>
      <c r="E22" s="383">
        <v>143.815</v>
      </c>
      <c r="F22" s="382">
        <v>0</v>
      </c>
      <c r="G22" s="383">
        <v>0</v>
      </c>
      <c r="H22" s="382">
        <v>0</v>
      </c>
      <c r="I22" s="383">
        <v>426.65300000000002</v>
      </c>
      <c r="J22" s="382">
        <v>0</v>
      </c>
      <c r="K22" s="383">
        <v>0</v>
      </c>
      <c r="L22" s="382">
        <v>0</v>
      </c>
      <c r="M22" s="383">
        <v>0</v>
      </c>
      <c r="N22" s="384">
        <v>570.46800000000007</v>
      </c>
    </row>
    <row r="23" spans="1:14" ht="11.25" customHeight="1">
      <c r="A23" s="253" t="s">
        <v>97</v>
      </c>
      <c r="B23" s="382">
        <v>0</v>
      </c>
      <c r="C23" s="383">
        <v>0</v>
      </c>
      <c r="D23" s="382">
        <v>0</v>
      </c>
      <c r="E23" s="383">
        <v>17.463000000000001</v>
      </c>
      <c r="F23" s="382">
        <v>0</v>
      </c>
      <c r="G23" s="383">
        <v>0</v>
      </c>
      <c r="H23" s="382">
        <v>0</v>
      </c>
      <c r="I23" s="383">
        <v>0</v>
      </c>
      <c r="J23" s="382">
        <v>0</v>
      </c>
      <c r="K23" s="383">
        <v>0</v>
      </c>
      <c r="L23" s="382">
        <v>49.929000000000002</v>
      </c>
      <c r="M23" s="383">
        <v>0</v>
      </c>
      <c r="N23" s="384">
        <v>67.391999999999996</v>
      </c>
    </row>
    <row r="24" spans="1:14" ht="11.25" customHeight="1">
      <c r="A24" s="255" t="s">
        <v>373</v>
      </c>
      <c r="B24" s="382">
        <v>0</v>
      </c>
      <c r="C24" s="383">
        <v>0</v>
      </c>
      <c r="D24" s="382">
        <v>0</v>
      </c>
      <c r="E24" s="383">
        <v>118.705</v>
      </c>
      <c r="F24" s="382">
        <v>163.75899999999999</v>
      </c>
      <c r="G24" s="383">
        <v>0</v>
      </c>
      <c r="H24" s="382">
        <v>0</v>
      </c>
      <c r="I24" s="383">
        <v>1.661</v>
      </c>
      <c r="J24" s="382">
        <v>119.011</v>
      </c>
      <c r="K24" s="383">
        <v>0</v>
      </c>
      <c r="L24" s="382">
        <v>0</v>
      </c>
      <c r="M24" s="383">
        <v>0</v>
      </c>
      <c r="N24" s="384">
        <v>403.13599999999997</v>
      </c>
    </row>
    <row r="25" spans="1:14" ht="11.25" customHeight="1">
      <c r="A25" s="253" t="s">
        <v>98</v>
      </c>
      <c r="B25" s="382">
        <v>24036.611000000001</v>
      </c>
      <c r="C25" s="383">
        <v>0</v>
      </c>
      <c r="D25" s="382">
        <v>0</v>
      </c>
      <c r="E25" s="383">
        <v>0</v>
      </c>
      <c r="F25" s="382">
        <v>0</v>
      </c>
      <c r="G25" s="383">
        <v>0</v>
      </c>
      <c r="H25" s="382">
        <v>0</v>
      </c>
      <c r="I25" s="383">
        <v>0</v>
      </c>
      <c r="J25" s="382">
        <v>0</v>
      </c>
      <c r="K25" s="383">
        <v>0</v>
      </c>
      <c r="L25" s="382">
        <v>0</v>
      </c>
      <c r="M25" s="383">
        <v>0</v>
      </c>
      <c r="N25" s="384">
        <v>24036.611000000001</v>
      </c>
    </row>
    <row r="26" spans="1:14" ht="11.25" customHeight="1">
      <c r="A26" s="253" t="s">
        <v>374</v>
      </c>
      <c r="B26" s="382">
        <v>0</v>
      </c>
      <c r="C26" s="383">
        <v>0</v>
      </c>
      <c r="D26" s="382">
        <v>0</v>
      </c>
      <c r="E26" s="383">
        <v>41.847999999999999</v>
      </c>
      <c r="F26" s="382">
        <v>0</v>
      </c>
      <c r="G26" s="383">
        <v>0</v>
      </c>
      <c r="H26" s="382">
        <v>0</v>
      </c>
      <c r="I26" s="383">
        <v>0</v>
      </c>
      <c r="J26" s="382">
        <v>0</v>
      </c>
      <c r="K26" s="383">
        <v>0</v>
      </c>
      <c r="L26" s="382">
        <v>0</v>
      </c>
      <c r="M26" s="383">
        <v>0</v>
      </c>
      <c r="N26" s="384">
        <v>41.847999999999999</v>
      </c>
    </row>
    <row r="27" spans="1:14" ht="11.25" customHeight="1">
      <c r="A27" s="253" t="s">
        <v>99</v>
      </c>
      <c r="B27" s="382">
        <v>0</v>
      </c>
      <c r="C27" s="383">
        <v>0</v>
      </c>
      <c r="D27" s="382">
        <v>0</v>
      </c>
      <c r="E27" s="383">
        <v>9.7270000000000003</v>
      </c>
      <c r="F27" s="382">
        <v>0</v>
      </c>
      <c r="G27" s="383">
        <v>0</v>
      </c>
      <c r="H27" s="382">
        <v>228.34700000000001</v>
      </c>
      <c r="I27" s="383">
        <v>0</v>
      </c>
      <c r="J27" s="382">
        <v>0</v>
      </c>
      <c r="K27" s="383">
        <v>0</v>
      </c>
      <c r="L27" s="382">
        <v>0</v>
      </c>
      <c r="M27" s="383">
        <v>0</v>
      </c>
      <c r="N27" s="384">
        <v>238.07400000000001</v>
      </c>
    </row>
    <row r="28" spans="1:14" ht="11.25" customHeight="1">
      <c r="A28" s="253" t="s">
        <v>100</v>
      </c>
      <c r="B28" s="382">
        <v>237.297</v>
      </c>
      <c r="C28" s="383">
        <v>0.69699999999999995</v>
      </c>
      <c r="D28" s="382">
        <v>0</v>
      </c>
      <c r="E28" s="383">
        <v>0</v>
      </c>
      <c r="F28" s="382">
        <v>0</v>
      </c>
      <c r="G28" s="383">
        <v>2.5659999999999998</v>
      </c>
      <c r="H28" s="382">
        <v>0</v>
      </c>
      <c r="I28" s="383">
        <v>53.537999999999997</v>
      </c>
      <c r="J28" s="382">
        <v>0</v>
      </c>
      <c r="K28" s="383">
        <v>0</v>
      </c>
      <c r="L28" s="382">
        <v>627.39</v>
      </c>
      <c r="M28" s="383">
        <v>0</v>
      </c>
      <c r="N28" s="384">
        <v>921.48800000000006</v>
      </c>
    </row>
    <row r="29" spans="1:14" ht="11.25" customHeight="1">
      <c r="A29" s="253" t="s">
        <v>375</v>
      </c>
      <c r="B29" s="382">
        <v>0</v>
      </c>
      <c r="C29" s="383">
        <v>78.885000000000005</v>
      </c>
      <c r="D29" s="382">
        <v>1958.5609999999999</v>
      </c>
      <c r="E29" s="383">
        <v>179.12899999999999</v>
      </c>
      <c r="F29" s="382">
        <v>98.138999999999996</v>
      </c>
      <c r="G29" s="383">
        <v>0</v>
      </c>
      <c r="H29" s="382">
        <v>0</v>
      </c>
      <c r="I29" s="383">
        <v>0</v>
      </c>
      <c r="J29" s="382">
        <v>0</v>
      </c>
      <c r="K29" s="383">
        <v>0</v>
      </c>
      <c r="L29" s="382">
        <v>0</v>
      </c>
      <c r="M29" s="383">
        <v>0</v>
      </c>
      <c r="N29" s="384">
        <v>2314.7139999999999</v>
      </c>
    </row>
    <row r="30" spans="1:14" ht="11.25" customHeight="1">
      <c r="A30" s="254" t="s">
        <v>331</v>
      </c>
      <c r="B30" s="382">
        <v>0</v>
      </c>
      <c r="C30" s="383">
        <v>0</v>
      </c>
      <c r="D30" s="382">
        <v>88.1</v>
      </c>
      <c r="E30" s="383">
        <v>0</v>
      </c>
      <c r="F30" s="382">
        <v>618.81200000000001</v>
      </c>
      <c r="G30" s="383">
        <v>0</v>
      </c>
      <c r="H30" s="382">
        <v>0</v>
      </c>
      <c r="I30" s="383">
        <v>0</v>
      </c>
      <c r="J30" s="382">
        <v>0</v>
      </c>
      <c r="K30" s="383">
        <v>0</v>
      </c>
      <c r="L30" s="382">
        <v>0</v>
      </c>
      <c r="M30" s="383">
        <v>0</v>
      </c>
      <c r="N30" s="384">
        <v>706.91200000000003</v>
      </c>
    </row>
    <row r="31" spans="1:14" ht="11.25" customHeight="1">
      <c r="A31" s="253" t="s">
        <v>332</v>
      </c>
      <c r="B31" s="382">
        <v>1792.066</v>
      </c>
      <c r="C31" s="383">
        <v>0</v>
      </c>
      <c r="D31" s="382">
        <v>0</v>
      </c>
      <c r="E31" s="383">
        <v>0</v>
      </c>
      <c r="F31" s="382">
        <v>0</v>
      </c>
      <c r="G31" s="383">
        <v>0</v>
      </c>
      <c r="H31" s="382">
        <v>0</v>
      </c>
      <c r="I31" s="383">
        <v>0</v>
      </c>
      <c r="J31" s="382">
        <v>0</v>
      </c>
      <c r="K31" s="383">
        <v>0</v>
      </c>
      <c r="L31" s="382">
        <v>0</v>
      </c>
      <c r="M31" s="383">
        <v>0</v>
      </c>
      <c r="N31" s="384">
        <v>1792.066</v>
      </c>
    </row>
    <row r="32" spans="1:14" ht="11.25" customHeight="1">
      <c r="A32" s="255" t="s">
        <v>101</v>
      </c>
      <c r="B32" s="382">
        <v>0</v>
      </c>
      <c r="C32" s="383">
        <v>0</v>
      </c>
      <c r="D32" s="382">
        <v>0</v>
      </c>
      <c r="E32" s="383">
        <v>0</v>
      </c>
      <c r="F32" s="382">
        <v>36.798999999999999</v>
      </c>
      <c r="G32" s="383">
        <v>0</v>
      </c>
      <c r="H32" s="382">
        <v>1240.26</v>
      </c>
      <c r="I32" s="383">
        <v>0</v>
      </c>
      <c r="J32" s="382">
        <v>55.254000000000005</v>
      </c>
      <c r="K32" s="383">
        <v>0</v>
      </c>
      <c r="L32" s="382">
        <v>55.332000000000001</v>
      </c>
      <c r="M32" s="383">
        <v>0</v>
      </c>
      <c r="N32" s="384">
        <v>1387.645</v>
      </c>
    </row>
    <row r="33" spans="1:15" ht="11.25" customHeight="1">
      <c r="A33" s="255" t="s">
        <v>333</v>
      </c>
      <c r="B33" s="382">
        <v>0</v>
      </c>
      <c r="C33" s="383">
        <v>0</v>
      </c>
      <c r="D33" s="382">
        <v>38.832000000000001</v>
      </c>
      <c r="E33" s="383">
        <v>22.72</v>
      </c>
      <c r="F33" s="382">
        <v>1288.5150000000001</v>
      </c>
      <c r="G33" s="383">
        <v>0</v>
      </c>
      <c r="H33" s="382">
        <v>0</v>
      </c>
      <c r="I33" s="383">
        <v>0</v>
      </c>
      <c r="J33" s="382">
        <v>0</v>
      </c>
      <c r="K33" s="383">
        <v>0</v>
      </c>
      <c r="L33" s="382">
        <v>0</v>
      </c>
      <c r="M33" s="383">
        <v>0</v>
      </c>
      <c r="N33" s="384">
        <v>1350.067</v>
      </c>
    </row>
    <row r="34" spans="1:15" ht="11.25" customHeight="1">
      <c r="A34" s="255" t="s">
        <v>329</v>
      </c>
      <c r="B34" s="382">
        <v>4351.442</v>
      </c>
      <c r="C34" s="383">
        <v>181.279</v>
      </c>
      <c r="D34" s="382">
        <v>5415.87</v>
      </c>
      <c r="E34" s="383">
        <v>0</v>
      </c>
      <c r="F34" s="382">
        <v>0</v>
      </c>
      <c r="G34" s="383">
        <v>0</v>
      </c>
      <c r="H34" s="382">
        <v>0</v>
      </c>
      <c r="I34" s="383">
        <v>0</v>
      </c>
      <c r="J34" s="382">
        <v>0</v>
      </c>
      <c r="K34" s="383">
        <v>654.28300000000002</v>
      </c>
      <c r="L34" s="382">
        <v>0</v>
      </c>
      <c r="M34" s="383">
        <v>0</v>
      </c>
      <c r="N34" s="384">
        <v>10602.874</v>
      </c>
    </row>
    <row r="35" spans="1:15" ht="11.25" customHeight="1">
      <c r="A35" s="255" t="s">
        <v>334</v>
      </c>
      <c r="B35" s="382">
        <v>0</v>
      </c>
      <c r="C35" s="383">
        <v>0</v>
      </c>
      <c r="D35" s="382">
        <v>0</v>
      </c>
      <c r="E35" s="383">
        <v>44.2</v>
      </c>
      <c r="F35" s="382">
        <v>101.557</v>
      </c>
      <c r="G35" s="383">
        <v>0</v>
      </c>
      <c r="H35" s="382">
        <v>0</v>
      </c>
      <c r="I35" s="383">
        <v>0</v>
      </c>
      <c r="J35" s="382">
        <v>1.6</v>
      </c>
      <c r="K35" s="383">
        <v>0</v>
      </c>
      <c r="L35" s="382">
        <v>55.893000000000001</v>
      </c>
      <c r="M35" s="383">
        <v>0</v>
      </c>
      <c r="N35" s="384">
        <v>203.25</v>
      </c>
    </row>
    <row r="36" spans="1:15" ht="11.25" customHeight="1">
      <c r="A36" s="255" t="s">
        <v>335</v>
      </c>
      <c r="B36" s="382">
        <v>48.03</v>
      </c>
      <c r="C36" s="383">
        <v>0</v>
      </c>
      <c r="D36" s="382">
        <v>0</v>
      </c>
      <c r="E36" s="383">
        <v>283.64</v>
      </c>
      <c r="F36" s="382">
        <v>0</v>
      </c>
      <c r="G36" s="383">
        <v>0</v>
      </c>
      <c r="H36" s="382">
        <v>0</v>
      </c>
      <c r="I36" s="383">
        <v>0</v>
      </c>
      <c r="J36" s="382">
        <v>0</v>
      </c>
      <c r="K36" s="383">
        <v>0</v>
      </c>
      <c r="L36" s="382">
        <v>678.45699999999999</v>
      </c>
      <c r="M36" s="383">
        <v>0</v>
      </c>
      <c r="N36" s="384">
        <v>1010.127</v>
      </c>
    </row>
    <row r="37" spans="1:15" ht="11.25" customHeight="1">
      <c r="A37" s="253" t="s">
        <v>376</v>
      </c>
      <c r="B37" s="382">
        <v>0</v>
      </c>
      <c r="C37" s="383">
        <v>0</v>
      </c>
      <c r="D37" s="382">
        <v>0</v>
      </c>
      <c r="E37" s="383">
        <v>79.055999999999997</v>
      </c>
      <c r="F37" s="382">
        <v>0</v>
      </c>
      <c r="G37" s="383">
        <v>0</v>
      </c>
      <c r="H37" s="382">
        <v>0</v>
      </c>
      <c r="I37" s="383">
        <v>0</v>
      </c>
      <c r="J37" s="382">
        <v>53.664000000000001</v>
      </c>
      <c r="K37" s="383">
        <v>0</v>
      </c>
      <c r="L37" s="382">
        <v>0</v>
      </c>
      <c r="M37" s="383">
        <v>0</v>
      </c>
      <c r="N37" s="384">
        <v>132.72</v>
      </c>
    </row>
    <row r="38" spans="1:15" ht="11.25" customHeight="1">
      <c r="A38" s="255" t="s">
        <v>336</v>
      </c>
      <c r="B38" s="382">
        <v>0</v>
      </c>
      <c r="C38" s="383">
        <v>0</v>
      </c>
      <c r="D38" s="382">
        <v>0</v>
      </c>
      <c r="E38" s="383">
        <v>0</v>
      </c>
      <c r="F38" s="382">
        <v>56.582999999999998</v>
      </c>
      <c r="G38" s="383">
        <v>2614.9920000000002</v>
      </c>
      <c r="H38" s="382">
        <v>0</v>
      </c>
      <c r="I38" s="383">
        <v>9</v>
      </c>
      <c r="J38" s="382">
        <v>0</v>
      </c>
      <c r="K38" s="383">
        <v>0</v>
      </c>
      <c r="L38" s="382">
        <v>0</v>
      </c>
      <c r="M38" s="383">
        <v>111.57299999999999</v>
      </c>
      <c r="N38" s="384">
        <v>2792.1480000000001</v>
      </c>
    </row>
    <row r="39" spans="1:15" ht="11.25" customHeight="1">
      <c r="A39" s="253" t="s">
        <v>103</v>
      </c>
      <c r="B39" s="382">
        <v>0</v>
      </c>
      <c r="C39" s="383">
        <v>0</v>
      </c>
      <c r="D39" s="382">
        <v>49.521000000000001</v>
      </c>
      <c r="E39" s="383">
        <v>0.5</v>
      </c>
      <c r="F39" s="382"/>
      <c r="G39" s="383">
        <v>0</v>
      </c>
      <c r="H39" s="382">
        <v>0</v>
      </c>
      <c r="I39" s="383">
        <v>2</v>
      </c>
      <c r="J39" s="382">
        <v>0</v>
      </c>
      <c r="K39" s="383">
        <v>0</v>
      </c>
      <c r="L39" s="382">
        <v>1848.566</v>
      </c>
      <c r="M39" s="383">
        <v>2814</v>
      </c>
      <c r="N39" s="384">
        <v>4714.5869999999995</v>
      </c>
    </row>
    <row r="40" spans="1:15" ht="11.25" customHeight="1">
      <c r="A40" s="385" t="s">
        <v>367</v>
      </c>
      <c r="B40" s="386"/>
      <c r="C40" s="387"/>
      <c r="D40" s="386"/>
      <c r="E40" s="387"/>
      <c r="F40" s="386">
        <v>4000</v>
      </c>
      <c r="G40" s="387"/>
      <c r="H40" s="386"/>
      <c r="I40" s="387"/>
      <c r="J40" s="386"/>
      <c r="K40" s="383"/>
      <c r="L40" s="386"/>
      <c r="M40" s="387"/>
      <c r="N40" s="384">
        <v>4000</v>
      </c>
    </row>
    <row r="41" spans="1:15" ht="15" customHeight="1" thickBot="1">
      <c r="A41" s="388" t="s">
        <v>436</v>
      </c>
      <c r="B41" s="389">
        <v>30465.445999999996</v>
      </c>
      <c r="C41" s="390">
        <v>18068.506999999998</v>
      </c>
      <c r="D41" s="389">
        <v>9163.023000000001</v>
      </c>
      <c r="E41" s="390">
        <v>2866.3699999999994</v>
      </c>
      <c r="F41" s="389">
        <v>6377.3220000000001</v>
      </c>
      <c r="G41" s="390">
        <v>2652.6260000000002</v>
      </c>
      <c r="H41" s="389">
        <v>1468.607</v>
      </c>
      <c r="I41" s="390">
        <v>800.01099999999997</v>
      </c>
      <c r="J41" s="389">
        <v>419.73700000000002</v>
      </c>
      <c r="K41" s="390">
        <v>654.28300000000002</v>
      </c>
      <c r="L41" s="389">
        <v>3444.5889999999999</v>
      </c>
      <c r="M41" s="390">
        <v>2968.078</v>
      </c>
      <c r="N41" s="389">
        <v>79348.598999999987</v>
      </c>
    </row>
    <row r="42" spans="1:15">
      <c r="B42" s="391"/>
      <c r="C42" s="391"/>
      <c r="D42" s="391"/>
      <c r="E42" s="391"/>
      <c r="F42" s="391"/>
      <c r="G42" s="391"/>
      <c r="H42" s="391"/>
      <c r="I42" s="391"/>
      <c r="J42" s="391"/>
      <c r="K42" s="391"/>
      <c r="L42" s="391"/>
      <c r="M42" s="391"/>
    </row>
    <row r="43" spans="1:15">
      <c r="B43" s="255"/>
      <c r="C43" s="255"/>
      <c r="D43" s="255"/>
      <c r="E43" s="255"/>
      <c r="G43" s="255"/>
      <c r="H43" s="255"/>
      <c r="I43" s="255"/>
      <c r="J43" s="255"/>
      <c r="K43" s="255"/>
      <c r="L43" s="255"/>
      <c r="N43" s="551"/>
    </row>
    <row r="44" spans="1:15" s="371" customFormat="1" ht="12">
      <c r="A44" s="253"/>
      <c r="C44" s="393"/>
      <c r="O44" s="255"/>
    </row>
    <row r="45" spans="1:15" s="371" customFormat="1" ht="12">
      <c r="A45" s="253"/>
      <c r="C45" s="393"/>
      <c r="O45" s="255"/>
    </row>
  </sheetData>
  <mergeCells count="13">
    <mergeCell ref="N3:N12"/>
    <mergeCell ref="M6:M12"/>
    <mergeCell ref="B3:B12"/>
    <mergeCell ref="C3:C12"/>
    <mergeCell ref="D3:D12"/>
    <mergeCell ref="E3:E12"/>
    <mergeCell ref="F3:F12"/>
    <mergeCell ref="G3:G12"/>
    <mergeCell ref="H3:H12"/>
    <mergeCell ref="I3:I12"/>
    <mergeCell ref="J3:J12"/>
    <mergeCell ref="K3:K12"/>
    <mergeCell ref="L3:L12"/>
  </mergeCells>
  <pageMargins left="0.7" right="0.7" top="0.75" bottom="0.75" header="0.3" footer="0.3"/>
  <pageSetup orientation="landscape" r:id="rId1"/>
  <headerFooter alignWithMargins="0">
    <oddFooter>&amp;L_x000D_&amp;1#&amp;"Calibri"&amp;11&amp;K000000 Classification: Public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>
    <tabColor rgb="FFFFC000"/>
  </sheetPr>
  <dimension ref="A1:V48"/>
  <sheetViews>
    <sheetView zoomScale="130" zoomScaleNormal="130" zoomScaleSheetLayoutView="96" workbookViewId="0">
      <selection activeCell="U39" sqref="U39"/>
    </sheetView>
  </sheetViews>
  <sheetFormatPr defaultColWidth="8.5703125" defaultRowHeight="13.5"/>
  <cols>
    <col min="1" max="1" width="2.5703125" style="411" customWidth="1"/>
    <col min="2" max="2" width="30.5703125" style="411" customWidth="1"/>
    <col min="3" max="14" width="7" style="503" customWidth="1"/>
    <col min="15" max="17" width="7" style="432" customWidth="1"/>
    <col min="18" max="18" width="8" customWidth="1"/>
    <col min="19" max="21" width="8.5703125" style="448"/>
    <col min="22" max="16384" width="8.5703125" style="411"/>
  </cols>
  <sheetData>
    <row r="1" spans="1:22" ht="15">
      <c r="A1" s="628" t="s">
        <v>519</v>
      </c>
    </row>
    <row r="2" spans="1:22" ht="3" customHeight="1"/>
    <row r="3" spans="1:22" ht="12.75" customHeight="1">
      <c r="A3" s="413" t="s">
        <v>1</v>
      </c>
      <c r="B3" s="412"/>
    </row>
    <row r="4" spans="1:22" ht="12" customHeight="1">
      <c r="A4" s="414"/>
      <c r="C4" s="505">
        <v>1</v>
      </c>
      <c r="D4" s="504">
        <f t="shared" ref="D4:E4" si="0">C4+1</f>
        <v>2</v>
      </c>
      <c r="E4" s="505">
        <f t="shared" si="0"/>
        <v>3</v>
      </c>
      <c r="F4" s="504">
        <f t="shared" ref="F4" si="1">E4+1</f>
        <v>4</v>
      </c>
      <c r="G4" s="505">
        <f t="shared" ref="G4" si="2">F4+1</f>
        <v>5</v>
      </c>
      <c r="H4" s="504">
        <f t="shared" ref="H4" si="3">G4+1</f>
        <v>6</v>
      </c>
      <c r="I4" s="505">
        <f t="shared" ref="I4" si="4">H4+1</f>
        <v>7</v>
      </c>
      <c r="J4" s="504">
        <f t="shared" ref="J4" si="5">I4+1</f>
        <v>8</v>
      </c>
      <c r="K4" s="505">
        <f t="shared" ref="K4" si="6">J4+1</f>
        <v>9</v>
      </c>
      <c r="L4" s="504">
        <f t="shared" ref="L4" si="7">K4+1</f>
        <v>10</v>
      </c>
      <c r="M4" s="505">
        <f t="shared" ref="M4" si="8">L4+1</f>
        <v>11</v>
      </c>
      <c r="N4" s="504">
        <f t="shared" ref="N4" si="9">M4+1</f>
        <v>12</v>
      </c>
      <c r="O4" s="505">
        <f t="shared" ref="O4" si="10">N4+1</f>
        <v>13</v>
      </c>
      <c r="P4" s="504">
        <f t="shared" ref="P4" si="11">O4+1</f>
        <v>14</v>
      </c>
      <c r="Q4" s="505">
        <f t="shared" ref="Q4" si="12">P4+1</f>
        <v>15</v>
      </c>
    </row>
    <row r="5" spans="1:22" ht="4.5" customHeight="1">
      <c r="A5" s="414"/>
      <c r="C5" s="504"/>
      <c r="D5" s="504"/>
      <c r="E5" s="504"/>
      <c r="F5" s="504"/>
      <c r="G5" s="504"/>
      <c r="H5" s="504"/>
      <c r="I5" s="504"/>
      <c r="J5" s="504"/>
    </row>
    <row r="6" spans="1:22" ht="12" customHeight="1">
      <c r="A6" s="412"/>
      <c r="B6" s="415"/>
      <c r="C6" s="507" t="s">
        <v>286</v>
      </c>
      <c r="D6" s="506" t="s">
        <v>287</v>
      </c>
      <c r="E6" s="507" t="s">
        <v>288</v>
      </c>
      <c r="F6" s="506" t="s">
        <v>289</v>
      </c>
      <c r="G6" s="507" t="s">
        <v>290</v>
      </c>
      <c r="H6" s="506" t="s">
        <v>291</v>
      </c>
      <c r="I6" s="507" t="s">
        <v>2</v>
      </c>
      <c r="J6" s="506" t="s">
        <v>3</v>
      </c>
      <c r="K6" s="507" t="s">
        <v>4</v>
      </c>
      <c r="L6" s="506" t="s">
        <v>5</v>
      </c>
      <c r="M6" s="507" t="s">
        <v>6</v>
      </c>
      <c r="N6" s="506" t="s">
        <v>285</v>
      </c>
      <c r="O6" s="507" t="s">
        <v>325</v>
      </c>
      <c r="P6" s="506" t="s">
        <v>364</v>
      </c>
      <c r="Q6" s="507" t="s">
        <v>365</v>
      </c>
    </row>
    <row r="7" spans="1:22" ht="12" customHeight="1">
      <c r="A7" s="416" t="s">
        <v>41</v>
      </c>
      <c r="B7" s="412"/>
      <c r="C7" s="509"/>
      <c r="D7" s="508"/>
      <c r="E7" s="509"/>
      <c r="F7" s="508"/>
      <c r="G7" s="509"/>
      <c r="H7" s="508"/>
      <c r="I7" s="509"/>
      <c r="J7" s="508"/>
      <c r="K7" s="509"/>
      <c r="L7" s="508"/>
      <c r="M7" s="509" t="s">
        <v>7</v>
      </c>
      <c r="N7" s="508" t="s">
        <v>9</v>
      </c>
      <c r="O7" s="509" t="s">
        <v>10</v>
      </c>
      <c r="P7" s="508" t="s">
        <v>11</v>
      </c>
      <c r="Q7" s="509" t="s">
        <v>11</v>
      </c>
      <c r="S7" s="506"/>
      <c r="T7" s="506"/>
      <c r="U7" s="506"/>
      <c r="V7" s="506"/>
    </row>
    <row r="8" spans="1:22" ht="9.9499999999999993" customHeight="1">
      <c r="A8" s="412"/>
      <c r="B8" s="417" t="s">
        <v>12</v>
      </c>
      <c r="C8" s="510"/>
      <c r="D8" s="448"/>
      <c r="E8" s="510"/>
      <c r="G8" s="510"/>
      <c r="I8" s="510"/>
      <c r="J8" s="448"/>
      <c r="K8" s="510"/>
      <c r="M8" s="537"/>
      <c r="N8" s="448"/>
      <c r="O8" s="433"/>
      <c r="Q8" s="433"/>
    </row>
    <row r="9" spans="1:22" ht="9.9499999999999993" customHeight="1">
      <c r="A9" s="418">
        <v>1</v>
      </c>
      <c r="B9" s="419" t="s">
        <v>88</v>
      </c>
      <c r="C9" s="433">
        <v>10537</v>
      </c>
      <c r="D9" s="432">
        <v>11042</v>
      </c>
      <c r="E9" s="433">
        <v>11357</v>
      </c>
      <c r="F9" s="432">
        <v>10763</v>
      </c>
      <c r="G9" s="433">
        <v>10775</v>
      </c>
      <c r="H9" s="432">
        <v>11874</v>
      </c>
      <c r="I9" s="433">
        <v>11244</v>
      </c>
      <c r="J9" s="432">
        <v>11257</v>
      </c>
      <c r="K9" s="433">
        <v>13335</v>
      </c>
      <c r="L9" s="432">
        <v>13925</v>
      </c>
      <c r="M9" s="433">
        <v>15160</v>
      </c>
      <c r="N9" s="432">
        <v>16119.993</v>
      </c>
      <c r="O9" s="433">
        <v>15509.644</v>
      </c>
      <c r="P9" s="432">
        <v>16270.87</v>
      </c>
      <c r="Q9" s="433">
        <v>16980.97</v>
      </c>
    </row>
    <row r="10" spans="1:22" ht="9.9499999999999993" customHeight="1">
      <c r="A10" s="418">
        <v>2</v>
      </c>
      <c r="B10" s="419" t="s">
        <v>89</v>
      </c>
      <c r="C10" s="433">
        <v>5488</v>
      </c>
      <c r="D10" s="432">
        <v>5796</v>
      </c>
      <c r="E10" s="433">
        <v>4195</v>
      </c>
      <c r="F10" s="432">
        <v>3769</v>
      </c>
      <c r="G10" s="433">
        <v>3448</v>
      </c>
      <c r="H10" s="432">
        <v>4871</v>
      </c>
      <c r="I10" s="433">
        <v>4107</v>
      </c>
      <c r="J10" s="432">
        <v>3037</v>
      </c>
      <c r="K10" s="433">
        <v>4718</v>
      </c>
      <c r="L10" s="432">
        <v>8167</v>
      </c>
      <c r="M10" s="433">
        <v>7044.1</v>
      </c>
      <c r="N10" s="432">
        <v>7350.6490000000003</v>
      </c>
      <c r="O10" s="433">
        <v>6764.2659999999996</v>
      </c>
      <c r="P10" s="432">
        <v>6938.2309999999998</v>
      </c>
      <c r="Q10" s="433">
        <v>7253.56</v>
      </c>
    </row>
    <row r="11" spans="1:22" ht="9.9499999999999993" customHeight="1">
      <c r="A11" s="418">
        <v>3</v>
      </c>
      <c r="B11" s="419" t="s">
        <v>292</v>
      </c>
      <c r="C11" s="433">
        <v>4500</v>
      </c>
      <c r="D11" s="432">
        <v>4598</v>
      </c>
      <c r="E11" s="433">
        <v>5168</v>
      </c>
      <c r="F11" s="432">
        <v>5649</v>
      </c>
      <c r="G11" s="433">
        <v>6538</v>
      </c>
      <c r="H11" s="432">
        <v>6833</v>
      </c>
      <c r="I11" s="433">
        <v>5747</v>
      </c>
      <c r="J11" s="432">
        <v>5285</v>
      </c>
      <c r="K11" s="433">
        <v>5453</v>
      </c>
      <c r="L11" s="432">
        <v>4271</v>
      </c>
      <c r="M11" s="433">
        <v>4542.6999999999989</v>
      </c>
      <c r="N11" s="432">
        <v>5994.9408288000004</v>
      </c>
      <c r="O11" s="433">
        <v>6563.360552359999</v>
      </c>
      <c r="P11" s="432">
        <v>6941.4779529000007</v>
      </c>
      <c r="Q11" s="433">
        <v>7155.7839798000005</v>
      </c>
    </row>
    <row r="12" spans="1:22" ht="9.9499999999999993" customHeight="1">
      <c r="A12" s="418">
        <v>4</v>
      </c>
      <c r="B12" s="419" t="s">
        <v>293</v>
      </c>
      <c r="C12" s="433">
        <v>9578</v>
      </c>
      <c r="D12" s="432">
        <v>8948</v>
      </c>
      <c r="E12" s="433">
        <v>2789</v>
      </c>
      <c r="F12" s="432">
        <v>3097</v>
      </c>
      <c r="G12" s="433">
        <v>4980</v>
      </c>
      <c r="H12" s="432">
        <v>5429</v>
      </c>
      <c r="I12" s="433">
        <v>5937</v>
      </c>
      <c r="J12" s="432">
        <v>3091</v>
      </c>
      <c r="K12" s="433">
        <v>16170</v>
      </c>
      <c r="L12" s="432">
        <v>25242</v>
      </c>
      <c r="M12" s="433">
        <v>19286.699999999997</v>
      </c>
      <c r="N12" s="432">
        <v>21509.102999999999</v>
      </c>
      <c r="O12" s="433">
        <v>17067.306</v>
      </c>
      <c r="P12" s="432">
        <v>17619.93</v>
      </c>
      <c r="Q12" s="433">
        <v>17815.049000000003</v>
      </c>
    </row>
    <row r="13" spans="1:22" ht="9.9499999999999993" customHeight="1">
      <c r="A13" s="418">
        <v>5</v>
      </c>
      <c r="B13" s="419" t="s">
        <v>16</v>
      </c>
      <c r="C13" s="433">
        <v>3423</v>
      </c>
      <c r="D13" s="432">
        <v>3113</v>
      </c>
      <c r="E13" s="433">
        <v>2544</v>
      </c>
      <c r="F13" s="432">
        <v>3698</v>
      </c>
      <c r="G13" s="433">
        <v>3126</v>
      </c>
      <c r="H13" s="432">
        <v>2349</v>
      </c>
      <c r="I13" s="433">
        <v>2828</v>
      </c>
      <c r="J13" s="432">
        <v>2643</v>
      </c>
      <c r="K13" s="433">
        <v>3579</v>
      </c>
      <c r="L13" s="432">
        <v>1334</v>
      </c>
      <c r="M13" s="433">
        <v>4581.1000000000004</v>
      </c>
      <c r="N13" s="432">
        <v>5171.4609999999993</v>
      </c>
      <c r="O13" s="433">
        <v>2882.0919999999996</v>
      </c>
      <c r="P13" s="432">
        <v>3134.8459999999995</v>
      </c>
      <c r="Q13" s="433">
        <v>3467.248</v>
      </c>
    </row>
    <row r="14" spans="1:22" ht="9.9499999999999993" customHeight="1">
      <c r="A14" s="418">
        <v>6</v>
      </c>
      <c r="B14" s="419" t="s">
        <v>93</v>
      </c>
      <c r="C14" s="433">
        <v>3437</v>
      </c>
      <c r="D14" s="432">
        <v>3564</v>
      </c>
      <c r="E14" s="433">
        <v>3574</v>
      </c>
      <c r="F14" s="432">
        <v>3701</v>
      </c>
      <c r="G14" s="433">
        <v>3839</v>
      </c>
      <c r="H14" s="432">
        <v>3911</v>
      </c>
      <c r="I14" s="433">
        <v>3929</v>
      </c>
      <c r="J14" s="432">
        <v>4021</v>
      </c>
      <c r="K14" s="433">
        <v>4520</v>
      </c>
      <c r="L14" s="432">
        <v>4672</v>
      </c>
      <c r="M14" s="433">
        <v>5564.9</v>
      </c>
      <c r="N14" s="432">
        <v>5564.9569999999994</v>
      </c>
      <c r="O14" s="433">
        <v>5635.74</v>
      </c>
      <c r="P14" s="432">
        <v>5873.527</v>
      </c>
      <c r="Q14" s="433">
        <v>6031.8890000000001</v>
      </c>
      <c r="S14" s="511"/>
      <c r="T14" s="511"/>
    </row>
    <row r="15" spans="1:22" ht="9.9499999999999993" customHeight="1">
      <c r="A15" s="420">
        <v>7</v>
      </c>
      <c r="B15" s="421" t="s">
        <v>294</v>
      </c>
      <c r="C15" s="513">
        <v>5412</v>
      </c>
      <c r="D15" s="512">
        <v>6438</v>
      </c>
      <c r="E15" s="513">
        <v>5850</v>
      </c>
      <c r="F15" s="512">
        <v>3637</v>
      </c>
      <c r="G15" s="513">
        <v>6983</v>
      </c>
      <c r="H15" s="512">
        <v>6292</v>
      </c>
      <c r="I15" s="513">
        <v>3360</v>
      </c>
      <c r="J15" s="512">
        <v>3272</v>
      </c>
      <c r="K15" s="513">
        <v>8952</v>
      </c>
      <c r="L15" s="512">
        <v>7008</v>
      </c>
      <c r="M15" s="513">
        <v>6216.4000000000015</v>
      </c>
      <c r="N15" s="512">
        <v>6022.4130000000032</v>
      </c>
      <c r="O15" s="598">
        <v>6427.9890000000023</v>
      </c>
      <c r="P15" s="512">
        <v>6858.7360000000017</v>
      </c>
      <c r="Q15" s="598">
        <v>7036.8680000000031</v>
      </c>
    </row>
    <row r="16" spans="1:22" ht="9.9499999999999993" customHeight="1">
      <c r="A16" s="422">
        <v>8</v>
      </c>
      <c r="B16" s="419" t="s">
        <v>295</v>
      </c>
      <c r="C16" s="433">
        <v>42375</v>
      </c>
      <c r="D16" s="432">
        <v>43499</v>
      </c>
      <c r="E16" s="433">
        <v>35477</v>
      </c>
      <c r="F16" s="432">
        <v>34314</v>
      </c>
      <c r="G16" s="433">
        <v>39689</v>
      </c>
      <c r="H16" s="432">
        <v>41559</v>
      </c>
      <c r="I16" s="433">
        <v>37152</v>
      </c>
      <c r="J16" s="432">
        <v>32605</v>
      </c>
      <c r="K16" s="433">
        <v>56727</v>
      </c>
      <c r="L16" s="432">
        <v>64619</v>
      </c>
      <c r="M16" s="433">
        <v>62395.899999999994</v>
      </c>
      <c r="N16" s="432">
        <v>67733.516828800013</v>
      </c>
      <c r="O16" s="433">
        <v>60850.397552359995</v>
      </c>
      <c r="P16" s="432">
        <v>63637.617952900007</v>
      </c>
      <c r="Q16" s="433">
        <v>65741.367979800008</v>
      </c>
    </row>
    <row r="17" spans="1:21" ht="9.9499999999999993" customHeight="1">
      <c r="A17" s="420">
        <v>9</v>
      </c>
      <c r="B17" s="421" t="s">
        <v>15</v>
      </c>
      <c r="C17" s="513">
        <v>7059</v>
      </c>
      <c r="D17" s="512">
        <v>5982</v>
      </c>
      <c r="E17" s="513">
        <v>7142</v>
      </c>
      <c r="F17" s="512">
        <v>7979</v>
      </c>
      <c r="G17" s="513">
        <v>7606</v>
      </c>
      <c r="H17" s="512">
        <v>8013</v>
      </c>
      <c r="I17" s="513">
        <v>9072</v>
      </c>
      <c r="J17" s="512">
        <v>10532</v>
      </c>
      <c r="K17" s="513">
        <v>11595</v>
      </c>
      <c r="L17" s="512">
        <v>11363</v>
      </c>
      <c r="M17" s="513">
        <v>12335.899999999998</v>
      </c>
      <c r="N17" s="512">
        <v>12958.239000000001</v>
      </c>
      <c r="O17" s="433">
        <v>13287.499000000002</v>
      </c>
      <c r="P17" s="512">
        <v>13752.596</v>
      </c>
      <c r="Q17" s="433">
        <v>14228.073</v>
      </c>
    </row>
    <row r="18" spans="1:21" s="425" customFormat="1" ht="9.9499999999999993" customHeight="1">
      <c r="A18" s="423">
        <v>10</v>
      </c>
      <c r="B18" s="424" t="s">
        <v>18</v>
      </c>
      <c r="C18" s="515">
        <v>49434</v>
      </c>
      <c r="D18" s="514">
        <v>49481</v>
      </c>
      <c r="E18" s="515">
        <v>42619</v>
      </c>
      <c r="F18" s="514">
        <v>42293</v>
      </c>
      <c r="G18" s="515">
        <v>47295</v>
      </c>
      <c r="H18" s="514">
        <v>49572</v>
      </c>
      <c r="I18" s="515">
        <v>46224</v>
      </c>
      <c r="J18" s="514">
        <v>43137</v>
      </c>
      <c r="K18" s="515">
        <v>68322</v>
      </c>
      <c r="L18" s="514">
        <v>75982</v>
      </c>
      <c r="M18" s="515">
        <v>74731.799999999988</v>
      </c>
      <c r="N18" s="514">
        <v>80691.7</v>
      </c>
      <c r="O18" s="515">
        <v>74137.8</v>
      </c>
      <c r="P18" s="514">
        <v>77390.2</v>
      </c>
      <c r="Q18" s="515">
        <v>79969.440000000002</v>
      </c>
      <c r="R18"/>
      <c r="S18" s="516"/>
      <c r="T18" s="516"/>
      <c r="U18" s="516"/>
    </row>
    <row r="19" spans="1:21" ht="9.9499999999999993" customHeight="1">
      <c r="A19" s="418"/>
      <c r="B19" s="417" t="s">
        <v>296</v>
      </c>
      <c r="C19" s="510"/>
      <c r="D19" s="448"/>
      <c r="E19" s="510"/>
      <c r="F19" s="432"/>
      <c r="G19" s="510"/>
      <c r="H19" s="432"/>
      <c r="I19" s="510"/>
      <c r="J19" s="448"/>
      <c r="K19" s="510"/>
      <c r="L19" s="432"/>
      <c r="M19" s="433"/>
      <c r="N19" s="448"/>
      <c r="O19" s="433"/>
      <c r="Q19" s="433"/>
    </row>
    <row r="20" spans="1:21" ht="9.9499999999999993" customHeight="1">
      <c r="A20" s="418">
        <v>11</v>
      </c>
      <c r="B20" s="419" t="s">
        <v>98</v>
      </c>
      <c r="C20" s="433">
        <v>17967</v>
      </c>
      <c r="D20" s="432">
        <v>19366</v>
      </c>
      <c r="E20" s="433">
        <v>20115</v>
      </c>
      <c r="F20" s="432">
        <v>20687</v>
      </c>
      <c r="G20" s="433">
        <v>21239</v>
      </c>
      <c r="H20" s="432">
        <v>21921</v>
      </c>
      <c r="I20" s="433">
        <v>22408</v>
      </c>
      <c r="J20" s="432">
        <v>23984</v>
      </c>
      <c r="K20" s="433">
        <v>25131</v>
      </c>
      <c r="L20" s="432">
        <v>25486</v>
      </c>
      <c r="M20" s="433">
        <v>27447</v>
      </c>
      <c r="N20" s="432">
        <v>29815.17</v>
      </c>
      <c r="O20" s="433">
        <v>30465.445999999996</v>
      </c>
      <c r="P20" s="432">
        <v>30982.178</v>
      </c>
      <c r="Q20" s="433">
        <v>32121.335999999999</v>
      </c>
    </row>
    <row r="21" spans="1:21" ht="9.9499999999999993" customHeight="1">
      <c r="A21" s="418">
        <v>12</v>
      </c>
      <c r="B21" s="419" t="s">
        <v>297</v>
      </c>
      <c r="C21" s="433">
        <v>12782</v>
      </c>
      <c r="D21" s="432">
        <v>13103</v>
      </c>
      <c r="E21" s="433">
        <v>13673</v>
      </c>
      <c r="F21" s="432">
        <v>14110</v>
      </c>
      <c r="G21" s="433">
        <v>14471</v>
      </c>
      <c r="H21" s="432">
        <v>14848</v>
      </c>
      <c r="I21" s="433">
        <v>14971</v>
      </c>
      <c r="J21" s="432">
        <v>14134</v>
      </c>
      <c r="K21" s="433">
        <v>14296</v>
      </c>
      <c r="L21" s="432">
        <v>15220</v>
      </c>
      <c r="M21" s="433">
        <v>16359</v>
      </c>
      <c r="N21" s="432">
        <v>17422.916000000001</v>
      </c>
      <c r="O21" s="433">
        <v>18068.506999999998</v>
      </c>
      <c r="P21" s="432">
        <v>18425.814999999999</v>
      </c>
      <c r="Q21" s="433">
        <v>18880.254000000001</v>
      </c>
    </row>
    <row r="22" spans="1:21" ht="9.9499999999999993" customHeight="1">
      <c r="A22" s="418">
        <v>13</v>
      </c>
      <c r="B22" s="419" t="s">
        <v>298</v>
      </c>
      <c r="C22" s="433">
        <v>4668</v>
      </c>
      <c r="D22" s="432">
        <v>4548</v>
      </c>
      <c r="E22" s="433">
        <v>4752</v>
      </c>
      <c r="F22" s="432">
        <v>5198</v>
      </c>
      <c r="G22" s="433">
        <v>5592</v>
      </c>
      <c r="H22" s="432">
        <v>5867</v>
      </c>
      <c r="I22" s="433">
        <v>6203</v>
      </c>
      <c r="J22" s="432">
        <v>5919</v>
      </c>
      <c r="K22" s="433">
        <v>5989</v>
      </c>
      <c r="L22" s="432">
        <v>7222</v>
      </c>
      <c r="M22" s="433">
        <v>8035</v>
      </c>
      <c r="N22" s="432">
        <v>8487.2080000000005</v>
      </c>
      <c r="O22" s="433">
        <v>9163.023000000001</v>
      </c>
      <c r="P22" s="432">
        <v>8750.8269999999993</v>
      </c>
      <c r="Q22" s="433">
        <v>8779.7900000000009</v>
      </c>
    </row>
    <row r="23" spans="1:21" ht="9.9499999999999993" customHeight="1">
      <c r="A23" s="420">
        <v>14</v>
      </c>
      <c r="B23" s="421" t="s">
        <v>299</v>
      </c>
      <c r="C23" s="513">
        <v>12970</v>
      </c>
      <c r="D23" s="512">
        <v>11031</v>
      </c>
      <c r="E23" s="513">
        <v>10375</v>
      </c>
      <c r="F23" s="512">
        <v>12607</v>
      </c>
      <c r="G23" s="513">
        <v>13189</v>
      </c>
      <c r="H23" s="512">
        <v>11866</v>
      </c>
      <c r="I23" s="513">
        <v>12893</v>
      </c>
      <c r="J23" s="512">
        <v>13858</v>
      </c>
      <c r="K23" s="513">
        <v>16686</v>
      </c>
      <c r="L23" s="512">
        <v>13766</v>
      </c>
      <c r="M23" s="513">
        <v>15829</v>
      </c>
      <c r="N23" s="512">
        <v>16371</v>
      </c>
      <c r="O23" s="513">
        <v>19058.544999999998</v>
      </c>
      <c r="P23" s="512">
        <v>18785.273000000001</v>
      </c>
      <c r="Q23" s="513">
        <v>18994.505000000001</v>
      </c>
    </row>
    <row r="24" spans="1:21" ht="9.9499999999999993" customHeight="1">
      <c r="A24" s="422">
        <v>15</v>
      </c>
      <c r="B24" s="419" t="s">
        <v>300</v>
      </c>
      <c r="C24" s="433">
        <v>48387</v>
      </c>
      <c r="D24" s="432">
        <v>48048</v>
      </c>
      <c r="E24" s="433">
        <v>48915</v>
      </c>
      <c r="F24" s="432">
        <v>52602</v>
      </c>
      <c r="G24" s="433">
        <v>54491</v>
      </c>
      <c r="H24" s="432">
        <v>54502</v>
      </c>
      <c r="I24" s="433">
        <v>56475</v>
      </c>
      <c r="J24" s="432">
        <v>57895</v>
      </c>
      <c r="K24" s="433">
        <v>62131</v>
      </c>
      <c r="L24" s="432">
        <v>61690.8</v>
      </c>
      <c r="M24" s="433">
        <v>67669.865999999995</v>
      </c>
      <c r="N24" s="432">
        <v>72096.48500000003</v>
      </c>
      <c r="O24" s="433">
        <v>76756.014550000007</v>
      </c>
      <c r="P24" s="432">
        <v>76944.339199999988</v>
      </c>
      <c r="Q24" s="433">
        <v>78776.262199999997</v>
      </c>
    </row>
    <row r="25" spans="1:21" ht="9.9499999999999993" customHeight="1">
      <c r="A25" s="418">
        <v>16</v>
      </c>
      <c r="B25" s="419" t="s">
        <v>301</v>
      </c>
      <c r="C25" s="433">
        <v>601</v>
      </c>
      <c r="D25" s="432">
        <v>722</v>
      </c>
      <c r="E25" s="433">
        <v>776</v>
      </c>
      <c r="F25" s="432">
        <v>1018</v>
      </c>
      <c r="G25" s="433">
        <v>1420</v>
      </c>
      <c r="H25" s="432">
        <v>1971</v>
      </c>
      <c r="I25" s="433">
        <v>2235</v>
      </c>
      <c r="J25" s="432">
        <v>2486</v>
      </c>
      <c r="K25" s="433">
        <v>2641</v>
      </c>
      <c r="L25" s="432">
        <v>2828</v>
      </c>
      <c r="M25" s="433">
        <v>3149.1170000000002</v>
      </c>
      <c r="N25" s="432">
        <v>3198.5949999999998</v>
      </c>
      <c r="O25" s="433">
        <v>2967.6150000000007</v>
      </c>
      <c r="P25" s="432">
        <v>3258</v>
      </c>
      <c r="Q25" s="433">
        <v>3629</v>
      </c>
    </row>
    <row r="26" spans="1:21" ht="9.9499999999999993" customHeight="1">
      <c r="A26" s="418">
        <f>A25+1</f>
        <v>17</v>
      </c>
      <c r="B26" s="421" t="s">
        <v>23</v>
      </c>
      <c r="C26" s="513">
        <v>748</v>
      </c>
      <c r="D26" s="512">
        <v>-404</v>
      </c>
      <c r="E26" s="513">
        <v>-630</v>
      </c>
      <c r="F26" s="512">
        <v>-543</v>
      </c>
      <c r="G26" s="513">
        <v>-593</v>
      </c>
      <c r="H26" s="512">
        <v>-190</v>
      </c>
      <c r="I26" s="513">
        <v>-334</v>
      </c>
      <c r="J26" s="512">
        <v>-282</v>
      </c>
      <c r="K26" s="433">
        <v>-365</v>
      </c>
      <c r="L26" s="432">
        <v>-21</v>
      </c>
      <c r="M26" s="433">
        <v>-372</v>
      </c>
      <c r="N26" s="432">
        <v>-362.87799999999999</v>
      </c>
      <c r="O26" s="433">
        <v>-374.98899999999958</v>
      </c>
      <c r="P26" s="432">
        <v>-383.98899999999998</v>
      </c>
      <c r="Q26" s="433">
        <v>-388.98899999999958</v>
      </c>
    </row>
    <row r="27" spans="1:21" ht="9.9499999999999993" customHeight="1">
      <c r="A27" s="423">
        <f>A26+1</f>
        <v>18</v>
      </c>
      <c r="B27" s="424" t="s">
        <v>24</v>
      </c>
      <c r="C27" s="515">
        <v>49736</v>
      </c>
      <c r="D27" s="514">
        <v>48366</v>
      </c>
      <c r="E27" s="515">
        <v>49061</v>
      </c>
      <c r="F27" s="514">
        <v>53077</v>
      </c>
      <c r="G27" s="515">
        <v>55318</v>
      </c>
      <c r="H27" s="514">
        <v>56283</v>
      </c>
      <c r="I27" s="515">
        <v>58376</v>
      </c>
      <c r="J27" s="514">
        <v>60099</v>
      </c>
      <c r="K27" s="599">
        <v>64407</v>
      </c>
      <c r="L27" s="600">
        <v>64497.8</v>
      </c>
      <c r="M27" s="599">
        <v>70446.98</v>
      </c>
      <c r="N27" s="600">
        <v>74932.2</v>
      </c>
      <c r="O27" s="599">
        <v>79348.639999999999</v>
      </c>
      <c r="P27" s="600">
        <v>79818.350000000006</v>
      </c>
      <c r="Q27" s="599">
        <v>82016.273000000001</v>
      </c>
    </row>
    <row r="28" spans="1:21" s="425" customFormat="1" ht="9.9499999999999993" customHeight="1" thickBot="1">
      <c r="A28" s="426">
        <f>A27+1</f>
        <v>19</v>
      </c>
      <c r="B28" s="427" t="s">
        <v>36</v>
      </c>
      <c r="C28" s="518">
        <v>-302</v>
      </c>
      <c r="D28" s="517">
        <v>1115</v>
      </c>
      <c r="E28" s="518">
        <v>-6442</v>
      </c>
      <c r="F28" s="517">
        <v>-10784</v>
      </c>
      <c r="G28" s="518">
        <v>-8023</v>
      </c>
      <c r="H28" s="517">
        <v>-6711</v>
      </c>
      <c r="I28" s="518">
        <v>-12152</v>
      </c>
      <c r="J28" s="517">
        <v>-16962</v>
      </c>
      <c r="K28" s="518">
        <v>3915</v>
      </c>
      <c r="L28" s="517">
        <v>11484.199999999997</v>
      </c>
      <c r="M28" s="518">
        <v>4284.8169999999955</v>
      </c>
      <c r="N28" s="517">
        <v>5759.5529999999999</v>
      </c>
      <c r="O28" s="518">
        <v>-5210.7430000000004</v>
      </c>
      <c r="P28" s="517">
        <v>-2428.136</v>
      </c>
      <c r="Q28" s="518">
        <v>-2046.8320000000001</v>
      </c>
      <c r="R28"/>
      <c r="S28" s="516"/>
      <c r="T28" s="516"/>
      <c r="U28" s="516"/>
    </row>
    <row r="29" spans="1:21" s="430" customFormat="1" ht="14.25" customHeight="1" thickBot="1">
      <c r="A29" s="428" t="s">
        <v>302</v>
      </c>
      <c r="B29" s="429"/>
      <c r="C29" s="520">
        <v>5770</v>
      </c>
      <c r="D29" s="519">
        <v>6181</v>
      </c>
      <c r="E29" s="520">
        <v>6558</v>
      </c>
      <c r="F29" s="519">
        <v>6578</v>
      </c>
      <c r="G29" s="520">
        <v>9021</v>
      </c>
      <c r="H29" s="519">
        <v>6057</v>
      </c>
      <c r="I29" s="520">
        <v>5545</v>
      </c>
      <c r="J29" s="519">
        <v>6896</v>
      </c>
      <c r="K29" s="520">
        <v>6622</v>
      </c>
      <c r="L29" s="519">
        <v>5633</v>
      </c>
      <c r="M29" s="520">
        <v>6299.72</v>
      </c>
      <c r="N29" s="519">
        <v>7664.5329999999994</v>
      </c>
      <c r="O29" s="520">
        <v>8639.27</v>
      </c>
      <c r="P29" s="519">
        <v>8676.130000000001</v>
      </c>
      <c r="Q29" s="520">
        <v>8831.3950000000023</v>
      </c>
      <c r="R29"/>
      <c r="S29" s="521"/>
      <c r="T29" s="521"/>
      <c r="U29" s="521"/>
    </row>
    <row r="30" spans="1:21" ht="18" customHeight="1">
      <c r="A30" s="431" t="s">
        <v>303</v>
      </c>
      <c r="B30" s="419"/>
      <c r="C30" s="448"/>
      <c r="D30" s="448"/>
      <c r="E30" s="448"/>
      <c r="F30" s="432"/>
      <c r="G30" s="448"/>
      <c r="H30" s="432"/>
      <c r="I30" s="448"/>
      <c r="J30" s="448"/>
      <c r="K30" s="448"/>
      <c r="L30" s="432"/>
      <c r="M30" s="433"/>
      <c r="N30" s="448"/>
      <c r="O30" s="433"/>
      <c r="Q30" s="433"/>
    </row>
    <row r="31" spans="1:21" ht="10.5" customHeight="1">
      <c r="A31" s="418">
        <f>A28+1</f>
        <v>20</v>
      </c>
      <c r="B31" s="419" t="s">
        <v>304</v>
      </c>
      <c r="C31" s="433">
        <v>18562</v>
      </c>
      <c r="D31" s="432">
        <v>18860</v>
      </c>
      <c r="E31" s="433">
        <v>19262</v>
      </c>
      <c r="F31" s="432">
        <v>19836</v>
      </c>
      <c r="G31" s="433">
        <v>20306</v>
      </c>
      <c r="H31" s="432">
        <v>20700</v>
      </c>
      <c r="I31" s="433">
        <v>20670</v>
      </c>
      <c r="J31" s="432">
        <v>21090</v>
      </c>
      <c r="K31" s="433">
        <v>22176</v>
      </c>
      <c r="L31" s="432">
        <v>23920</v>
      </c>
      <c r="M31" s="433">
        <v>25821</v>
      </c>
      <c r="N31" s="432">
        <v>29022.626</v>
      </c>
      <c r="O31" s="433">
        <v>30232.410000000003</v>
      </c>
      <c r="P31" s="432">
        <v>31712.02</v>
      </c>
      <c r="Q31" s="433">
        <v>33469.853999999999</v>
      </c>
    </row>
    <row r="32" spans="1:21" ht="10.5" customHeight="1">
      <c r="A32" s="418">
        <f>A31+1</f>
        <v>21</v>
      </c>
      <c r="B32" s="419" t="s">
        <v>305</v>
      </c>
      <c r="C32" s="433">
        <v>4658</v>
      </c>
      <c r="D32" s="432">
        <v>6529</v>
      </c>
      <c r="E32" s="433">
        <v>3625</v>
      </c>
      <c r="F32" s="432">
        <v>2299</v>
      </c>
      <c r="G32" s="433">
        <v>1661</v>
      </c>
      <c r="H32" s="432">
        <v>6342</v>
      </c>
      <c r="I32" s="433">
        <v>0</v>
      </c>
      <c r="J32" s="432">
        <v>0</v>
      </c>
      <c r="K32" s="433">
        <v>0</v>
      </c>
      <c r="L32" s="432">
        <v>0</v>
      </c>
      <c r="M32" s="433">
        <v>0</v>
      </c>
      <c r="N32" s="432">
        <v>0</v>
      </c>
      <c r="O32" s="433">
        <v>0</v>
      </c>
      <c r="P32" s="432">
        <v>0</v>
      </c>
      <c r="Q32" s="433">
        <v>0</v>
      </c>
    </row>
    <row r="33" spans="1:22" ht="9.9499999999999993" customHeight="1">
      <c r="A33" s="418">
        <f t="shared" ref="A33:A40" si="13">A32+1</f>
        <v>22</v>
      </c>
      <c r="B33" s="421" t="s">
        <v>306</v>
      </c>
      <c r="C33" s="513">
        <v>40039</v>
      </c>
      <c r="D33" s="512">
        <v>40688</v>
      </c>
      <c r="E33" s="513">
        <v>40990</v>
      </c>
      <c r="F33" s="512">
        <v>44152</v>
      </c>
      <c r="G33" s="513">
        <v>49010</v>
      </c>
      <c r="H33" s="512">
        <v>48701</v>
      </c>
      <c r="I33" s="513">
        <v>55711</v>
      </c>
      <c r="J33" s="512">
        <v>56996</v>
      </c>
      <c r="K33" s="513">
        <v>55950</v>
      </c>
      <c r="L33" s="512">
        <v>55570</v>
      </c>
      <c r="M33" s="513">
        <v>61068</v>
      </c>
      <c r="N33" s="512">
        <v>62001.074999999997</v>
      </c>
      <c r="O33" s="513">
        <v>54119.395999999993</v>
      </c>
      <c r="P33" s="512">
        <v>53869.152999999991</v>
      </c>
      <c r="Q33" s="513">
        <v>58653.708000000006</v>
      </c>
    </row>
    <row r="34" spans="1:22" ht="12" customHeight="1">
      <c r="A34" s="418">
        <f t="shared" si="13"/>
        <v>23</v>
      </c>
      <c r="B34" s="419" t="s">
        <v>307</v>
      </c>
      <c r="C34" s="433">
        <v>-8724</v>
      </c>
      <c r="D34" s="432">
        <v>-11922</v>
      </c>
      <c r="E34" s="433">
        <v>-19040</v>
      </c>
      <c r="F34" s="432">
        <v>-23769</v>
      </c>
      <c r="G34" s="433">
        <v>-29339</v>
      </c>
      <c r="H34" s="432">
        <v>-33597</v>
      </c>
      <c r="I34" s="433">
        <v>-37188</v>
      </c>
      <c r="J34" s="432">
        <v>-42733</v>
      </c>
      <c r="K34" s="433">
        <v>-47529</v>
      </c>
      <c r="L34" s="432">
        <v>-45525</v>
      </c>
      <c r="M34" s="433">
        <v>-47594</v>
      </c>
      <c r="N34" s="432">
        <v>-47506.127</v>
      </c>
      <c r="O34" s="433">
        <v>-44818.780999999995</v>
      </c>
      <c r="P34" s="432">
        <v>-52208.932000000001</v>
      </c>
      <c r="Q34" s="433">
        <v>-60466.438999999998</v>
      </c>
    </row>
    <row r="35" spans="1:22" ht="13.5" customHeight="1">
      <c r="A35" s="418">
        <f t="shared" si="13"/>
        <v>24</v>
      </c>
      <c r="B35" s="419" t="s">
        <v>347</v>
      </c>
      <c r="C35" s="433">
        <v>-1333</v>
      </c>
      <c r="D35" s="432">
        <v>-1053</v>
      </c>
      <c r="E35" s="433">
        <v>-1024</v>
      </c>
      <c r="F35" s="432">
        <v>-10751</v>
      </c>
      <c r="G35" s="433">
        <v>-19227</v>
      </c>
      <c r="H35" s="432">
        <v>-29060</v>
      </c>
      <c r="I35" s="433">
        <v>-36954</v>
      </c>
      <c r="J35" s="432">
        <v>-50303</v>
      </c>
      <c r="K35" s="433">
        <v>-45595</v>
      </c>
      <c r="L35" s="432">
        <v>-33763</v>
      </c>
      <c r="M35" s="433">
        <v>-34241</v>
      </c>
      <c r="N35" s="432">
        <v>-37936</v>
      </c>
      <c r="O35" s="433">
        <v>-37937</v>
      </c>
      <c r="P35" s="432">
        <v>-37938</v>
      </c>
      <c r="Q35" s="433">
        <v>-37939</v>
      </c>
    </row>
    <row r="36" spans="1:22" ht="10.5" customHeight="1">
      <c r="A36" s="418">
        <f>A35+1</f>
        <v>25</v>
      </c>
      <c r="B36" s="419" t="s">
        <v>308</v>
      </c>
      <c r="C36" s="433">
        <v>-15775</v>
      </c>
      <c r="D36" s="432">
        <v>-16592</v>
      </c>
      <c r="E36" s="433">
        <v>-17373</v>
      </c>
      <c r="F36" s="432">
        <v>-17822</v>
      </c>
      <c r="G36" s="433">
        <v>-17848</v>
      </c>
      <c r="H36" s="432">
        <v>-18134</v>
      </c>
      <c r="I36" s="433">
        <v>-18066</v>
      </c>
      <c r="J36" s="432">
        <v>-18389</v>
      </c>
      <c r="K36" s="433">
        <v>-17028</v>
      </c>
      <c r="L36" s="432">
        <v>-17596</v>
      </c>
      <c r="M36" s="433">
        <v>-17715</v>
      </c>
      <c r="N36" s="432">
        <v>-18086</v>
      </c>
      <c r="O36" s="433">
        <v>-19054</v>
      </c>
      <c r="P36" s="432">
        <v>-19910</v>
      </c>
      <c r="Q36" s="433">
        <v>-20529</v>
      </c>
    </row>
    <row r="37" spans="1:22" ht="12.75" customHeight="1">
      <c r="A37" s="418">
        <f>A36+1</f>
        <v>26</v>
      </c>
      <c r="B37" s="434" t="s">
        <v>313</v>
      </c>
      <c r="C37" s="436">
        <v>-25832</v>
      </c>
      <c r="D37" s="435">
        <v>-29567</v>
      </c>
      <c r="E37" s="436">
        <v>-37437</v>
      </c>
      <c r="F37" s="435">
        <v>-52342</v>
      </c>
      <c r="G37" s="436">
        <v>-66414</v>
      </c>
      <c r="H37" s="435">
        <v>-80791</v>
      </c>
      <c r="I37" s="436">
        <v>-92208</v>
      </c>
      <c r="J37" s="435">
        <v>-111425</v>
      </c>
      <c r="K37" s="436">
        <v>-110152</v>
      </c>
      <c r="L37" s="435">
        <v>-96884</v>
      </c>
      <c r="M37" s="436">
        <v>-99550</v>
      </c>
      <c r="N37" s="435">
        <v>-103528.12700000001</v>
      </c>
      <c r="O37" s="436">
        <v>-101809.78099999999</v>
      </c>
      <c r="P37" s="435">
        <v>-110056.932</v>
      </c>
      <c r="Q37" s="436">
        <v>-118934.439</v>
      </c>
    </row>
    <row r="38" spans="1:22">
      <c r="A38" s="418">
        <f>A37+1</f>
        <v>27</v>
      </c>
      <c r="B38" s="419" t="s">
        <v>79</v>
      </c>
      <c r="C38" s="433">
        <v>-11600</v>
      </c>
      <c r="D38" s="432">
        <v>-11196</v>
      </c>
      <c r="E38" s="433">
        <v>-10566</v>
      </c>
      <c r="F38" s="432">
        <v>-10023</v>
      </c>
      <c r="G38" s="433">
        <v>-9430</v>
      </c>
      <c r="H38" s="432">
        <v>-9240</v>
      </c>
      <c r="I38" s="433">
        <v>-8918</v>
      </c>
      <c r="J38" s="432">
        <v>-8636</v>
      </c>
      <c r="K38" s="433">
        <v>-8287</v>
      </c>
      <c r="L38" s="601">
        <v>-8272</v>
      </c>
      <c r="M38" s="602">
        <v>-7904</v>
      </c>
      <c r="N38" s="601">
        <v>-7541</v>
      </c>
      <c r="O38" s="602">
        <v>-7166.0110000000004</v>
      </c>
      <c r="P38" s="601">
        <v>-6782.0220000000008</v>
      </c>
      <c r="Q38" s="602">
        <v>-6393.0330000000004</v>
      </c>
    </row>
    <row r="39" spans="1:22" ht="9.9499999999999993" customHeight="1">
      <c r="A39" s="418">
        <f t="shared" si="13"/>
        <v>28</v>
      </c>
      <c r="B39" s="421" t="s">
        <v>309</v>
      </c>
      <c r="C39" s="513">
        <v>-12795</v>
      </c>
      <c r="D39" s="512">
        <v>-12260</v>
      </c>
      <c r="E39" s="513">
        <v>-11955</v>
      </c>
      <c r="F39" s="512">
        <v>-12823</v>
      </c>
      <c r="G39" s="513">
        <v>-14477</v>
      </c>
      <c r="H39" s="512">
        <v>-13189</v>
      </c>
      <c r="I39" s="513">
        <v>-15399</v>
      </c>
      <c r="J39" s="512">
        <v>-17553</v>
      </c>
      <c r="K39" s="513">
        <v>18680</v>
      </c>
      <c r="L39" s="603">
        <v>-19948</v>
      </c>
      <c r="M39" s="604">
        <v>-20799</v>
      </c>
      <c r="N39" s="603">
        <v>-16528.53</v>
      </c>
      <c r="O39" s="604">
        <v>-18424.073</v>
      </c>
      <c r="P39" s="603">
        <v>-15196.667000000001</v>
      </c>
      <c r="Q39" s="604">
        <v>-16713.074000000001</v>
      </c>
    </row>
    <row r="40" spans="1:22">
      <c r="A40" s="641">
        <f t="shared" si="13"/>
        <v>29</v>
      </c>
      <c r="B40" s="437" t="s">
        <v>310</v>
      </c>
      <c r="C40" s="436">
        <v>13032</v>
      </c>
      <c r="D40" s="435">
        <v>13054</v>
      </c>
      <c r="E40" s="436">
        <v>3919</v>
      </c>
      <c r="F40" s="435">
        <v>-8901</v>
      </c>
      <c r="G40" s="436">
        <v>-19344</v>
      </c>
      <c r="H40" s="435">
        <v>-27477</v>
      </c>
      <c r="I40" s="436">
        <v>-40144</v>
      </c>
      <c r="J40" s="435">
        <v>-59528</v>
      </c>
      <c r="K40" s="436">
        <v>-58993</v>
      </c>
      <c r="L40" s="435">
        <v>-45614</v>
      </c>
      <c r="M40" s="436">
        <v>-41364</v>
      </c>
      <c r="N40" s="435">
        <v>-36573.955999999998</v>
      </c>
      <c r="O40" s="436">
        <v>-43048.058999999994</v>
      </c>
      <c r="P40" s="435">
        <v>-46454.448000000004</v>
      </c>
      <c r="Q40" s="604">
        <v>-49916.983999999997</v>
      </c>
    </row>
    <row r="41" spans="1:22" ht="14.25" thickBot="1">
      <c r="A41" s="426">
        <f>A40+1</f>
        <v>30</v>
      </c>
      <c r="B41" s="427" t="s">
        <v>348</v>
      </c>
      <c r="C41" s="636">
        <v>40839</v>
      </c>
      <c r="D41" s="637">
        <v>42197</v>
      </c>
      <c r="E41" s="636">
        <v>44623</v>
      </c>
      <c r="F41" s="637">
        <v>46622</v>
      </c>
      <c r="G41" s="636">
        <v>49015</v>
      </c>
      <c r="H41" s="637">
        <v>50744</v>
      </c>
      <c r="I41" s="636">
        <v>51570</v>
      </c>
      <c r="J41" s="637">
        <v>53767</v>
      </c>
      <c r="K41" s="636">
        <v>55745</v>
      </c>
      <c r="L41" s="637">
        <v>56928</v>
      </c>
      <c r="M41" s="636">
        <v>57550.71</v>
      </c>
      <c r="N41" s="637">
        <v>58521.05</v>
      </c>
      <c r="O41" s="636">
        <v>59784.11</v>
      </c>
      <c r="P41" s="637">
        <v>60762.68</v>
      </c>
      <c r="Q41" s="636">
        <v>62177.58</v>
      </c>
      <c r="R41" s="35"/>
      <c r="S41" s="35"/>
      <c r="T41" s="35"/>
      <c r="U41" s="35"/>
      <c r="V41" s="35"/>
    </row>
    <row r="42" spans="1:22" s="638" customFormat="1" ht="13.5" customHeight="1" thickBot="1">
      <c r="A42" s="426">
        <f>A41+1</f>
        <v>31</v>
      </c>
      <c r="B42" s="639" t="s">
        <v>314</v>
      </c>
      <c r="C42" s="520">
        <v>53871</v>
      </c>
      <c r="D42" s="640">
        <v>55251</v>
      </c>
      <c r="E42" s="520">
        <v>48542</v>
      </c>
      <c r="F42" s="640">
        <v>37721</v>
      </c>
      <c r="G42" s="520">
        <v>29671</v>
      </c>
      <c r="H42" s="640">
        <v>23267</v>
      </c>
      <c r="I42" s="520">
        <v>11426</v>
      </c>
      <c r="J42" s="640">
        <v>-5761</v>
      </c>
      <c r="K42" s="520">
        <v>-3248</v>
      </c>
      <c r="L42" s="640">
        <v>11314</v>
      </c>
      <c r="M42" s="520">
        <v>16186.71</v>
      </c>
      <c r="N42" s="640">
        <v>21947.1</v>
      </c>
      <c r="O42" s="520">
        <v>16736.05</v>
      </c>
      <c r="P42" s="640">
        <v>14308.23</v>
      </c>
      <c r="Q42" s="520">
        <v>12260.6</v>
      </c>
      <c r="R42" s="35"/>
      <c r="S42" s="35"/>
      <c r="T42" s="35"/>
      <c r="U42" s="35"/>
      <c r="V42" s="35"/>
    </row>
    <row r="43" spans="1:22" ht="18" customHeight="1">
      <c r="A43" s="431" t="s">
        <v>315</v>
      </c>
      <c r="B43" s="412"/>
      <c r="C43" s="448"/>
    </row>
    <row r="44" spans="1:22">
      <c r="A44" s="418">
        <f>A42+1</f>
        <v>32</v>
      </c>
      <c r="B44" s="419" t="s">
        <v>316</v>
      </c>
      <c r="C44" s="523">
        <v>99.05</v>
      </c>
      <c r="D44" s="522">
        <v>80.48</v>
      </c>
      <c r="E44" s="523">
        <v>45</v>
      </c>
      <c r="F44" s="522">
        <v>47.93</v>
      </c>
      <c r="G44" s="523">
        <v>53.69</v>
      </c>
      <c r="H44" s="522">
        <v>62.77</v>
      </c>
      <c r="I44" s="523">
        <v>54.85</v>
      </c>
      <c r="J44" s="522">
        <v>42.32</v>
      </c>
      <c r="K44" s="523">
        <v>77.03</v>
      </c>
      <c r="L44" s="522">
        <v>89.69</v>
      </c>
      <c r="M44" s="523">
        <v>77.83</v>
      </c>
      <c r="N44" s="535">
        <v>74</v>
      </c>
      <c r="O44" s="523">
        <v>68</v>
      </c>
      <c r="P44" s="535">
        <v>71</v>
      </c>
      <c r="Q44" s="523">
        <v>71.5</v>
      </c>
    </row>
    <row r="45" spans="1:22">
      <c r="A45" s="418">
        <f>A44+1</f>
        <v>33</v>
      </c>
      <c r="B45" s="419" t="s">
        <v>317</v>
      </c>
      <c r="C45" s="523">
        <v>80.11</v>
      </c>
      <c r="D45" s="522">
        <v>70.78</v>
      </c>
      <c r="E45" s="523">
        <v>40.86</v>
      </c>
      <c r="F45" s="522">
        <v>44.67</v>
      </c>
      <c r="G45" s="523">
        <v>50.38</v>
      </c>
      <c r="H45" s="522">
        <v>51.65</v>
      </c>
      <c r="I45" s="523">
        <v>53.14</v>
      </c>
      <c r="J45" s="522">
        <v>41.42</v>
      </c>
      <c r="K45" s="523">
        <v>79.63</v>
      </c>
      <c r="L45" s="522">
        <v>90.62</v>
      </c>
      <c r="M45" s="523">
        <v>81.67</v>
      </c>
      <c r="N45" s="535">
        <v>84.7</v>
      </c>
      <c r="O45" s="523">
        <v>73.099999999999994</v>
      </c>
      <c r="P45" s="535">
        <v>75.8</v>
      </c>
      <c r="Q45" s="523">
        <v>75.8</v>
      </c>
    </row>
    <row r="46" spans="1:22">
      <c r="A46" s="418">
        <f t="shared" ref="A46:A47" si="14">A45+1</f>
        <v>34</v>
      </c>
      <c r="B46" s="419" t="s">
        <v>318</v>
      </c>
      <c r="C46" s="523">
        <v>3.28</v>
      </c>
      <c r="D46" s="522">
        <v>3.51</v>
      </c>
      <c r="E46" s="523">
        <v>2.21</v>
      </c>
      <c r="F46" s="522">
        <v>2.0099999999999998</v>
      </c>
      <c r="G46" s="523">
        <v>1.82</v>
      </c>
      <c r="H46" s="522">
        <v>1.34</v>
      </c>
      <c r="I46" s="523">
        <v>1.39</v>
      </c>
      <c r="J46" s="522">
        <v>2.1</v>
      </c>
      <c r="K46" s="523">
        <v>3.48</v>
      </c>
      <c r="L46" s="522">
        <v>4.63</v>
      </c>
      <c r="M46" s="523">
        <v>2.0699999999999998</v>
      </c>
      <c r="N46" s="535">
        <v>1.2</v>
      </c>
      <c r="O46" s="523">
        <v>2.5</v>
      </c>
      <c r="P46" s="535">
        <v>3.1</v>
      </c>
      <c r="Q46" s="523">
        <v>2.9</v>
      </c>
    </row>
    <row r="47" spans="1:22" ht="14.25" thickBot="1">
      <c r="A47" s="438">
        <f t="shared" si="14"/>
        <v>35</v>
      </c>
      <c r="B47" s="629" t="s">
        <v>319</v>
      </c>
      <c r="C47" s="525">
        <v>95</v>
      </c>
      <c r="D47" s="524">
        <v>88</v>
      </c>
      <c r="E47" s="525">
        <v>76.5</v>
      </c>
      <c r="F47" s="524">
        <v>76.2</v>
      </c>
      <c r="G47" s="525">
        <v>78</v>
      </c>
      <c r="H47" s="524">
        <v>76.3</v>
      </c>
      <c r="I47" s="525">
        <v>75.2</v>
      </c>
      <c r="J47" s="524">
        <v>75.7</v>
      </c>
      <c r="K47" s="525">
        <v>79.8</v>
      </c>
      <c r="L47" s="524">
        <v>75.599999999999994</v>
      </c>
      <c r="M47" s="525">
        <v>74.2</v>
      </c>
      <c r="N47" s="536">
        <v>71.7</v>
      </c>
      <c r="O47" s="525">
        <v>69.599999999999994</v>
      </c>
      <c r="P47" s="536">
        <v>71.900000000000006</v>
      </c>
      <c r="Q47" s="525">
        <v>73.8</v>
      </c>
    </row>
    <row r="48" spans="1:22" ht="3.75" customHeight="1">
      <c r="A48" s="418"/>
      <c r="C48" s="432"/>
      <c r="D48" s="432"/>
      <c r="E48" s="432"/>
      <c r="F48" s="432"/>
      <c r="G48" s="432"/>
      <c r="H48" s="432"/>
      <c r="I48" s="432"/>
      <c r="J48" s="432"/>
    </row>
  </sheetData>
  <pageMargins left="0.7" right="0.7" top="0.75" bottom="0.75" header="0.3" footer="0.3"/>
  <pageSetup scale="99" orientation="landscape" r:id="rId1"/>
  <headerFooter alignWithMargins="0">
    <oddFooter>&amp;L_x000D_&amp;1#&amp;"Calibri"&amp;11&amp;K000000 Classification: Public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"/>
  <sheetViews>
    <sheetView workbookViewId="0">
      <selection activeCell="P37" sqref="P37"/>
    </sheetView>
  </sheetViews>
  <sheetFormatPr defaultColWidth="8.5703125" defaultRowHeight="12"/>
  <sheetData/>
  <pageMargins left="0.7" right="0.7" top="0.75" bottom="0.75" header="0.3" footer="0.3"/>
  <pageSetup orientation="portrait" r:id="rId1"/>
  <headerFooter>
    <oddFooter>&amp;L_x000D_&amp;1#&amp;"Calibri"&amp;11&amp;K000000 Classification: Public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J17"/>
  <sheetViews>
    <sheetView workbookViewId="0">
      <selection activeCell="F30" sqref="F30"/>
    </sheetView>
  </sheetViews>
  <sheetFormatPr defaultColWidth="9" defaultRowHeight="11.25"/>
  <cols>
    <col min="1" max="1" width="32.42578125" style="39" bestFit="1" customWidth="1"/>
    <col min="2" max="8" width="9" style="258"/>
    <col min="9" max="16384" width="9" style="39"/>
  </cols>
  <sheetData>
    <row r="1" spans="1:10" s="472" customFormat="1" ht="15.75">
      <c r="A1" s="482" t="s">
        <v>401</v>
      </c>
      <c r="B1" s="484"/>
      <c r="C1" s="484"/>
      <c r="D1" s="484"/>
      <c r="E1" s="484"/>
      <c r="F1" s="471"/>
      <c r="G1" s="471"/>
      <c r="H1" s="471"/>
    </row>
    <row r="2" spans="1:10">
      <c r="A2" s="483" t="s">
        <v>1</v>
      </c>
      <c r="B2" s="479"/>
      <c r="C2" s="479"/>
      <c r="D2" s="479"/>
      <c r="E2" s="479"/>
    </row>
    <row r="3" spans="1:10">
      <c r="A3" s="483"/>
      <c r="B3" s="66"/>
      <c r="C3" s="66"/>
      <c r="D3" s="66"/>
      <c r="E3" s="66"/>
    </row>
    <row r="4" spans="1:10" ht="20.25" customHeight="1">
      <c r="A4" s="473"/>
      <c r="B4" s="485" t="s">
        <v>285</v>
      </c>
      <c r="C4" s="486" t="s">
        <v>325</v>
      </c>
      <c r="D4" s="485" t="s">
        <v>364</v>
      </c>
      <c r="E4" s="485" t="s">
        <v>365</v>
      </c>
    </row>
    <row r="5" spans="1:10" s="164" customFormat="1" ht="13.5" customHeight="1">
      <c r="A5" s="492" t="s">
        <v>408</v>
      </c>
      <c r="B5" s="478">
        <v>0</v>
      </c>
      <c r="C5" s="45">
        <f>B15</f>
        <v>1083.5820000000001</v>
      </c>
      <c r="D5" s="478">
        <f t="shared" ref="D5:E5" si="0">C15</f>
        <v>0</v>
      </c>
      <c r="E5" s="478">
        <f t="shared" si="0"/>
        <v>0</v>
      </c>
      <c r="F5" s="163"/>
      <c r="G5" s="165"/>
      <c r="H5" s="166"/>
      <c r="I5" s="35"/>
      <c r="J5"/>
    </row>
    <row r="6" spans="1:10">
      <c r="A6" s="451"/>
      <c r="B6" s="479"/>
      <c r="C6" s="45"/>
      <c r="D6" s="479"/>
      <c r="E6" s="479"/>
    </row>
    <row r="7" spans="1:10">
      <c r="A7" s="333" t="s">
        <v>409</v>
      </c>
      <c r="B7" s="487">
        <f>-'Sch 1 Cons Fisc Summ'!E42</f>
        <v>1083.5820000000001</v>
      </c>
      <c r="C7" s="186">
        <v>0</v>
      </c>
      <c r="D7" s="479">
        <v>0</v>
      </c>
      <c r="E7" s="479">
        <v>0</v>
      </c>
    </row>
    <row r="8" spans="1:10">
      <c r="A8" s="333" t="s">
        <v>410</v>
      </c>
      <c r="B8" s="488">
        <f>SUM(B5:B7)</f>
        <v>1083.5820000000001</v>
      </c>
      <c r="C8" s="178">
        <f>SUM(C5:C7)</f>
        <v>1083.5820000000001</v>
      </c>
      <c r="D8" s="488">
        <f>SUM(D5:D7)</f>
        <v>0</v>
      </c>
      <c r="E8" s="488">
        <f>SUM(E5:E7)</f>
        <v>0</v>
      </c>
    </row>
    <row r="9" spans="1:10">
      <c r="A9" s="451"/>
      <c r="B9" s="479"/>
      <c r="C9" s="45"/>
      <c r="D9" s="479"/>
      <c r="E9" s="479"/>
    </row>
    <row r="10" spans="1:10">
      <c r="A10" s="481" t="s">
        <v>402</v>
      </c>
      <c r="B10" s="479"/>
      <c r="C10" s="45"/>
      <c r="D10" s="479"/>
      <c r="E10" s="479"/>
    </row>
    <row r="11" spans="1:10">
      <c r="A11" s="333" t="s">
        <v>411</v>
      </c>
      <c r="B11" s="487">
        <v>0</v>
      </c>
      <c r="C11" s="50">
        <v>2000</v>
      </c>
      <c r="D11" s="479">
        <v>0</v>
      </c>
      <c r="E11" s="479">
        <v>0</v>
      </c>
    </row>
    <row r="12" spans="1:10">
      <c r="A12" s="333" t="s">
        <v>422</v>
      </c>
      <c r="B12" s="487"/>
      <c r="C12" s="186">
        <f>C5-C11</f>
        <v>-916.41799999999989</v>
      </c>
      <c r="D12" s="479"/>
      <c r="E12" s="479"/>
    </row>
    <row r="13" spans="1:10">
      <c r="A13" s="333" t="s">
        <v>403</v>
      </c>
      <c r="B13" s="488">
        <f>SUM(B11:B11)</f>
        <v>0</v>
      </c>
      <c r="C13" s="178">
        <f>SUM(C11:C12)</f>
        <v>1083.5820000000001</v>
      </c>
      <c r="D13" s="480">
        <f>SUM(D11:D11)</f>
        <v>0</v>
      </c>
      <c r="E13" s="480">
        <f>SUM(E11:E11)</f>
        <v>0</v>
      </c>
    </row>
    <row r="14" spans="1:10">
      <c r="A14" s="451"/>
      <c r="B14" s="479"/>
      <c r="C14" s="45"/>
      <c r="D14" s="479"/>
      <c r="E14" s="479"/>
    </row>
    <row r="15" spans="1:10" s="251" customFormat="1" ht="12" thickBot="1">
      <c r="A15" s="481" t="s">
        <v>412</v>
      </c>
      <c r="B15" s="489">
        <f>B8-B13</f>
        <v>1083.5820000000001</v>
      </c>
      <c r="C15" s="491">
        <f>C8-C13</f>
        <v>0</v>
      </c>
      <c r="D15" s="489">
        <f>D8-D13</f>
        <v>0</v>
      </c>
      <c r="E15" s="489">
        <f>E8-E13</f>
        <v>0</v>
      </c>
      <c r="F15" s="474"/>
      <c r="G15" s="474"/>
      <c r="H15" s="474"/>
    </row>
    <row r="16" spans="1:10">
      <c r="A16" s="451"/>
      <c r="B16" s="479"/>
      <c r="C16" s="490"/>
      <c r="D16" s="479"/>
      <c r="E16" s="479"/>
    </row>
    <row r="17" spans="1:5">
      <c r="A17" s="451"/>
      <c r="B17" s="479"/>
      <c r="C17" s="490"/>
      <c r="D17" s="479"/>
      <c r="E17" s="479"/>
    </row>
  </sheetData>
  <pageMargins left="0.7" right="0.7" top="0.75" bottom="0.75" header="0.3" footer="0.3"/>
  <pageSetup orientation="portrait" r:id="rId1"/>
  <headerFooter>
    <oddFooter>&amp;L_x000D_&amp;1#&amp;"Calibri"&amp;11&amp;K000000 Classification: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C535A864CEC749945F8572806A0EF3" ma:contentTypeVersion="2" ma:contentTypeDescription="Create a new document." ma:contentTypeScope="" ma:versionID="69e52c865c9c6b5bc714b18e85c79e3a">
  <xsd:schema xmlns:xsd="http://www.w3.org/2001/XMLSchema" xmlns:xs="http://www.w3.org/2001/XMLSchema" xmlns:p="http://schemas.microsoft.com/office/2006/metadata/properties" xmlns:ns2="2f6daf8d-5922-44b6-a24d-ae26ebd46f47" targetNamespace="http://schemas.microsoft.com/office/2006/metadata/properties" ma:root="true" ma:fieldsID="4c1aea0efe857cd38a5174f264701069" ns2:_="">
    <xsd:import namespace="2f6daf8d-5922-44b6-a24d-ae26ebd46f4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daf8d-5922-44b6-a24d-ae26ebd46f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4CC4FE-FCF4-4FF2-A5B4-EC5622A982F4}">
  <ds:schemaRefs>
    <ds:schemaRef ds:uri="http://purl.org/dc/dcmitype/"/>
    <ds:schemaRef ds:uri="http://schemas.openxmlformats.org/package/2006/metadata/core-properties"/>
    <ds:schemaRef ds:uri="2f6daf8d-5922-44b6-a24d-ae26ebd46f47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528CF4B-9720-46F7-BD86-38F5D0CCB7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695EC-18F2-48E3-9D68-9452D2BA1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daf8d-5922-44b6-a24d-ae26ebd46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28</vt:i4>
      </vt:variant>
    </vt:vector>
  </HeadingPairs>
  <TitlesOfParts>
    <vt:vector size="60" baseType="lpstr">
      <vt:lpstr>Updates</vt:lpstr>
      <vt:lpstr>Cover</vt:lpstr>
      <vt:lpstr>Summary p1 st ops</vt:lpstr>
      <vt:lpstr>Summary p1 st finp</vt:lpstr>
      <vt:lpstr>Sch 1 Cons Fisc Summ</vt:lpstr>
      <vt:lpstr>Sch 2 Balance Sheet</vt:lpstr>
      <vt:lpstr>Sch 3 St of Ops</vt:lpstr>
      <vt:lpstr>Sch 4 Revenue</vt:lpstr>
      <vt:lpstr>Sch 5 Oper Exp</vt:lpstr>
      <vt:lpstr>Sch 6 Cap Amort</vt:lpstr>
      <vt:lpstr>Sch 7 Inv Consump</vt:lpstr>
      <vt:lpstr>Sch 8 Inv Acquis</vt:lpstr>
      <vt:lpstr>Sch 9 Debt Serv Costs</vt:lpstr>
      <vt:lpstr>Sch 10 Disaster-emerg</vt:lpstr>
      <vt:lpstr>Sch 11 Pension Liab</vt:lpstr>
      <vt:lpstr>Sch 12 Cash Adj</vt:lpstr>
      <vt:lpstr>Sch 13 Capital Plan</vt:lpstr>
      <vt:lpstr>Sch 14 Capital Grants</vt:lpstr>
      <vt:lpstr>Sch 15 Capital Invest</vt:lpstr>
      <vt:lpstr>Sch 16 Capital assets</vt:lpstr>
      <vt:lpstr>Sch 17 Capital Funding Source</vt:lpstr>
      <vt:lpstr>Sch 18 Annual Debt Maturities</vt:lpstr>
      <vt:lpstr>Sch 19 Borrowing Reqt</vt:lpstr>
      <vt:lpstr>Sch 20 Borrowing Sources</vt:lpstr>
      <vt:lpstr>Alloc Gaming Rev</vt:lpstr>
      <vt:lpstr>Sch 21 Changes to Fees</vt:lpstr>
      <vt:lpstr>Sch 22 FTEs</vt:lpstr>
      <vt:lpstr>Sch 23 Exp by Object</vt:lpstr>
      <vt:lpstr>Sch 24 Exp by Function</vt:lpstr>
      <vt:lpstr>Sch 25 Historical</vt:lpstr>
      <vt:lpstr>END</vt:lpstr>
      <vt:lpstr>Alberta Fund</vt:lpstr>
      <vt:lpstr>'Alloc Gaming Rev'!Print_Area</vt:lpstr>
      <vt:lpstr>'Sch 1 Cons Fisc Summ'!Print_Area</vt:lpstr>
      <vt:lpstr>'Sch 10 Disaster-emerg'!Print_Area</vt:lpstr>
      <vt:lpstr>'Sch 11 Pension Liab'!Print_Area</vt:lpstr>
      <vt:lpstr>'Sch 12 Cash Adj'!Print_Area</vt:lpstr>
      <vt:lpstr>'Sch 13 Capital Plan'!Print_Area</vt:lpstr>
      <vt:lpstr>'Sch 14 Capital Grants'!Print_Area</vt:lpstr>
      <vt:lpstr>'Sch 15 Capital Invest'!Print_Area</vt:lpstr>
      <vt:lpstr>'Sch 16 Capital assets'!Print_Area</vt:lpstr>
      <vt:lpstr>'Sch 17 Capital Funding Source'!Print_Area</vt:lpstr>
      <vt:lpstr>'Sch 18 Annual Debt Maturities'!Print_Area</vt:lpstr>
      <vt:lpstr>'Sch 19 Borrowing Reqt'!Print_Area</vt:lpstr>
      <vt:lpstr>'Sch 2 Balance Sheet'!Print_Area</vt:lpstr>
      <vt:lpstr>'Sch 20 Borrowing Sources'!Print_Area</vt:lpstr>
      <vt:lpstr>'Sch 21 Changes to Fees'!Print_Area</vt:lpstr>
      <vt:lpstr>'Sch 22 FTEs'!Print_Area</vt:lpstr>
      <vt:lpstr>'Sch 23 Exp by Object'!Print_Area</vt:lpstr>
      <vt:lpstr>'Sch 24 Exp by Function'!Print_Area</vt:lpstr>
      <vt:lpstr>'Sch 25 Historical'!Print_Area</vt:lpstr>
      <vt:lpstr>'Sch 3 St of Ops'!Print_Area</vt:lpstr>
      <vt:lpstr>'Sch 4 Revenue'!Print_Area</vt:lpstr>
      <vt:lpstr>'Sch 5 Oper Exp'!Print_Area</vt:lpstr>
      <vt:lpstr>'Sch 6 Cap Amort'!Print_Area</vt:lpstr>
      <vt:lpstr>'Sch 7 Inv Consump'!Print_Area</vt:lpstr>
      <vt:lpstr>'Sch 8 Inv Acquis'!Print_Area</vt:lpstr>
      <vt:lpstr>'Sch 9 Debt Serv Costs'!Print_Area</vt:lpstr>
      <vt:lpstr>'Summary p1 st finp'!Print_Area</vt:lpstr>
      <vt:lpstr>'Summary p1 st ops'!Print_Area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2025-28 Fiscal Plan – Tables – Data File (Alberta Budget 2025)</dc:title>
  <dc:creator>Government of Alberta</dc:creator>
  <cp:keywords>Security Classification: Public</cp:keywords>
  <cp:lastPrinted>2025-02-27T01:30:57Z</cp:lastPrinted>
  <dcterms:created xsi:type="dcterms:W3CDTF">2021-02-24T01:30:17Z</dcterms:created>
  <dcterms:modified xsi:type="dcterms:W3CDTF">2025-02-27T01:31:21Z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0x01010071C535A864CEC749945F8572806A0EF3</vt:lpwstr>
  </property>
  <property fmtid="{D5CDD505-2E9C-101B-9397-08002B2CF9AE}" pid="3" name="MSIP_Label_60c3ebf9-3c2f-4745-a75f-55836bdb736f_Enabled">
    <vt:lpwstr>true</vt:lpwstr>
  </property>
  <property fmtid="{D5CDD505-2E9C-101B-9397-08002B2CF9AE}" pid="4" name="MSIP_Label_60c3ebf9-3c2f-4745-a75f-55836bdb736f_SetDate">
    <vt:lpwstr>2025-02-27T01:27:48Z</vt:lpwstr>
  </property>
  <property fmtid="{D5CDD505-2E9C-101B-9397-08002B2CF9AE}" pid="5" name="MSIP_Label_60c3ebf9-3c2f-4745-a75f-55836bdb736f_Method">
    <vt:lpwstr>Privileged</vt:lpwstr>
  </property>
  <property fmtid="{D5CDD505-2E9C-101B-9397-08002B2CF9AE}" pid="6" name="MSIP_Label_60c3ebf9-3c2f-4745-a75f-55836bdb736f_Name">
    <vt:lpwstr>Public</vt:lpwstr>
  </property>
  <property fmtid="{D5CDD505-2E9C-101B-9397-08002B2CF9AE}" pid="7" name="MSIP_Label_60c3ebf9-3c2f-4745-a75f-55836bdb736f_SiteId">
    <vt:lpwstr>2bb51c06-af9b-42c5-8bf5-3c3b7b10850b</vt:lpwstr>
  </property>
  <property fmtid="{D5CDD505-2E9C-101B-9397-08002B2CF9AE}" pid="8" name="MSIP_Label_60c3ebf9-3c2f-4745-a75f-55836bdb736f_ActionId">
    <vt:lpwstr>49d57d69-8ea6-4798-ac2c-2265bd08af13</vt:lpwstr>
  </property>
  <property fmtid="{D5CDD505-2E9C-101B-9397-08002B2CF9AE}" pid="9" name="MSIP_Label_60c3ebf9-3c2f-4745-a75f-55836bdb736f_ContentBits">
    <vt:lpwstr>2</vt:lpwstr>
  </property>
</Properties>
</file>