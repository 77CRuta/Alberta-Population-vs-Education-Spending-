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GOA.ds.gov.ab.ca\APPS\InDesign\_Economics_Publications\Budget\2025-26_Economic-Outlook\SourceDocs\"/>
    </mc:Choice>
  </mc:AlternateContent>
  <xr:revisionPtr revIDLastSave="0" documentId="8_{05BC2DF6-6E9F-4EBD-BA62-CBF9FF659795}" xr6:coauthVersionLast="47" xr6:coauthVersionMax="47" xr10:uidLastSave="{00000000-0000-0000-0000-000000000000}"/>
  <bookViews>
    <workbookView xWindow="-120" yWindow="-120" windowWidth="29040" windowHeight="15720" xr2:uid="{6C421D48-C7BA-45B9-ACCB-95E20AC02908}"/>
  </bookViews>
  <sheets>
    <sheet name="Cover" sheetId="37" r:id="rId1"/>
    <sheet name="Key Assumptions" sheetId="20" r:id="rId2"/>
    <sheet name="1. AAX (monthly)" sheetId="1" r:id="rId3"/>
    <sheet name="2. Real GDP" sheetId="2" r:id="rId4"/>
    <sheet name="3. Global Growth(uncertainty)" sheetId="3" r:id="rId5"/>
    <sheet name="4. Policy Rates" sheetId="4" r:id="rId6"/>
    <sheet name="5. Exchange Rates" sheetId="5" r:id="rId7"/>
    <sheet name="6. Oil Prices" sheetId="6" r:id="rId8"/>
    <sheet name="7.US Oil Imports" sheetId="7" r:id="rId9"/>
    <sheet name="8. WCSWTI" sheetId="8" r:id="rId10"/>
    <sheet name="9. Oil Investment" sheetId="9" r:id="rId11"/>
    <sheet name="10. Manufacturing Exports" sheetId="10" r:id="rId12"/>
    <sheet name="11. Other Investment" sheetId="11" r:id="rId13"/>
    <sheet name="12. Corporate Profit" sheetId="12" r:id="rId14"/>
    <sheet name="13. Population" sheetId="13" r:id="rId15"/>
    <sheet name="14. Permits" sheetId="14" r:id="rId16"/>
    <sheet name="15. LMI" sheetId="15" r:id="rId17"/>
    <sheet name="16. CPI" sheetId="16" r:id="rId18"/>
    <sheet name="17. Per-Capita Consumption" sheetId="17" r:id="rId19"/>
    <sheet name="Scenarios" sheetId="21" r:id="rId20"/>
    <sheet name="B1. Oil" sheetId="22" r:id="rId21"/>
    <sheet name="B1. Oil Last Year" sheetId="35" r:id="rId22"/>
    <sheet name="B2. Oil Diff" sheetId="24" r:id="rId23"/>
    <sheet name="B3. Natural Gas" sheetId="23" r:id="rId24"/>
    <sheet name="B3. Natural Gas Last Year" sheetId="36" r:id="rId25"/>
    <sheet name="B4. FX Rate" sheetId="27" r:id="rId26"/>
    <sheet name="B5. Long Rates" sheetId="26" r:id="rId27"/>
    <sheet name="B6. Real RGP" sheetId="28" r:id="rId28"/>
    <sheet name="B7. Nominal GDP" sheetId="29" r:id="rId29"/>
    <sheet name="B8. Employment" sheetId="30" r:id="rId30"/>
    <sheet name="B9. Unemployment" sheetId="31" r:id="rId31"/>
    <sheet name="B10. Housing Starts" sheetId="32"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_" hidden="1">#REF!</definedName>
    <definedName name="__123Graph_A" hidden="1">[1]PYRAMID!$A$184:$A$263</definedName>
    <definedName name="__123Graph_AABDRILL" hidden="1">#REF!</definedName>
    <definedName name="__123Graph_AGRAPH1" hidden="1">[1]PYRAMID!$A$184:$A$263</definedName>
    <definedName name="__123Graph_AGRAPH2" hidden="1">[1]PYRAMID!$A$184:$A$263</definedName>
    <definedName name="__123Graph_AGRAPH3" hidden="1">[1]PYRAMID!$A$184:$A$263</definedName>
    <definedName name="__123Graph_BABDRILL" hidden="1">#REF!</definedName>
    <definedName name="__123Graph_X" hidden="1">[1]PYRAMID!$D$184:$D$263</definedName>
    <definedName name="__123Graph_XABDRILL" hidden="1">#REF!</definedName>
    <definedName name="__123Graph_XGRAPH1" hidden="1">[1]PYRAMID!$B$184:$B$263</definedName>
    <definedName name="__123Graph_XGRAPH2" hidden="1">[1]PYRAMID!$C$184:$C$263</definedName>
    <definedName name="__123Graph_XGRAPH3" hidden="1">[1]PYRAMID!$D$184:$D$263</definedName>
    <definedName name="_1__123Graph_ADRILLING_ACT" hidden="1">'[2]AEUB Ann. Wlls'!$E$38:$E$54</definedName>
    <definedName name="_2__123Graph_BCHART_1" hidden="1">#REF!</definedName>
    <definedName name="_3__123Graph_BDRILLING_ACT" hidden="1">'[2]AEUB Ann. Wlls'!$J$38:$J$54</definedName>
    <definedName name="_4__123Graph_CCHART_1" hidden="1">#REF!</definedName>
    <definedName name="_5__123Graph_ECHART_1" hidden="1">#REF!</definedName>
    <definedName name="_6__123Graph_FCHART_1" hidden="1">#REF!</definedName>
    <definedName name="_8__123Graph_XCHART_1" hidden="1">#REF!</definedName>
    <definedName name="_Key1" hidden="1">#REF!</definedName>
    <definedName name="_Key2" hidden="1">#REF!</definedName>
    <definedName name="_Order1" hidden="1">255</definedName>
    <definedName name="_Order2" hidden="1">255</definedName>
    <definedName name="_Sort" hidden="1">#REF!</definedName>
    <definedName name="a" hidden="1">#REF!</definedName>
    <definedName name="abc" hidden="1">#REF!</definedName>
    <definedName name="adsadrr" hidden="1">#REF!</definedName>
    <definedName name="asdrae" hidden="1">#REF!</definedName>
    <definedName name="BLPH90" hidden="1">[3]Data!$A$3</definedName>
    <definedName name="BLPH91" hidden="1">[3]Data!$D$3</definedName>
    <definedName name="BLPH92" hidden="1">[3]Data!$G$3</definedName>
    <definedName name="BLPH93" hidden="1">[3]Data!$J$3</definedName>
    <definedName name="cv" hidden="1">#REF!</definedName>
    <definedName name="D126757F_8C22_4332_AE16_6A56D0626CD4_2007_2008_2009_2010_ICE_ChartType" hidden="1">64</definedName>
    <definedName name="D126757F_8C22_4332_AE16_6A56D0626CD4_2007_2008_2009_2010_ICE_distributionSingle" hidden="1">FALSE</definedName>
    <definedName name="D126757F_8C22_4332_AE16_6A56D0626CD4_2007_2008_2009_2010_ICE_HorAxisGridlines" hidden="1">FALSE</definedName>
    <definedName name="D126757F_8C22_4332_AE16_6A56D0626CD4_2007_2008_2009_2010_ICE_VerAxisGridlines" hidden="1">FALSE</definedName>
    <definedName name="D126757F_8C22_4332_AE16_6A56D0626CD4_Days_Supply__QoMo__ChartType" hidden="1">1</definedName>
    <definedName name="D126757F_8C22_4332_AE16_6A56D0626CD4_Days_Supply__QoMo__distributionSingle" hidden="1">FALSE</definedName>
    <definedName name="D126757F_8C22_4332_AE16_6A56D0626CD4_Days_Supply__QoMo__HorAxisGridlines" hidden="1">FALSE</definedName>
    <definedName name="D126757F_8C22_4332_AE16_6A56D0626CD4_Days_Supply__QoMo__VerAxisGridlines" hidden="1">FALSE</definedName>
    <definedName name="D126757F_8C22_4332_AE16_6A56D0626CD4_Total_Stocks__QoMo__ChartType" hidden="1">1</definedName>
    <definedName name="D126757F_8C22_4332_AE16_6A56D0626CD4_Total_Stocks__QoMo__distributionSingle" hidden="1">FALSE</definedName>
    <definedName name="D126757F_8C22_4332_AE16_6A56D0626CD4_Total_Stocks__QoMo__HorAxisGridlines" hidden="1">FALSE</definedName>
    <definedName name="D126757F_8C22_4332_AE16_6A56D0626CD4_Total_Stocks__QoMo__VerAxisGridlines" hidden="1">FALSE</definedName>
    <definedName name="Date">'[4]Contacts, Cutoffs, and Data'!$B$1</definedName>
    <definedName name="Date2" localSheetId="31">'[5]Contacts, Cutoffs, and Data'!$B$2</definedName>
    <definedName name="Date2" localSheetId="27">'[6]Contacts, Cutoffs, and Data'!$B$2</definedName>
    <definedName name="Date2" localSheetId="28">'[6]Contacts, Cutoffs, and Data'!$B$2</definedName>
    <definedName name="Date2" localSheetId="29">'[5]Contacts, Cutoffs, and Data'!$B$2</definedName>
    <definedName name="Date2" localSheetId="30">'[5]Contacts, Cutoffs, and Data'!$B$2</definedName>
    <definedName name="fffff" hidden="1">#REF!</definedName>
    <definedName name="Graph"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Graph1"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Labour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10"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1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112"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12"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13"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14"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15"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2"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3"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4"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5"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6"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7"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8"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9"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Labourmkt2"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ngdppc" hidden="1">#REF!</definedName>
    <definedName name="NomGDPperCapita" hidden="1">#REF!</definedName>
    <definedName name="o" hidden="1">[7]Data!$J$3</definedName>
    <definedName name="ROH"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Se"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sen"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Sheet1_Chart_2_ChartType" hidden="1">64</definedName>
    <definedName name="shortterm.ema"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hortterm.ema_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hortterm.ema_1_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hortterm.ema_2"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hortterm.ema_2_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hortterm.ema_3"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hortterm.ema_3_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hortterm.ema_4"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hortterm.ema_5"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tema"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stemma2"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USoil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USoilprodn"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rn.Worcester._.Model._._._.Full." hidden="1">{"Title",#N/A,TRUE,"Title";"Assumptions",#N/A,TRUE,"Assumptions";"Cash Flow",#N/A,TRUE,"Cash Flow";"Profit and Loss",#N/A,TRUE,"Profit and Loss";"Balance Sheet",#N/A,TRUE,"Balance Sheet";"Operating Expenditure",#N/A,TRUE,"Operational Expenditure";"Preoperating Expenditure",#N/A,TRUE,"Pre-operating Expenditure";"Revenue",#N/A,TRUE,"Revenue";"Senior Debt",#N/A,TRUE,"Senior Debt";"Subordinated Debt",#N/A,TRUE,"Subordinated Debt";"Debt Service",#N/A,TRUE,"Debt Service";"Depreciation",#N/A,TRUE,"Depreciation charges";"Taxation",#N/A,TRUE,"Taxation";"Dividends",#N/A,TRUE,"Dividends";"Inputs",#N/A,TRUE,"Inputs"}</definedName>
    <definedName name="wvu.ejnorm."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vu.ejnorm._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vu.ejnorm._1_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vu.ejnorm._2"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vu.ejnorm._2_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vu.ejnorm._3"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vu.ejnorm._3_1"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vu.ejnorm._4"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 name="wvu.ejnorm._5" hidden="1">{TRUE,FALSE,-1.25,-15.5,484.5,277.5,FALSE,TRUE,TRUE,TRUE,0,1,#N/A,25,#N/A,8.94642857142857,34.75,1,FALSE,FALSE,3,FALSE,1,FALSE,100,"Swvu.ejnorm.","ACwvu.ejnorm.",#N/A,FALSE,FALSE,0,0,0.196850393700787,0.196850393700787,2,"&amp;lINTERIM &amp;d &amp;t","",TRUE,TRUE,FALSE,FALSE,1,100,#N/A,#N/A,"=R1C1:R69C16",FALSE,FALSE,FALSE,FALSE,FALSE,FALSE,1,#N/A,#N/A,FALSE,FALSE,TRUE,TRUE,FALSE}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0" l="1"/>
  <c r="E5" i="10"/>
  <c r="E4" i="10"/>
  <c r="E17" i="32" l="1"/>
  <c r="D17" i="32"/>
  <c r="C17" i="32"/>
  <c r="B17" i="32"/>
  <c r="E16" i="32"/>
  <c r="D16" i="32"/>
  <c r="C16" i="32"/>
  <c r="B16" i="32"/>
  <c r="E15" i="32"/>
  <c r="D15" i="32"/>
  <c r="C15" i="32"/>
  <c r="B15" i="32"/>
  <c r="E17" i="31"/>
  <c r="D17" i="31"/>
  <c r="C17" i="31"/>
  <c r="B17" i="31"/>
  <c r="E16" i="31"/>
  <c r="D16" i="31"/>
  <c r="C16" i="31"/>
  <c r="B16" i="31"/>
  <c r="E15" i="31"/>
  <c r="D15" i="31"/>
  <c r="C15" i="31"/>
  <c r="B15" i="31"/>
  <c r="F16" i="29"/>
  <c r="E16" i="30"/>
  <c r="D16" i="30"/>
  <c r="C16" i="30"/>
  <c r="B16" i="30"/>
  <c r="E15" i="30"/>
  <c r="D15" i="30"/>
  <c r="C15" i="30"/>
  <c r="B15" i="30"/>
  <c r="E14" i="30"/>
  <c r="D14" i="30"/>
  <c r="C14" i="30"/>
  <c r="B14" i="30"/>
  <c r="E16" i="29"/>
  <c r="D16" i="29"/>
  <c r="C16" i="29"/>
  <c r="B16" i="29"/>
  <c r="F15" i="29"/>
  <c r="E15" i="29"/>
  <c r="D15" i="29"/>
  <c r="C15" i="29"/>
  <c r="B15" i="29"/>
  <c r="F14" i="29"/>
  <c r="E14" i="29"/>
  <c r="D14" i="29"/>
  <c r="C14" i="29"/>
  <c r="B14" i="29"/>
  <c r="F17" i="28"/>
  <c r="E17" i="28"/>
  <c r="D17" i="28"/>
  <c r="C17" i="28"/>
  <c r="B17" i="28"/>
  <c r="F16" i="28"/>
  <c r="E16" i="28"/>
  <c r="D16" i="28"/>
  <c r="C16" i="28"/>
  <c r="B16" i="28"/>
  <c r="F15" i="28"/>
  <c r="E15" i="28"/>
  <c r="D15" i="28"/>
  <c r="C15" i="28"/>
  <c r="B15" i="28"/>
  <c r="A23" i="23"/>
  <c r="A18" i="24"/>
  <c r="E16" i="24"/>
  <c r="D16" i="24"/>
  <c r="C16" i="24"/>
  <c r="E15" i="24"/>
  <c r="D15" i="24"/>
  <c r="C15" i="24"/>
  <c r="B15" i="24"/>
  <c r="E14" i="24"/>
  <c r="D14" i="24"/>
  <c r="C14" i="24"/>
  <c r="E13" i="24"/>
  <c r="D13" i="24"/>
  <c r="C13" i="24"/>
  <c r="B13" i="24"/>
  <c r="B11" i="24"/>
  <c r="B14" i="24" s="1"/>
  <c r="B16" i="24" l="1"/>
  <c r="E33" i="21" l="1"/>
  <c r="D33" i="21"/>
  <c r="C33" i="21"/>
  <c r="B33" i="21"/>
  <c r="E32" i="21"/>
  <c r="D32" i="21"/>
  <c r="C32" i="21"/>
  <c r="B32" i="21"/>
  <c r="E31" i="21"/>
  <c r="D31" i="21"/>
  <c r="C31" i="21"/>
  <c r="B31" i="21"/>
  <c r="E29" i="21"/>
  <c r="D29" i="21"/>
  <c r="C29" i="21"/>
  <c r="B29" i="21"/>
  <c r="E28" i="21"/>
  <c r="D28" i="21"/>
  <c r="C28" i="21"/>
  <c r="B28" i="21"/>
  <c r="E27" i="21"/>
  <c r="D27" i="21"/>
  <c r="C27" i="21"/>
  <c r="B27" i="21"/>
  <c r="E25" i="21"/>
  <c r="D25" i="21"/>
  <c r="C25" i="21"/>
  <c r="B25" i="21"/>
  <c r="E24" i="21"/>
  <c r="D24" i="21"/>
  <c r="C24" i="21"/>
  <c r="B24" i="21"/>
  <c r="E23" i="21"/>
  <c r="D23" i="21"/>
  <c r="C23" i="21"/>
  <c r="B23" i="21"/>
  <c r="E21" i="21"/>
  <c r="D21" i="21"/>
  <c r="C21" i="21"/>
  <c r="B21" i="21"/>
  <c r="D20" i="21"/>
  <c r="C20" i="21"/>
  <c r="B20" i="21"/>
  <c r="D19" i="21"/>
  <c r="C19" i="21"/>
  <c r="B19" i="21"/>
  <c r="D17" i="21"/>
  <c r="C17" i="21"/>
  <c r="B17" i="21"/>
  <c r="D15" i="21"/>
  <c r="C15" i="21"/>
  <c r="B15" i="21"/>
  <c r="D14" i="21"/>
  <c r="C14" i="21"/>
  <c r="B14" i="21"/>
  <c r="D13" i="21"/>
  <c r="C13" i="21"/>
  <c r="B13" i="21"/>
  <c r="D11" i="21"/>
  <c r="C11" i="21"/>
  <c r="B11" i="21"/>
  <c r="D10" i="21"/>
  <c r="C10" i="21"/>
  <c r="B10" i="21"/>
  <c r="D9" i="21"/>
  <c r="C9" i="21"/>
  <c r="B9" i="21"/>
  <c r="D7" i="21"/>
  <c r="C7" i="21"/>
  <c r="B7" i="21"/>
  <c r="D6" i="21"/>
  <c r="C6" i="21"/>
  <c r="B6" i="21"/>
  <c r="D5" i="21"/>
  <c r="C5" i="21"/>
  <c r="B5" i="21"/>
  <c r="D3" i="21"/>
  <c r="C3" i="21"/>
  <c r="B3" i="21"/>
</calcChain>
</file>

<file path=xl/sharedStrings.xml><?xml version="1.0" encoding="utf-8"?>
<sst xmlns="http://schemas.openxmlformats.org/spreadsheetml/2006/main" count="824" uniqueCount="368">
  <si>
    <t>Forecast</t>
  </si>
  <si>
    <t>2024f</t>
  </si>
  <si>
    <t>2025f</t>
  </si>
  <si>
    <t>2026f</t>
  </si>
  <si>
    <t>2027f</t>
  </si>
  <si>
    <t>2028f</t>
  </si>
  <si>
    <t>2008</t>
  </si>
  <si>
    <t>2009</t>
  </si>
  <si>
    <t>2010</t>
  </si>
  <si>
    <t>2011</t>
  </si>
  <si>
    <t>2012</t>
  </si>
  <si>
    <t>2013</t>
  </si>
  <si>
    <t>2014</t>
  </si>
  <si>
    <t>2015</t>
  </si>
  <si>
    <t>2016</t>
  </si>
  <si>
    <t>2017</t>
  </si>
  <si>
    <t>2018</t>
  </si>
  <si>
    <t>2019</t>
  </si>
  <si>
    <t>2020</t>
  </si>
  <si>
    <t>2021</t>
  </si>
  <si>
    <t>2022</t>
  </si>
  <si>
    <t>Total</t>
  </si>
  <si>
    <t>Sources: Statistics Canada and Alberta Treasury Board and Finance; e-estimate, f-forecast</t>
  </si>
  <si>
    <t>Year</t>
  </si>
  <si>
    <t>Sources: Statistics Canada, Haver Analytics and Alberta Treasury Board and Finance; e-estimate, f-forecast</t>
  </si>
  <si>
    <t>Month</t>
  </si>
  <si>
    <t>Industry</t>
  </si>
  <si>
    <t>Sources: Statistics Canada, Haver Analytics and Alberta Treasury Board and Finance; f-forecast</t>
  </si>
  <si>
    <t>Employment (thousands)</t>
  </si>
  <si>
    <t>Unemployment Rate (%)</t>
  </si>
  <si>
    <t>2023</t>
  </si>
  <si>
    <t>Sources: Statistics Canada and Haver Analytics</t>
  </si>
  <si>
    <t>* Includes net operating surplus of corporations and net mixed income</t>
  </si>
  <si>
    <t>Sources: U.S. Federal Reserve, Bank of England, European Central Bank, Bank of Canada, Haver Analytics and Alberta Treasury Board and Finance</t>
  </si>
  <si>
    <t>Key Energy and Economic Assumptions</t>
  </si>
  <si>
    <t>2021-22</t>
  </si>
  <si>
    <t>2022-23</t>
  </si>
  <si>
    <t>2023-24</t>
  </si>
  <si>
    <t>2024-25</t>
  </si>
  <si>
    <t>2025-26</t>
  </si>
  <si>
    <t>Actuals</t>
  </si>
  <si>
    <t>Estimate</t>
  </si>
  <si>
    <t>WTI (US$/bbl)</t>
  </si>
  <si>
    <t>Light-Heavy Differential (US$/bbl)</t>
  </si>
  <si>
    <t>WCS @ Hardisty (Cdn$/bbl)</t>
  </si>
  <si>
    <t>Alberta Reference Price (Cdn$/GJ)</t>
  </si>
  <si>
    <t>Conventional Crude Oil (thousands of barrels/day)</t>
  </si>
  <si>
    <t>Raw Bitumen (thousands of barrels/day)</t>
  </si>
  <si>
    <t>Natural Gas (billions of cubic feet)</t>
  </si>
  <si>
    <t>3-month Canada Treasury Bills (%)</t>
  </si>
  <si>
    <t>10-year Canada Bonds (%)</t>
  </si>
  <si>
    <t>Gross Domestic Product</t>
  </si>
  <si>
    <t>Nominal (billions of dollars)</t>
  </si>
  <si>
    <t>% change</t>
  </si>
  <si>
    <t>Other Indicators</t>
  </si>
  <si>
    <t>Average Weekly Earnings (% change)</t>
  </si>
  <si>
    <t>Primary Household Income (% change)</t>
  </si>
  <si>
    <t>Net Corporate Operating Surplus (% change)</t>
  </si>
  <si>
    <t>Housing Starts (thousands of units)</t>
  </si>
  <si>
    <t>Alberta Consumer Price Index (% change)</t>
  </si>
  <si>
    <t>Retail Sales (% change)</t>
  </si>
  <si>
    <t>Population (thousands)</t>
  </si>
  <si>
    <t>Net Migration (thousands)</t>
  </si>
  <si>
    <t>Table 1: Scenario Impacts</t>
  </si>
  <si>
    <t>Fiscal Year Assumptions</t>
  </si>
  <si>
    <t>2026-27</t>
  </si>
  <si>
    <t>Base</t>
  </si>
  <si>
    <t>High</t>
  </si>
  <si>
    <t>Low</t>
  </si>
  <si>
    <t>Exchange Rate (US¢/Cdn$)</t>
  </si>
  <si>
    <t>Tax and Resource Revenue ($billions)</t>
  </si>
  <si>
    <t>Variance from base</t>
  </si>
  <si>
    <t>Calendar Year Assumptions</t>
  </si>
  <si>
    <t>Real GDP (% Change)</t>
  </si>
  <si>
    <t>Nominal GDP (% Change)</t>
  </si>
  <si>
    <t>Oil Price Benchmark</t>
  </si>
  <si>
    <t>West Texas Intermediate (US$/bbl)</t>
  </si>
  <si>
    <t>Organization</t>
  </si>
  <si>
    <t>National Forecasting Agencies</t>
  </si>
  <si>
    <t>Banks and Investment Dealers</t>
  </si>
  <si>
    <t>n/a</t>
  </si>
  <si>
    <t>Industry Analysts</t>
  </si>
  <si>
    <t>Average</t>
  </si>
  <si>
    <t>Average of All Private Forecasts</t>
  </si>
  <si>
    <t>Government of Alberta (calendar year)</t>
  </si>
  <si>
    <t>Confidential Forecasts Provided to the Government of Albertaa</t>
  </si>
  <si>
    <t>Natural Gas Price Benchmark</t>
  </si>
  <si>
    <t xml:space="preserve">Average </t>
  </si>
  <si>
    <t>Light-Heavy Oil Price Differential Benchmark</t>
  </si>
  <si>
    <t>WTI-WCS Price Differential ($US/bbl)</t>
  </si>
  <si>
    <t>Banks and Industry Analysts</t>
  </si>
  <si>
    <t>Canadian Long-Term Interest Rate Benchmark</t>
  </si>
  <si>
    <t>10-Year Government of Canada Bonds (%)</t>
  </si>
  <si>
    <t>Banks</t>
  </si>
  <si>
    <t>United States / Canada Exchange Rate Benchmark</t>
  </si>
  <si>
    <t>(US¢/Cdn$)</t>
  </si>
  <si>
    <t>Alberta Real Gross Domestic Product Benchmark</t>
  </si>
  <si>
    <t>(% change)</t>
  </si>
  <si>
    <t>Alberta Nominal Gross Domestic Product Benchmark</t>
  </si>
  <si>
    <t>Alberta Employment Benchmark</t>
  </si>
  <si>
    <t>Alberta Unemployment Rate Benchmark</t>
  </si>
  <si>
    <t>(%)</t>
  </si>
  <si>
    <t>Alberta Housing Starts Benchmark</t>
  </si>
  <si>
    <t>(thousands of units)</t>
  </si>
  <si>
    <t>Real (billions of 2017 dollars)</t>
  </si>
  <si>
    <t>Organization (#)</t>
  </si>
  <si>
    <t>National Forecasting Agencies (2)</t>
  </si>
  <si>
    <t>Banks and Investment Dealers (9)</t>
  </si>
  <si>
    <t>Industry Analysts (3)</t>
  </si>
  <si>
    <t>Confidential Forecasts (5)</t>
  </si>
  <si>
    <t>Sources: Alberta Treasury Board and Finance and Alberta Energy</t>
  </si>
  <si>
    <t>How did they do in Budget 2023?</t>
  </si>
  <si>
    <t>Henry Hub (US$/MMBTU)</t>
  </si>
  <si>
    <t>Banks and Investment Dealers (5)</t>
  </si>
  <si>
    <t>Confidential Forecasts (6)</t>
  </si>
  <si>
    <t>This document contains information licensed under the</t>
  </si>
  <si>
    <t>Open Government Licence – Alberta</t>
  </si>
  <si>
    <t>Crude Oil Pricesb</t>
  </si>
  <si>
    <t xml:space="preserve">Natural Gas Priceb </t>
  </si>
  <si>
    <t>Productionb</t>
  </si>
  <si>
    <t>Interest Ratesb</t>
  </si>
  <si>
    <t>Exchange Rate (US¢/Cdn$)b</t>
  </si>
  <si>
    <t>2027-28</t>
  </si>
  <si>
    <t>2,519c</t>
  </si>
  <si>
    <t>3.1c</t>
  </si>
  <si>
    <t>7.0c</t>
  </si>
  <si>
    <t>47.8c</t>
  </si>
  <si>
    <t>2.9c</t>
  </si>
  <si>
    <t>4,889c</t>
  </si>
  <si>
    <t>4.4c</t>
  </si>
  <si>
    <t>189.1c</t>
  </si>
  <si>
    <t>Chart 1: Solid momentum in the Alberta economy at the end of 2024</t>
  </si>
  <si>
    <t>Source: Alberta Treasury Board and Finance</t>
  </si>
  <si>
    <t>Real GDP ($billions)</t>
  </si>
  <si>
    <t>Real GDP growth (%)</t>
  </si>
  <si>
    <t>Chart 3: Uncertainty has increased sharply amid trade tensions</t>
  </si>
  <si>
    <t>Sources: PolicyUncertainity.com and Haver Analytics; Canada's News-Based Policy Uncertainty Index is based on news articles from the Canadian Newswire and from five Canadian newspapers. Each paper-specific series is normalized to standard deviation 1 prior to 2011 and then summed. The series is normalized to mean 100 prior to 2011.</t>
  </si>
  <si>
    <t>Global Economic Policy Uncertainty Index [Current Price GDP Weights] (Mean=100)</t>
  </si>
  <si>
    <t>Canada: News-Based Policy Uncertainty Index (Mean=100 Prior to 2011)</t>
  </si>
  <si>
    <t>Chart 4: Monetary policy easing underway in advanced economies</t>
  </si>
  <si>
    <t>Canada</t>
  </si>
  <si>
    <t>Dec-20</t>
  </si>
  <si>
    <t>Jan-21</t>
  </si>
  <si>
    <t>Feb-21</t>
  </si>
  <si>
    <t>Mar-21</t>
  </si>
  <si>
    <t>Apr-21</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</si>
  <si>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</si>
  <si>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</si>
  <si>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</si>
  <si>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</si>
  <si>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</si>
  <si>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</si>
  <si>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</si>
  <si>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</si>
  <si>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</si>
  <si>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</si>
  <si>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</si>
  <si>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</si>
  <si>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</si>
  <si>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</si>
  <si>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</si>
  <si>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</si>
  <si>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</si>
  <si>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</si>
  <si>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</si>
  <si>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</si>
  <si>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</si>
  <si>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</si>
  <si>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</si>
  <si>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</si>
  <si>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</si>
  <si>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</si>
  <si>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</si>
  <si>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</si>
  <si>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</si>
  <si>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</si>
  <si>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</si>
  <si>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</si>
  <si>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</si>
  <si>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</si>
  <si>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</si>
  <si>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</si>
  <si>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</si>
  <si>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</si>
  <si>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</si>
  <si>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</si>
  <si>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</si>
  <si>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</si>
  <si>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Nov-24</t>
  </si>
  <si>
    <t>Dec-24</t>
  </si>
  <si>
    <t>Jan-25</t>
  </si>
  <si>
    <t>Feb-25</t>
  </si>
  <si>
    <t>Mar-25 f</t>
  </si>
  <si>
    <t>Apr-25 f</t>
  </si>
  <si>
    <t>May-25 f</t>
  </si>
  <si>
    <t>Jun-25 f</t>
  </si>
  <si>
    <t>Jul-25 f</t>
  </si>
  <si>
    <t>Aug-25 f</t>
  </si>
  <si>
    <t>Sep-25 f</t>
  </si>
  <si>
    <t>Oct-25 f</t>
  </si>
  <si>
    <t>Nov-25 f</t>
  </si>
  <si>
    <t>Dec-25 f</t>
  </si>
  <si>
    <t>Chart 5: Canadian dollar has weakened against the U.S. dollar</t>
  </si>
  <si>
    <t>Date</t>
  </si>
  <si>
    <t>Chart 6: Softer outlook for oil prices</t>
  </si>
  <si>
    <t>Feb-25 f</t>
  </si>
  <si>
    <t>Jan-26 f</t>
  </si>
  <si>
    <t>Feb-26 f</t>
  </si>
  <si>
    <t>Mar-26 f</t>
  </si>
  <si>
    <t>Apr-26 f</t>
  </si>
  <si>
    <t>May-26 f</t>
  </si>
  <si>
    <t>Jun-26 f</t>
  </si>
  <si>
    <t>Jul-26 f</t>
  </si>
  <si>
    <t>Aug-26 f</t>
  </si>
  <si>
    <t>Sep-26 f</t>
  </si>
  <si>
    <t>Oct-26 f</t>
  </si>
  <si>
    <t>Nov-26 f</t>
  </si>
  <si>
    <t>Dec-26 f</t>
  </si>
  <si>
    <t>Jan-27 f</t>
  </si>
  <si>
    <t>Feb-27 f</t>
  </si>
  <si>
    <t>Mar-27 f</t>
  </si>
  <si>
    <t>Apr-27 f</t>
  </si>
  <si>
    <t>May-27 f</t>
  </si>
  <si>
    <t>Jun-27 f</t>
  </si>
  <si>
    <t>Jul-27 f</t>
  </si>
  <si>
    <t>Aug-27 f</t>
  </si>
  <si>
    <t>Sep-27 f</t>
  </si>
  <si>
    <t>Oct-27 f</t>
  </si>
  <si>
    <t>Nov-27 f</t>
  </si>
  <si>
    <t>Dec-27 f</t>
  </si>
  <si>
    <t>Jan-28 f</t>
  </si>
  <si>
    <t>Feb-28 f</t>
  </si>
  <si>
    <t>Mar-28 f</t>
  </si>
  <si>
    <t>Apr-28 f</t>
  </si>
  <si>
    <t>May-28 f</t>
  </si>
  <si>
    <t>Jun-28 f</t>
  </si>
  <si>
    <t>Jul-28 f</t>
  </si>
  <si>
    <t>Aug-28 f</t>
  </si>
  <si>
    <t>Sep-28 f</t>
  </si>
  <si>
    <t>Oct-28 f</t>
  </si>
  <si>
    <t>Nov-28 f</t>
  </si>
  <si>
    <t>Dec-28 f</t>
  </si>
  <si>
    <t>Chart 7: Some U.S. markets rely heavily on Canadian oil</t>
  </si>
  <si>
    <t>Sources: Wall Street Journal and Alberta Energy; f-forecast</t>
  </si>
  <si>
    <t>Total US Import</t>
  </si>
  <si>
    <t>PADD1</t>
  </si>
  <si>
    <t>PADD2</t>
  </si>
  <si>
    <t>PADD3</t>
  </si>
  <si>
    <t>PADD4</t>
  </si>
  <si>
    <t>PADD5</t>
  </si>
  <si>
    <t>OPEC</t>
  </si>
  <si>
    <t>Others</t>
  </si>
  <si>
    <t>Sources: Energy Information Administration and Haver Analytics</t>
  </si>
  <si>
    <t>2014-15</t>
  </si>
  <si>
    <t>2015-16</t>
  </si>
  <si>
    <t>2016-17</t>
  </si>
  <si>
    <t>2017-18</t>
  </si>
  <si>
    <t>2018-19</t>
  </si>
  <si>
    <t>2019-20</t>
  </si>
  <si>
    <t>2020-21</t>
  </si>
  <si>
    <t>2024-25f</t>
  </si>
  <si>
    <t>2025-26f</t>
  </si>
  <si>
    <t>2026-27f</t>
  </si>
  <si>
    <t>2027-28f</t>
  </si>
  <si>
    <t>Fiscal year</t>
  </si>
  <si>
    <t>Sources: Alberta Energy and Alberta Treasury Board and Finance, f-forecast</t>
  </si>
  <si>
    <t>2024e</t>
  </si>
  <si>
    <t>Sources: Statistics Canada and Alberta Treasury Board and Finance, e-estimate, f-forecast</t>
  </si>
  <si>
    <t>Resin &amp; synthetic rubber</t>
  </si>
  <si>
    <t xml:space="preserve">Starch &amp; vegetable fat and oil </t>
  </si>
  <si>
    <t>Other basic organic chemical</t>
  </si>
  <si>
    <t>Pulp</t>
  </si>
  <si>
    <t>Petrochemical</t>
  </si>
  <si>
    <t>Fertilizer</t>
  </si>
  <si>
    <t>Sawmills &amp; wood preservation</t>
  </si>
  <si>
    <t>Veneer, plywood &amp; engn. wood</t>
  </si>
  <si>
    <t>HVAC &amp;  refrigeration equip.</t>
  </si>
  <si>
    <t>Frozen food</t>
  </si>
  <si>
    <t xml:space="preserve">Sources: Industry Canada and Statistics Canada </t>
  </si>
  <si>
    <t>2029f</t>
  </si>
  <si>
    <t>Net Operating Surplus* ($billions)</t>
  </si>
  <si>
    <t>2025e</t>
  </si>
  <si>
    <t>Residential Permit ($millions)</t>
  </si>
  <si>
    <t>Non-Residential Permit ($millions)</t>
  </si>
  <si>
    <t>Sources: Statistics Canada, Haver Analytics</t>
  </si>
  <si>
    <t>2024</t>
  </si>
  <si>
    <t>Conference Board of Canada (Decemeber 18, 2024)</t>
  </si>
  <si>
    <t>Stokes Economics (February, 2025)</t>
  </si>
  <si>
    <t>Deloitte (December 31, 2024)</t>
  </si>
  <si>
    <t>Goldman Sachs (January 13, 2025)</t>
  </si>
  <si>
    <t>National Bank (December, 2024)</t>
  </si>
  <si>
    <t>RBC Capital Markets (January 14, 2025)</t>
  </si>
  <si>
    <t>Scotiabank (December 12, 2024)</t>
  </si>
  <si>
    <t>TD Bank (December, 2024)</t>
  </si>
  <si>
    <t>U.S. Energy Information Administration (January 29, 2025)</t>
  </si>
  <si>
    <t>GLJ Petroleum Consultants (January 1, 2025)</t>
  </si>
  <si>
    <t>Sproule Associates Limited (January 31, 2025)</t>
  </si>
  <si>
    <t>Includes forecasts finalized on or before February 7, 2025.</t>
  </si>
  <si>
    <t>a The Government of Alberta surveys, on a confidential basis, private sector forecasts from the Bank of Montreal, S&amp;P Global, Rystad, and Wood Mackenzie. The annual figures presented here are an average of the forecast prices from these sources. High/Low forecasts may represent one of the confidential forecasts. The private sector average and the consultant average have been rounded to the nearest 50 cents.</t>
  </si>
  <si>
    <t>.</t>
  </si>
  <si>
    <t>Conference Board of Canada (December 18, 2024)</t>
  </si>
  <si>
    <t>BMO Capital Markets (February 7, 2025)</t>
  </si>
  <si>
    <t>CIBC Capital Markets  (February 2025)</t>
  </si>
  <si>
    <t>Laurentian Bank (September 5, 2024)</t>
  </si>
  <si>
    <t>RBC Royal Bank (December, 2024)</t>
  </si>
  <si>
    <t>TD Bank (December 2024)</t>
  </si>
  <si>
    <t>Deloitte (January 2025)</t>
  </si>
  <si>
    <t>Conference Board of Canada (December 6, 2024)</t>
  </si>
  <si>
    <t>Scotiabank (December 17, 2024)</t>
  </si>
  <si>
    <t>TD Bank (December 16, 2024)</t>
  </si>
  <si>
    <t>How Oil Price Forecasters Fared in Budget 2024</t>
  </si>
  <si>
    <t>How did they do in Budget 2024?</t>
  </si>
  <si>
    <t>2024 Actual</t>
  </si>
  <si>
    <t>How Natural Gas Price Forecasters Fared in Budget 2024</t>
  </si>
  <si>
    <r>
      <t>Fiscal Year Assumptions</t>
    </r>
    <r>
      <rPr>
        <b/>
        <vertAlign val="superscript"/>
        <sz val="12"/>
        <rFont val="Arial Narrow"/>
        <family val="2"/>
      </rPr>
      <t>a</t>
    </r>
  </si>
  <si>
    <r>
      <t>Calendar Year Assumptions</t>
    </r>
    <r>
      <rPr>
        <b/>
        <vertAlign val="superscript"/>
        <sz val="12"/>
        <rFont val="Arial Narrow"/>
        <family val="2"/>
      </rPr>
      <t>a</t>
    </r>
  </si>
  <si>
    <t>Chart 2: Trade conflict will dampen prospects for Alberta economy</t>
  </si>
  <si>
    <t>Chart 8: WTI-WCS differential expected to widen modestly</t>
  </si>
  <si>
    <t>Chart 9: Steady growth in oil and gas investment and oil production</t>
  </si>
  <si>
    <t>Chart 10: Manufacturing sector highly exposed to U.S. tariffs</t>
  </si>
  <si>
    <t>Chart 11: Muted recovery in investment</t>
  </si>
  <si>
    <t xml:space="preserve">Chart 12: Corporate profits to remain below 2024 level </t>
  </si>
  <si>
    <t>Chart 13: Population growth to moderate but remain solid this year</t>
  </si>
  <si>
    <t>Chart 15: Unemployment rate to stay elevated in the short-term</t>
  </si>
  <si>
    <t>Chart 16: Headline inflation moderating with shelter costs</t>
  </si>
  <si>
    <t>Chart 17: Uncertainty to slow recovery in per capita spending</t>
  </si>
  <si>
    <r>
      <t>Confidential Forecasts Provided to the Government of Alberta</t>
    </r>
    <r>
      <rPr>
        <b/>
        <vertAlign val="superscript"/>
        <sz val="12"/>
        <rFont val="Arial Narrow"/>
        <family val="2"/>
      </rPr>
      <t>a</t>
    </r>
  </si>
  <si>
    <r>
      <t xml:space="preserve">a </t>
    </r>
    <r>
      <rPr>
        <sz val="12"/>
        <rFont val="Arial Narrow"/>
        <family val="2"/>
      </rPr>
      <t>The Government of Alberta also surveys, on a confidential basis, private sector forecasts from the Bank of Montreal, S&amp;P Global, Rystad, and Wood Mackenzie. The annual figures presented here are the average forecast prices from these sources. High/Low forecasts may represent one of the confidential forecasts. The private sector average, consultant average and Government of Alberta forecasts have been rounded to the nearest ten cents.</t>
    </r>
  </si>
  <si>
    <r>
      <t>Henry Hub (US$/MMBtu)</t>
    </r>
    <r>
      <rPr>
        <vertAlign val="superscript"/>
        <sz val="12"/>
        <rFont val="Arial Narrow"/>
        <family val="2"/>
      </rPr>
      <t>a</t>
    </r>
  </si>
  <si>
    <r>
      <t>Deloitte (December 31, 2024)</t>
    </r>
    <r>
      <rPr>
        <vertAlign val="superscript"/>
        <sz val="12"/>
        <rFont val="Arial Narrow"/>
        <family val="2"/>
      </rPr>
      <t>b</t>
    </r>
  </si>
  <si>
    <r>
      <t>Confidential Forecasts Provided to the Government of Alberta</t>
    </r>
    <r>
      <rPr>
        <b/>
        <vertAlign val="superscript"/>
        <sz val="12"/>
        <rFont val="Arial Narrow"/>
        <family val="2"/>
      </rPr>
      <t>c</t>
    </r>
  </si>
  <si>
    <r>
      <t>a</t>
    </r>
    <r>
      <rPr>
        <sz val="10"/>
        <rFont val="Arial Narrow"/>
        <family val="2"/>
      </rPr>
      <t xml:space="preserve"> The natural gas price at Henry Hub Louisiana (in US$/MMBtu) is the US benchmark while the AECO natural gas price (in CAD$/GJ) is the Western Canada benchmark. While both benchmarks are widely used in North America, the difference between Henry Hub and AECO price reflects transportation costs and regional supply/demand impacts as well as exchange rate and unit conversion. The Alberta Reference Price (used in natural gas royalty calculations) represents the average field price of all Alberta gas sales which normally follows the Western Canada regional benchmark.</t>
    </r>
  </si>
  <si>
    <r>
      <t>b</t>
    </r>
    <r>
      <rPr>
        <sz val="10"/>
        <rFont val="Arial Narrow"/>
        <family val="2"/>
      </rPr>
      <t xml:space="preserve"> Converted from US$/Mcf to US$/MMBtu.</t>
    </r>
  </si>
  <si>
    <r>
      <rPr>
        <vertAlign val="superscript"/>
        <sz val="10"/>
        <rFont val="Arial Narrow"/>
        <family val="2"/>
      </rPr>
      <t>c</t>
    </r>
    <r>
      <rPr>
        <sz val="10"/>
        <rFont val="Arial Narrow"/>
        <family val="2"/>
      </rPr>
      <t xml:space="preserve"> The Government of Alberta also surveys, on a confidential basis, private sector forecasts from the Bank of Montreal, S&amp;P Global, Rystad, and Wood Mackenzie. The annual figures presented here are the average forecast prices from these sources. High/Low forecasts may represent one of the confidential forecasts. The private sector average, consultant average and Government of Alberta forecasts have been rounded to the nearest ten cents.</t>
    </r>
  </si>
  <si>
    <t>Chart 14: Residential construction intentions remain robust</t>
  </si>
  <si>
    <t>AAX
(1981=100)</t>
  </si>
  <si>
    <t>U.S.
(%)</t>
  </si>
  <si>
    <t>U.K. 
(%)</t>
  </si>
  <si>
    <t>Euro Area
(%)</t>
  </si>
  <si>
    <t>Canada
(%)</t>
  </si>
  <si>
    <t>USD per 100 CAD</t>
  </si>
  <si>
    <t>Source: Bank of Canada and Haver Analytics</t>
  </si>
  <si>
    <t>2024 YTD (November) US Import (MMBPD) by PADD</t>
  </si>
  <si>
    <t>WTI
 (US$/bbl)</t>
  </si>
  <si>
    <t>WCS
 (US$/bbl)</t>
  </si>
  <si>
    <t>WTI-WCS
Differential  (US$)</t>
  </si>
  <si>
    <t>Calender year average (US$/bbl)</t>
  </si>
  <si>
    <t>Oil sands investment ($billions)</t>
  </si>
  <si>
    <t>Conventional investment ($billions)</t>
  </si>
  <si>
    <t>Oil Production (000's bpd)</t>
  </si>
  <si>
    <t>Other Industries ($billions)</t>
  </si>
  <si>
    <t>NPR (thousands)</t>
  </si>
  <si>
    <t>Emigration
(thousands)</t>
  </si>
  <si>
    <t>Net Interprovincial
(thousands)</t>
  </si>
  <si>
    <t>Population Growth
(%)</t>
  </si>
  <si>
    <t>Immigration 
(thousands)</t>
  </si>
  <si>
    <t>Employment Level (thousands)</t>
  </si>
  <si>
    <t>Employment - Growth 
(%)</t>
  </si>
  <si>
    <t>Unemployment Rate 
(%)</t>
  </si>
  <si>
    <t>All items 
(%)</t>
  </si>
  <si>
    <t>Shelter 
(%)</t>
  </si>
  <si>
    <t>Food
 (%)</t>
  </si>
  <si>
    <t>Actual
(2017$ thousands)</t>
  </si>
  <si>
    <t>Growth
(%)</t>
  </si>
  <si>
    <t>CHANGE THE SCALE. (Xmillions), but use smaller base (e.g 3,798 for the first one)</t>
  </si>
  <si>
    <r>
      <t>a</t>
    </r>
    <r>
      <rPr>
        <sz val="10"/>
        <color theme="1"/>
        <rFont val="Arial Narrow"/>
        <family val="2"/>
      </rPr>
      <t xml:space="preserve"> Forecast was finalized on February 06 , 2025
</t>
    </r>
    <r>
      <rPr>
        <vertAlign val="superscript"/>
        <sz val="10"/>
        <color theme="1"/>
        <rFont val="Arial Narrow"/>
        <family val="2"/>
      </rPr>
      <t>b</t>
    </r>
    <r>
      <rPr>
        <sz val="10"/>
        <color theme="1"/>
        <rFont val="Arial Narrow"/>
        <family val="2"/>
      </rPr>
      <t xml:space="preserve"> Forecasts have been rounded
</t>
    </r>
    <r>
      <rPr>
        <vertAlign val="superscript"/>
        <sz val="10"/>
        <color theme="1"/>
        <rFont val="Arial Narrow"/>
        <family val="2"/>
      </rPr>
      <t>c</t>
    </r>
    <r>
      <rPr>
        <sz val="10"/>
        <color theme="1"/>
        <rFont val="Arial Narrow"/>
        <family val="2"/>
      </rPr>
      <t xml:space="preserve"> Actual</t>
    </r>
  </si>
  <si>
    <t>Exports to the U.S. ($thousands)</t>
  </si>
  <si>
    <t>Rest of the World ($thousands)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</si>
</sst>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 #,##0.00_-;_-* &quot;-&quot;??_-;_-@_-"/>
    <numFmt numFmtId="165" formatCode="0.0"/>
    <numFmt numFmtId="166" formatCode="#,##0.0"/>
    <numFmt numFmtId="167" formatCode="[$-409]mmm/yy;@"/>
    <numFmt numFmtId="168" formatCode="#,##0.000"/>
    <numFmt numFmtId="169" formatCode="&quot;$&quot;#,##0.00"/>
    <numFmt numFmtId="170" formatCode="_(* #,##0_);_(* \(#,##0\);_(* &quot;-&quot;??_);_(@_)"/>
    <numFmt numFmtId="171" formatCode="0.000000"/>
    <numFmt numFmtId="172" formatCode="0.0000"/>
    <numFmt numFmtId="173" formatCode="mmm&quot;-&quot;yy"/>
    <numFmt numFmtId="174" formatCode="dd&quot;-&quot;mmm&quot;-&quot;yy"/>
    <numFmt numFmtId="175" formatCode="[$-409]mmm\-yy;@"/>
    <numFmt numFmtId="176" formatCode="_-* #,##0_-;\-* #,##0_-;_-* &quot;-&quot;??_-;_-@_-"/>
  </numFmts>
  <fonts count="26">
    <font>
      <sz val="11"/>
      <color theme="1"/>
      <name val="Calibri"/>
      <family val="2"/>
      <scheme val="minor"/>
    </font>
    <font>
      <sz val="11"/>
      <color theme="1"/>
      <name val="Calibri"/>
      <family val="2"/>
      <scheme val="minor"/>
    </font>
    <font>
      <sz val="10"/>
      <color theme="1"/>
      <name val="Arial Narrow"/>
      <family val="2"/>
    </font>
    <font>
      <b/>
      <sz val="12"/>
      <color theme="1"/>
      <name val="Arial Narrow"/>
      <family val="2"/>
    </font>
    <font>
      <sz val="11"/>
      <color theme="1"/>
      <name val="Arial Narrow"/>
      <family val="2"/>
    </font>
    <font>
      <sz val="11"/>
      <color theme="1"/>
      <name val="Arial"/>
      <family val="2"/>
    </font>
    <font>
      <b/>
      <sz val="12"/>
      <name val="Arial Narrow"/>
      <family val="2"/>
    </font>
    <font>
      <sz val="10"/>
      <name val="Arial"/>
      <family val="2"/>
    </font>
    <font>
      <sz val="10"/>
      <name val="Arial Narrow"/>
      <family val="2"/>
    </font>
    <font>
      <vertAlign val="superscript"/>
      <sz val="10"/>
      <name val="Arial Narrow"/>
      <family val="2"/>
    </font>
    <font>
      <sz val="11"/>
      <name val="Arial"/>
      <family val="2"/>
    </font>
    <font>
      <u/>
      <sz val="11"/>
      <color theme="10"/>
      <name val="Arial"/>
      <family val="2"/>
    </font>
    <font>
      <u/>
      <sz val="11"/>
      <color theme="10"/>
      <name val="Calibri"/>
      <family val="2"/>
      <scheme val="minor"/>
    </font>
    <font>
      <sz val="10"/>
      <color theme="1"/>
      <name val="Arial"/>
      <family val="2"/>
    </font>
    <font>
      <sz val="8"/>
      <name val="Calibri"/>
      <family val="2"/>
      <scheme val="minor"/>
    </font>
    <font>
      <sz val="12"/>
      <name val="Arial Narrow"/>
      <family val="2"/>
    </font>
    <font>
      <sz val="12"/>
      <color theme="1"/>
      <name val="Arial Narrow"/>
      <family val="2"/>
    </font>
    <font>
      <b/>
      <vertAlign val="superscript"/>
      <sz val="12"/>
      <name val="Arial Narrow"/>
      <family val="2"/>
    </font>
    <font>
      <sz val="12"/>
      <color rgb="FF7030A0"/>
      <name val="Arial Narrow"/>
      <family val="2"/>
    </font>
    <font>
      <i/>
      <sz val="12"/>
      <name val="Arial Narrow"/>
      <family val="2"/>
    </font>
    <font>
      <i/>
      <sz val="12"/>
      <color rgb="FF7030A0"/>
      <name val="Arial Narrow"/>
      <family val="2"/>
    </font>
    <font>
      <b/>
      <sz val="12"/>
      <color rgb="FFFF0000"/>
      <name val="Arial Narrow"/>
      <family val="2"/>
    </font>
    <font>
      <sz val="12"/>
      <color indexed="12"/>
      <name val="Arial Narrow"/>
      <family val="2"/>
    </font>
    <font>
      <vertAlign val="superscript"/>
      <sz val="12"/>
      <name val="Arial Narrow"/>
      <family val="2"/>
    </font>
    <font>
      <sz val="10"/>
      <color theme="1"/>
      <name val="Arial New"/>
    </font>
    <font>
      <vertAlign val="superscript"/>
      <sz val="10"/>
      <color theme="1"/>
      <name val="Arial Narrow"/>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65"/>
        <bgColor indexed="64"/>
      </patternFill>
    </fill>
    <fill>
      <patternFill patternType="solid">
        <fgColor theme="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6" tint="0.39997558519241921"/>
        <bgColor indexed="64"/>
      </patternFill>
    </fill>
  </fills>
  <borders count="7">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theme="0" tint="-0.14996795556505021"/>
      </right>
      <top style="thin">
        <color indexed="64"/>
      </top>
      <bottom/>
      <diagonal/>
    </border>
    <border>
      <left/>
      <right style="thin">
        <color theme="0" tint="-0.14996795556505021"/>
      </right>
      <top/>
      <bottom/>
      <diagonal/>
    </border>
    <border>
      <left/>
      <right style="thin">
        <color theme="0" tint="-0.14996795556505021"/>
      </right>
      <top/>
      <bottom style="thin">
        <color indexed="64"/>
      </bottom>
      <diagonal/>
    </border>
  </borders>
  <cellStyleXfs count="22">
    <xf numFmtId="0" fontId="0" fillId="0" borderId="0"/>
    <xf numFmtId="0" fontId="5" fillId="0" borderId="0"/>
    <xf numFmtId="0" fontId="1" fillId="0" borderId="0"/>
    <xf numFmtId="0" fontId="7" fillId="0" borderId="0"/>
    <xf numFmtId="0" fontId="1" fillId="0" borderId="0"/>
    <xf numFmtId="164" fontId="1" fillId="0" borderId="0" applyFont="0" applyFill="0" applyBorder="0" applyAlignment="0" applyProtection="0"/>
    <xf numFmtId="0" fontId="7" fillId="0" borderId="0"/>
    <xf numFmtId="0" fontId="1" fillId="0" borderId="0"/>
    <xf numFmtId="0" fontId="1" fillId="0" borderId="0"/>
    <xf numFmtId="0" fontId="7" fillId="0" borderId="0">
      <alignment vertical="top"/>
    </xf>
    <xf numFmtId="0" fontId="1" fillId="0" borderId="0"/>
    <xf numFmtId="0" fontId="7" fillId="0" borderId="0"/>
    <xf numFmtId="0" fontId="11" fillId="0" borderId="0" applyNumberFormat="0" applyFill="0" applyBorder="0" applyAlignment="0" applyProtection="0"/>
    <xf numFmtId="0" fontId="1" fillId="0" borderId="0"/>
    <xf numFmtId="0" fontId="12" fillId="0" borderId="0" applyNumberFormat="0" applyFill="0" applyBorder="0" applyAlignment="0" applyProtection="0"/>
    <xf numFmtId="0" fontId="7" fillId="0" borderId="0"/>
    <xf numFmtId="0" fontId="13" fillId="0" borderId="0"/>
    <xf numFmtId="0" fontId="5" fillId="0" borderId="0"/>
    <xf numFmtId="0" fontId="5" fillId="0" borderId="0"/>
    <xf numFmtId="164" fontId="1" fillId="0" borderId="0" applyFont="0" applyFill="0" applyBorder="0" applyAlignment="0" applyProtection="0"/>
    <xf numFmtId="164" fontId="1" fillId="0" borderId="0" applyFont="0" applyFill="0" applyBorder="0" applyAlignment="0" applyProtection="0"/>
    <xf numFmtId="0" fontId="1" fillId="0" borderId="0"/>
  </cellStyleXfs>
  <cellXfs count="247">
    <xf numFmtId="0" fontId="0" fillId="0" borderId="0" xfId="0"/>
    <xf numFmtId="0" fontId="3" fillId="0" borderId="0" xfId="0" applyFont="1" applyAlignment="1">
      <alignment horizontal="left"/>
    </xf>
    <xf numFmtId="0" fontId="3" fillId="0" borderId="0" xfId="0" applyFont="1" applyFill="1" applyAlignment="1">
      <alignment horizontal="left"/>
    </xf>
    <xf numFmtId="0" fontId="6" fillId="2" borderId="0" xfId="2" applyFont="1" applyFill="1"/>
    <xf numFmtId="0" fontId="6" fillId="2" borderId="0" xfId="2" applyFont="1" applyFill="1" applyAlignment="1">
      <alignment vertical="center"/>
    </xf>
    <xf numFmtId="0" fontId="8" fillId="2" borderId="0" xfId="2" applyFont="1" applyFill="1" applyAlignment="1">
      <alignment vertical="center"/>
    </xf>
    <xf numFmtId="0" fontId="8" fillId="2" borderId="0" xfId="6" applyFont="1" applyFill="1" applyAlignment="1">
      <alignment vertical="center"/>
    </xf>
    <xf numFmtId="0" fontId="6" fillId="2" borderId="0" xfId="8" applyFont="1" applyFill="1" applyAlignment="1">
      <alignment vertical="center"/>
    </xf>
    <xf numFmtId="0" fontId="6" fillId="2" borderId="0" xfId="10" applyFont="1" applyFill="1" applyAlignment="1">
      <alignment vertical="center"/>
    </xf>
    <xf numFmtId="0" fontId="10" fillId="0" borderId="0" xfId="0" applyFont="1" applyAlignment="1">
      <alignment horizontal="center"/>
    </xf>
    <xf numFmtId="0" fontId="12" fillId="0" borderId="0" xfId="14" applyBorder="1" applyAlignment="1">
      <alignment horizontal="center" vertical="top"/>
    </xf>
    <xf numFmtId="0" fontId="2" fillId="0" borderId="1" xfId="0" applyFont="1" applyBorder="1" applyAlignment="1">
      <alignment horizontal="center" vertical="center" wrapText="1"/>
    </xf>
    <xf numFmtId="0" fontId="4" fillId="0" borderId="0" xfId="0" applyFont="1"/>
    <xf numFmtId="2" fontId="4" fillId="0" borderId="0" xfId="0" applyNumberFormat="1" applyFont="1"/>
    <xf numFmtId="49" fontId="4" fillId="0" borderId="0" xfId="0" applyNumberFormat="1" applyFont="1" applyAlignment="1">
      <alignment horizontal="left"/>
    </xf>
    <xf numFmtId="0" fontId="15" fillId="2" borderId="0" xfId="2" applyFont="1" applyFill="1"/>
    <xf numFmtId="0" fontId="16" fillId="2" borderId="0" xfId="2" applyFont="1" applyFill="1"/>
    <xf numFmtId="0" fontId="15" fillId="2" borderId="0" xfId="3" applyFont="1" applyFill="1"/>
    <xf numFmtId="0" fontId="16" fillId="2" borderId="0" xfId="0" applyFont="1" applyFill="1"/>
    <xf numFmtId="0" fontId="6" fillId="2" borderId="0" xfId="2" applyFont="1" applyFill="1" applyAlignment="1">
      <alignment horizontal="left"/>
    </xf>
    <xf numFmtId="165" fontId="15" fillId="2" borderId="0" xfId="2" applyNumberFormat="1" applyFont="1" applyFill="1" applyAlignment="1">
      <alignment horizontal="right"/>
    </xf>
    <xf numFmtId="0" fontId="16" fillId="2" borderId="0" xfId="0" applyFont="1" applyFill="1" applyAlignment="1">
      <alignment horizontal="center"/>
    </xf>
    <xf numFmtId="0" fontId="6" fillId="2" borderId="2" xfId="2" applyFont="1" applyFill="1" applyBorder="1" applyAlignment="1">
      <alignment horizontal="center" vertical="center" wrapText="1"/>
    </xf>
    <xf numFmtId="0" fontId="6" fillId="5" borderId="2" xfId="2" applyFont="1" applyFill="1" applyBorder="1" applyAlignment="1">
      <alignment horizontal="center" vertical="center" wrapText="1"/>
    </xf>
    <xf numFmtId="0" fontId="6" fillId="2" borderId="3" xfId="2" applyFont="1" applyFill="1" applyBorder="1" applyAlignment="1">
      <alignment horizontal="center" vertical="center" wrapText="1"/>
    </xf>
    <xf numFmtId="0" fontId="6" fillId="5" borderId="3" xfId="2" applyFont="1" applyFill="1" applyBorder="1" applyAlignment="1">
      <alignment horizontal="center" vertical="center" wrapText="1"/>
    </xf>
    <xf numFmtId="0" fontId="18" fillId="2" borderId="0" xfId="2" applyFont="1" applyFill="1"/>
    <xf numFmtId="0" fontId="18" fillId="5" borderId="4" xfId="2" applyFont="1" applyFill="1" applyBorder="1"/>
    <xf numFmtId="0" fontId="18" fillId="2" borderId="0" xfId="3" applyFont="1" applyFill="1"/>
    <xf numFmtId="0" fontId="15" fillId="2" borderId="0" xfId="2" applyFont="1" applyFill="1" applyAlignment="1">
      <alignment horizontal="left" indent="1"/>
    </xf>
    <xf numFmtId="2" fontId="15" fillId="2" borderId="0" xfId="2" applyNumberFormat="1" applyFont="1" applyFill="1" applyAlignment="1">
      <alignment horizontal="right"/>
    </xf>
    <xf numFmtId="2" fontId="15" fillId="5" borderId="5" xfId="2" applyNumberFormat="1" applyFont="1" applyFill="1" applyBorder="1" applyAlignment="1">
      <alignment horizontal="right"/>
    </xf>
    <xf numFmtId="169" fontId="16" fillId="2" borderId="0" xfId="4" applyNumberFormat="1" applyFont="1" applyFill="1"/>
    <xf numFmtId="2" fontId="15" fillId="2" borderId="0" xfId="2" applyNumberFormat="1" applyFont="1" applyFill="1"/>
    <xf numFmtId="2" fontId="15" fillId="5" borderId="5" xfId="2" applyNumberFormat="1" applyFont="1" applyFill="1" applyBorder="1"/>
    <xf numFmtId="2" fontId="18" fillId="2" borderId="0" xfId="2" applyNumberFormat="1" applyFont="1" applyFill="1" applyAlignment="1">
      <alignment horizontal="right"/>
    </xf>
    <xf numFmtId="2" fontId="18" fillId="5" borderId="5" xfId="2" applyNumberFormat="1" applyFont="1" applyFill="1" applyBorder="1" applyAlignment="1">
      <alignment horizontal="right"/>
    </xf>
    <xf numFmtId="0" fontId="15" fillId="2" borderId="0" xfId="2" applyFont="1" applyFill="1" applyAlignment="1">
      <alignment horizontal="right"/>
    </xf>
    <xf numFmtId="0" fontId="18" fillId="2" borderId="0" xfId="2" applyFont="1" applyFill="1" applyAlignment="1">
      <alignment horizontal="right"/>
    </xf>
    <xf numFmtId="0" fontId="18" fillId="5" borderId="5" xfId="2" applyFont="1" applyFill="1" applyBorder="1" applyAlignment="1">
      <alignment horizontal="right"/>
    </xf>
    <xf numFmtId="3" fontId="16" fillId="2" borderId="0" xfId="4" applyNumberFormat="1" applyFont="1" applyFill="1"/>
    <xf numFmtId="3" fontId="15" fillId="2" borderId="0" xfId="2" applyNumberFormat="1" applyFont="1" applyFill="1" applyAlignment="1">
      <alignment horizontal="right"/>
    </xf>
    <xf numFmtId="3" fontId="15" fillId="5" borderId="5" xfId="2" applyNumberFormat="1" applyFont="1" applyFill="1" applyBorder="1" applyAlignment="1">
      <alignment horizontal="right"/>
    </xf>
    <xf numFmtId="4" fontId="15" fillId="2" borderId="0" xfId="2" applyNumberFormat="1" applyFont="1" applyFill="1" applyAlignment="1">
      <alignment horizontal="right"/>
    </xf>
    <xf numFmtId="0" fontId="6" fillId="2" borderId="3" xfId="2" applyFont="1" applyFill="1" applyBorder="1" applyAlignment="1">
      <alignment horizontal="left"/>
    </xf>
    <xf numFmtId="166" fontId="15" fillId="2" borderId="3" xfId="2" applyNumberFormat="1" applyFont="1" applyFill="1" applyBorder="1" applyAlignment="1">
      <alignment horizontal="right"/>
    </xf>
    <xf numFmtId="166" fontId="15" fillId="5" borderId="6" xfId="2" applyNumberFormat="1" applyFont="1" applyFill="1" applyBorder="1" applyAlignment="1">
      <alignment horizontal="right"/>
    </xf>
    <xf numFmtId="0" fontId="18" fillId="5" borderId="0" xfId="2" applyFont="1" applyFill="1"/>
    <xf numFmtId="165" fontId="15" fillId="5" borderId="0" xfId="2" applyNumberFormat="1" applyFont="1" applyFill="1" applyAlignment="1">
      <alignment horizontal="right"/>
    </xf>
    <xf numFmtId="0" fontId="15" fillId="2" borderId="0" xfId="2" applyFont="1" applyFill="1" applyAlignment="1">
      <alignment horizontal="left" indent="2"/>
    </xf>
    <xf numFmtId="165" fontId="15" fillId="2" borderId="0" xfId="2" quotePrefix="1" applyNumberFormat="1" applyFont="1" applyFill="1" applyAlignment="1">
      <alignment horizontal="right"/>
    </xf>
    <xf numFmtId="165" fontId="15" fillId="5" borderId="0" xfId="2" quotePrefix="1" applyNumberFormat="1" applyFont="1" applyFill="1" applyAlignment="1">
      <alignment horizontal="right"/>
    </xf>
    <xf numFmtId="165" fontId="15" fillId="2" borderId="0" xfId="3" applyNumberFormat="1" applyFont="1" applyFill="1"/>
    <xf numFmtId="165" fontId="15" fillId="5" borderId="0" xfId="3" applyNumberFormat="1" applyFont="1" applyFill="1"/>
    <xf numFmtId="0" fontId="19" fillId="2" borderId="0" xfId="2" applyFont="1" applyFill="1" applyAlignment="1">
      <alignment horizontal="right"/>
    </xf>
    <xf numFmtId="0" fontId="20" fillId="2" borderId="0" xfId="2" applyFont="1" applyFill="1"/>
    <xf numFmtId="0" fontId="20" fillId="5" borderId="0" xfId="2" applyFont="1" applyFill="1"/>
    <xf numFmtId="3" fontId="15" fillId="5" borderId="0" xfId="2" applyNumberFormat="1" applyFont="1" applyFill="1" applyAlignment="1">
      <alignment horizontal="right"/>
    </xf>
    <xf numFmtId="166" fontId="15" fillId="2" borderId="0" xfId="2" applyNumberFormat="1" applyFont="1" applyFill="1" applyAlignment="1">
      <alignment horizontal="right"/>
    </xf>
    <xf numFmtId="166" fontId="15" fillId="5" borderId="0" xfId="2" applyNumberFormat="1" applyFont="1" applyFill="1" applyAlignment="1">
      <alignment horizontal="right"/>
    </xf>
    <xf numFmtId="0" fontId="15" fillId="2" borderId="3" xfId="2" applyFont="1" applyFill="1" applyBorder="1" applyAlignment="1">
      <alignment horizontal="left" indent="1"/>
    </xf>
    <xf numFmtId="166" fontId="15" fillId="5" borderId="3" xfId="2" applyNumberFormat="1" applyFont="1" applyFill="1" applyBorder="1" applyAlignment="1">
      <alignment horizontal="right"/>
    </xf>
    <xf numFmtId="14" fontId="15" fillId="2" borderId="0" xfId="3" applyNumberFormat="1" applyFont="1" applyFill="1"/>
    <xf numFmtId="0" fontId="16" fillId="0" borderId="0" xfId="0" applyFont="1"/>
    <xf numFmtId="0" fontId="16" fillId="0" borderId="0" xfId="0" applyFont="1" applyAlignment="1">
      <alignment horizontal="right"/>
    </xf>
    <xf numFmtId="0" fontId="16" fillId="0" borderId="0" xfId="0" applyFont="1" applyAlignment="1">
      <alignment wrapText="1"/>
    </xf>
    <xf numFmtId="17" fontId="16" fillId="0" borderId="0" xfId="0" applyNumberFormat="1" applyFont="1"/>
    <xf numFmtId="165" fontId="16" fillId="0" borderId="0" xfId="0" applyNumberFormat="1" applyFont="1"/>
    <xf numFmtId="0" fontId="16" fillId="0" borderId="0" xfId="0" applyFont="1" applyAlignment="1">
      <alignment horizontal="left"/>
    </xf>
    <xf numFmtId="0" fontId="16" fillId="0" borderId="1" xfId="0" applyFont="1" applyBorder="1" applyAlignment="1">
      <alignment horizontal="center" vertical="center" wrapText="1"/>
    </xf>
    <xf numFmtId="0" fontId="16" fillId="0" borderId="0" xfId="0" applyFont="1" applyAlignment="1">
      <alignment horizontal="center"/>
    </xf>
    <xf numFmtId="166" fontId="16" fillId="0" borderId="0" xfId="0" applyNumberFormat="1" applyFont="1" applyAlignment="1">
      <alignment horizontal="center"/>
    </xf>
    <xf numFmtId="4" fontId="16" fillId="0" borderId="0" xfId="0" applyNumberFormat="1" applyFont="1" applyAlignment="1">
      <alignment horizontal="center"/>
    </xf>
    <xf numFmtId="174" fontId="16" fillId="0" borderId="0" xfId="0" applyNumberFormat="1" applyFont="1"/>
    <xf numFmtId="172" fontId="16" fillId="0" borderId="0" xfId="0" applyNumberFormat="1" applyFont="1"/>
    <xf numFmtId="167" fontId="16" fillId="0" borderId="0" xfId="0" applyNumberFormat="1" applyFont="1"/>
    <xf numFmtId="173" fontId="16" fillId="0" borderId="0" xfId="0" applyNumberFormat="1" applyFont="1"/>
    <xf numFmtId="2" fontId="16" fillId="0" borderId="0" xfId="0" applyNumberFormat="1" applyFont="1"/>
    <xf numFmtId="3" fontId="16" fillId="0" borderId="0" xfId="0" applyNumberFormat="1" applyFont="1" applyAlignment="1">
      <alignment horizontal="center"/>
    </xf>
    <xf numFmtId="17" fontId="16" fillId="0" borderId="0" xfId="1" applyNumberFormat="1" applyFont="1" applyBorder="1"/>
    <xf numFmtId="0" fontId="16" fillId="0" borderId="0" xfId="1" applyFont="1" applyFill="1"/>
    <xf numFmtId="2" fontId="16" fillId="0" borderId="0" xfId="1" applyNumberFormat="1" applyFont="1" applyFill="1"/>
    <xf numFmtId="2" fontId="16" fillId="0" borderId="0" xfId="15" applyNumberFormat="1" applyFont="1" applyBorder="1"/>
    <xf numFmtId="168" fontId="16" fillId="0" borderId="0" xfId="0" applyNumberFormat="1" applyFont="1" applyAlignment="1">
      <alignment horizontal="center"/>
    </xf>
    <xf numFmtId="4" fontId="16" fillId="0" borderId="0" xfId="0" applyNumberFormat="1" applyFont="1"/>
    <xf numFmtId="0" fontId="16" fillId="0" borderId="0" xfId="0" applyNumberFormat="1" applyFont="1" applyAlignment="1">
      <alignment horizontal="center"/>
    </xf>
    <xf numFmtId="167" fontId="16" fillId="0" borderId="0" xfId="0" applyNumberFormat="1" applyFont="1" applyAlignment="1">
      <alignment horizontal="center"/>
    </xf>
    <xf numFmtId="0" fontId="16" fillId="0" borderId="0" xfId="0" applyFont="1" applyFill="1"/>
    <xf numFmtId="167" fontId="16" fillId="0" borderId="1" xfId="0" applyNumberFormat="1" applyFont="1" applyFill="1" applyBorder="1" applyAlignment="1">
      <alignment horizontal="center" vertical="center" wrapText="1"/>
    </xf>
    <xf numFmtId="1" fontId="16" fillId="0" borderId="0" xfId="0" applyNumberFormat="1" applyFont="1" applyFill="1" applyBorder="1" applyAlignment="1">
      <alignment horizontal="center"/>
    </xf>
    <xf numFmtId="165" fontId="16" fillId="0" borderId="0" xfId="0" applyNumberFormat="1" applyFont="1" applyFill="1" applyBorder="1"/>
    <xf numFmtId="171" fontId="16" fillId="0" borderId="0" xfId="0" applyNumberFormat="1" applyFont="1" applyFill="1" applyBorder="1" applyAlignment="1">
      <alignment horizontal="center"/>
    </xf>
    <xf numFmtId="175" fontId="16" fillId="0" borderId="0" xfId="0" applyNumberFormat="1" applyFont="1"/>
    <xf numFmtId="166" fontId="16" fillId="0" borderId="0" xfId="0" applyNumberFormat="1" applyFont="1" applyAlignment="1">
      <alignment horizontal="right"/>
    </xf>
    <xf numFmtId="175" fontId="16" fillId="0" borderId="0" xfId="0" applyNumberFormat="1" applyFont="1" applyAlignment="1">
      <alignment horizontal="center"/>
    </xf>
    <xf numFmtId="171" fontId="16" fillId="0" borderId="0" xfId="0" applyNumberFormat="1" applyFont="1" applyAlignment="1">
      <alignment horizontal="center"/>
    </xf>
    <xf numFmtId="167" fontId="16" fillId="0" borderId="1" xfId="0" applyNumberFormat="1" applyFont="1" applyBorder="1" applyAlignment="1">
      <alignment horizontal="center" vertical="center"/>
    </xf>
    <xf numFmtId="167" fontId="16" fillId="0" borderId="0" xfId="0" applyNumberFormat="1" applyFont="1" applyAlignment="1">
      <alignment horizontal="center" vertical="center"/>
    </xf>
    <xf numFmtId="0" fontId="6" fillId="0" borderId="0" xfId="2" applyFont="1"/>
    <xf numFmtId="0" fontId="21" fillId="0" borderId="0" xfId="2" applyFont="1"/>
    <xf numFmtId="0" fontId="15" fillId="0" borderId="0" xfId="2" applyFont="1"/>
    <xf numFmtId="0" fontId="16" fillId="0" borderId="0" xfId="2" applyFont="1"/>
    <xf numFmtId="0" fontId="6" fillId="0" borderId="1" xfId="2" applyFont="1" applyBorder="1" applyAlignment="1">
      <alignment vertical="center"/>
    </xf>
    <xf numFmtId="0" fontId="6" fillId="0" borderId="1" xfId="2" applyFont="1" applyBorder="1" applyAlignment="1">
      <alignment horizontal="center" vertical="center"/>
    </xf>
    <xf numFmtId="0" fontId="15" fillId="0" borderId="0" xfId="3" applyFont="1"/>
    <xf numFmtId="0" fontId="15" fillId="0" borderId="0" xfId="2" applyFont="1" applyAlignment="1">
      <alignment horizontal="left"/>
    </xf>
    <xf numFmtId="2" fontId="15" fillId="0" borderId="0" xfId="2" applyNumberFormat="1" applyFont="1" applyAlignment="1">
      <alignment horizontal="right"/>
    </xf>
    <xf numFmtId="169" fontId="16" fillId="0" borderId="0" xfId="4" applyNumberFormat="1" applyFont="1"/>
    <xf numFmtId="0" fontId="15" fillId="0" borderId="0" xfId="2" applyFont="1" applyAlignment="1">
      <alignment horizontal="left" indent="1"/>
    </xf>
    <xf numFmtId="2" fontId="15" fillId="0" borderId="0" xfId="2" applyNumberFormat="1" applyFont="1" applyAlignment="1">
      <alignment horizontal="center"/>
    </xf>
    <xf numFmtId="0" fontId="15" fillId="0" borderId="0" xfId="2" applyFont="1" applyAlignment="1">
      <alignment horizontal="left" indent="3"/>
    </xf>
    <xf numFmtId="165" fontId="15" fillId="0" borderId="0" xfId="2" applyNumberFormat="1" applyFont="1" applyAlignment="1">
      <alignment horizontal="center"/>
    </xf>
    <xf numFmtId="165" fontId="15" fillId="0" borderId="0" xfId="20" quotePrefix="1" applyNumberFormat="1" applyFont="1" applyFill="1" applyBorder="1" applyAlignment="1">
      <alignment horizontal="center"/>
    </xf>
    <xf numFmtId="0" fontId="15" fillId="0" borderId="0" xfId="2" applyFont="1" applyAlignment="1">
      <alignment horizontal="left" indent="2"/>
    </xf>
    <xf numFmtId="165" fontId="16" fillId="0" borderId="0" xfId="20" quotePrefix="1" applyNumberFormat="1" applyFont="1" applyFill="1" applyBorder="1" applyAlignment="1">
      <alignment horizontal="center"/>
    </xf>
    <xf numFmtId="166" fontId="15" fillId="0" borderId="0" xfId="2" applyNumberFormat="1" applyFont="1"/>
    <xf numFmtId="165" fontId="15" fillId="0" borderId="0" xfId="20" applyNumberFormat="1" applyFont="1" applyFill="1" applyBorder="1" applyAlignment="1">
      <alignment horizontal="center"/>
    </xf>
    <xf numFmtId="3" fontId="15" fillId="0" borderId="0" xfId="2" applyNumberFormat="1" applyFont="1" applyAlignment="1">
      <alignment horizontal="center"/>
    </xf>
    <xf numFmtId="3" fontId="16" fillId="0" borderId="0" xfId="0" applyNumberFormat="1" applyFont="1"/>
    <xf numFmtId="0" fontId="22" fillId="2" borderId="0" xfId="2" applyFont="1" applyFill="1" applyAlignment="1">
      <alignment horizontal="center"/>
    </xf>
    <xf numFmtId="0" fontId="22" fillId="2" borderId="0" xfId="2" applyFont="1" applyFill="1"/>
    <xf numFmtId="0" fontId="6" fillId="2" borderId="3" xfId="2" applyFont="1" applyFill="1" applyBorder="1"/>
    <xf numFmtId="0" fontId="6" fillId="2" borderId="3" xfId="2" applyFont="1" applyFill="1" applyBorder="1" applyAlignment="1">
      <alignment horizontal="center"/>
    </xf>
    <xf numFmtId="2" fontId="15" fillId="2" borderId="0" xfId="2" applyNumberFormat="1" applyFont="1" applyFill="1" applyAlignment="1">
      <alignment horizontal="center"/>
    </xf>
    <xf numFmtId="4" fontId="15" fillId="2" borderId="3" xfId="2" applyNumberFormat="1" applyFont="1" applyFill="1" applyBorder="1" applyAlignment="1">
      <alignment horizontal="center"/>
    </xf>
    <xf numFmtId="0" fontId="15" fillId="2" borderId="0" xfId="2" applyFont="1" applyFill="1" applyAlignment="1">
      <alignment horizontal="left"/>
    </xf>
    <xf numFmtId="0" fontId="6" fillId="5" borderId="0" xfId="7" applyFont="1" applyFill="1" applyAlignment="1">
      <alignment vertical="center"/>
    </xf>
    <xf numFmtId="2" fontId="6" fillId="5" borderId="0" xfId="7" applyNumberFormat="1" applyFont="1" applyFill="1" applyAlignment="1">
      <alignment horizontal="center" vertical="center"/>
    </xf>
    <xf numFmtId="2" fontId="3" fillId="5" borderId="0" xfId="7" applyNumberFormat="1" applyFont="1" applyFill="1" applyAlignment="1">
      <alignment horizontal="center" vertical="center"/>
    </xf>
    <xf numFmtId="0" fontId="16" fillId="2" borderId="0" xfId="0" applyFont="1" applyFill="1" applyAlignment="1"/>
    <xf numFmtId="2" fontId="6" fillId="2" borderId="0" xfId="2" applyNumberFormat="1" applyFont="1" applyFill="1" applyAlignment="1">
      <alignment horizontal="center"/>
    </xf>
    <xf numFmtId="2" fontId="22" fillId="2" borderId="0" xfId="2" applyNumberFormat="1" applyFont="1" applyFill="1"/>
    <xf numFmtId="0" fontId="15" fillId="2" borderId="0" xfId="2" applyFont="1" applyFill="1" applyAlignment="1">
      <alignment vertical="top" wrapText="1"/>
    </xf>
    <xf numFmtId="0" fontId="6" fillId="2" borderId="0" xfId="2" applyFont="1" applyFill="1" applyAlignment="1">
      <alignment horizontal="center"/>
    </xf>
    <xf numFmtId="0" fontId="15" fillId="2" borderId="3" xfId="2" applyFont="1" applyFill="1" applyBorder="1" applyAlignment="1">
      <alignment horizontal="center"/>
    </xf>
    <xf numFmtId="0" fontId="6" fillId="3" borderId="0" xfId="2" applyFont="1" applyFill="1"/>
    <xf numFmtId="2" fontId="6" fillId="3" borderId="0" xfId="2" applyNumberFormat="1" applyFont="1" applyFill="1" applyAlignment="1">
      <alignment horizontal="center"/>
    </xf>
    <xf numFmtId="0" fontId="22" fillId="4" borderId="0" xfId="2" applyFont="1" applyFill="1"/>
    <xf numFmtId="169" fontId="22" fillId="4" borderId="0" xfId="2" applyNumberFormat="1" applyFont="1" applyFill="1"/>
    <xf numFmtId="0" fontId="22" fillId="4" borderId="0" xfId="2" applyFont="1" applyFill="1" applyAlignment="1">
      <alignment horizontal="center"/>
    </xf>
    <xf numFmtId="0" fontId="6" fillId="3" borderId="0" xfId="2" applyFont="1" applyFill="1" applyAlignment="1">
      <alignment vertical="center"/>
    </xf>
    <xf numFmtId="2" fontId="6" fillId="3" borderId="0" xfId="2" applyNumberFormat="1" applyFont="1" applyFill="1" applyAlignment="1">
      <alignment horizontal="center" vertical="center"/>
    </xf>
    <xf numFmtId="0" fontId="6" fillId="8" borderId="0" xfId="2" applyFont="1" applyFill="1" applyAlignment="1">
      <alignment vertical="center"/>
    </xf>
    <xf numFmtId="2" fontId="6" fillId="8" borderId="0" xfId="2" applyNumberFormat="1" applyFont="1" applyFill="1" applyAlignment="1">
      <alignment horizontal="center" vertical="center"/>
    </xf>
    <xf numFmtId="0" fontId="15" fillId="2" borderId="0" xfId="2" applyFont="1" applyFill="1" applyAlignment="1">
      <alignment vertical="center"/>
    </xf>
    <xf numFmtId="0" fontId="15" fillId="2" borderId="0" xfId="6" applyFont="1" applyFill="1" applyAlignment="1">
      <alignment vertical="center"/>
    </xf>
    <xf numFmtId="0" fontId="6" fillId="2" borderId="0" xfId="6" applyFont="1" applyFill="1" applyAlignment="1">
      <alignment horizontal="center" vertical="center"/>
    </xf>
    <xf numFmtId="0" fontId="6" fillId="2" borderId="3" xfId="2" applyFont="1" applyFill="1" applyBorder="1" applyAlignment="1">
      <alignment vertical="center"/>
    </xf>
    <xf numFmtId="0" fontId="6" fillId="2" borderId="3" xfId="2" applyFont="1" applyFill="1" applyBorder="1" applyAlignment="1">
      <alignment horizontal="center" vertical="center"/>
    </xf>
    <xf numFmtId="2" fontId="15" fillId="2" borderId="0" xfId="2" applyNumberFormat="1" applyFont="1" applyFill="1" applyAlignment="1">
      <alignment horizontal="center" vertical="center"/>
    </xf>
    <xf numFmtId="0" fontId="15" fillId="2" borderId="0" xfId="21" applyFont="1" applyFill="1" applyAlignment="1">
      <alignment horizontal="left" vertical="center" indent="1"/>
    </xf>
    <xf numFmtId="2" fontId="15" fillId="2" borderId="0" xfId="0" applyNumberFormat="1" applyFont="1" applyFill="1" applyAlignment="1">
      <alignment horizontal="center" vertical="center"/>
    </xf>
    <xf numFmtId="2" fontId="15" fillId="2" borderId="0" xfId="6" applyNumberFormat="1" applyFont="1" applyFill="1" applyAlignment="1">
      <alignment horizontal="center" vertical="center"/>
    </xf>
    <xf numFmtId="0" fontId="15" fillId="2" borderId="3" xfId="2" applyFont="1" applyFill="1" applyBorder="1" applyAlignment="1">
      <alignment horizontal="left" vertical="center" indent="1"/>
    </xf>
    <xf numFmtId="4" fontId="15" fillId="2" borderId="3" xfId="2" applyNumberFormat="1" applyFont="1" applyFill="1" applyBorder="1" applyAlignment="1">
      <alignment horizontal="center" vertical="center"/>
    </xf>
    <xf numFmtId="2" fontId="6" fillId="2" borderId="0" xfId="2" applyNumberFormat="1" applyFont="1" applyFill="1" applyAlignment="1">
      <alignment horizontal="center" vertical="center"/>
    </xf>
    <xf numFmtId="0" fontId="15" fillId="2" borderId="0" xfId="2" applyFont="1" applyFill="1" applyAlignment="1">
      <alignment horizontal="left" vertical="center" wrapText="1"/>
    </xf>
    <xf numFmtId="2" fontId="15" fillId="2" borderId="0" xfId="6" applyNumberFormat="1" applyFont="1" applyFill="1"/>
    <xf numFmtId="2" fontId="15" fillId="2" borderId="0" xfId="6" applyNumberFormat="1" applyFont="1" applyFill="1" applyAlignment="1">
      <alignment horizontal="center"/>
    </xf>
    <xf numFmtId="0" fontId="15" fillId="2" borderId="0" xfId="0" applyFont="1" applyFill="1"/>
    <xf numFmtId="0" fontId="15" fillId="2" borderId="0" xfId="8" applyFont="1" applyFill="1" applyAlignment="1">
      <alignment horizontal="left" vertical="center" indent="1"/>
    </xf>
    <xf numFmtId="0" fontId="15" fillId="2" borderId="0" xfId="2" applyFont="1" applyFill="1" applyAlignment="1">
      <alignment horizontal="left" vertical="center" indent="1"/>
    </xf>
    <xf numFmtId="2" fontId="16" fillId="2" borderId="0" xfId="0" applyNumberFormat="1" applyFont="1" applyFill="1" applyAlignment="1">
      <alignment horizontal="center" vertical="center"/>
    </xf>
    <xf numFmtId="0" fontId="16" fillId="2" borderId="0" xfId="0" applyFont="1" applyFill="1" applyAlignment="1">
      <alignment wrapText="1"/>
    </xf>
    <xf numFmtId="0" fontId="8" fillId="2" borderId="0" xfId="2" applyFont="1" applyFill="1" applyAlignment="1">
      <alignment horizontal="left" vertical="center" wrapText="1"/>
    </xf>
    <xf numFmtId="0" fontId="9" fillId="2" borderId="0" xfId="6" applyFont="1" applyFill="1" applyAlignment="1">
      <alignment horizontal="left" vertical="top" wrapText="1"/>
    </xf>
    <xf numFmtId="0" fontId="9" fillId="2" borderId="0" xfId="6" applyFont="1" applyFill="1" applyAlignment="1">
      <alignment horizontal="left" vertical="center" wrapText="1"/>
    </xf>
    <xf numFmtId="170" fontId="15" fillId="2" borderId="0" xfId="5" applyNumberFormat="1" applyFont="1" applyFill="1" applyAlignment="1">
      <alignment vertical="center"/>
    </xf>
    <xf numFmtId="0" fontId="15" fillId="2" borderId="0" xfId="8" applyFont="1" applyFill="1" applyAlignment="1">
      <alignment vertical="center"/>
    </xf>
    <xf numFmtId="0" fontId="6" fillId="2" borderId="3" xfId="8" applyFont="1" applyFill="1" applyBorder="1" applyAlignment="1">
      <alignment vertical="center"/>
    </xf>
    <xf numFmtId="0" fontId="6" fillId="2" borderId="3" xfId="8" applyFont="1" applyFill="1" applyBorder="1" applyAlignment="1">
      <alignment horizontal="center" vertical="center"/>
    </xf>
    <xf numFmtId="165" fontId="15" fillId="2" borderId="0" xfId="0" applyNumberFormat="1" applyFont="1" applyFill="1" applyAlignment="1">
      <alignment vertical="center"/>
    </xf>
    <xf numFmtId="165" fontId="15" fillId="2" borderId="0" xfId="0" applyNumberFormat="1" applyFont="1" applyFill="1" applyAlignment="1">
      <alignment horizontal="center"/>
    </xf>
    <xf numFmtId="165" fontId="15" fillId="2" borderId="0" xfId="9" applyNumberFormat="1" applyFont="1" applyFill="1" applyAlignment="1">
      <alignment horizontal="center" vertical="center"/>
    </xf>
    <xf numFmtId="165" fontId="15" fillId="2" borderId="0" xfId="0" applyNumberFormat="1" applyFont="1" applyFill="1" applyAlignment="1">
      <alignment horizontal="center" vertical="center"/>
    </xf>
    <xf numFmtId="165" fontId="15" fillId="2" borderId="0" xfId="8" applyNumberFormat="1" applyFont="1" applyFill="1" applyAlignment="1">
      <alignment horizontal="center" vertical="center"/>
    </xf>
    <xf numFmtId="0" fontId="15" fillId="2" borderId="3" xfId="8" applyFont="1" applyFill="1" applyBorder="1" applyAlignment="1">
      <alignment horizontal="left" vertical="center" indent="1"/>
    </xf>
    <xf numFmtId="165" fontId="15" fillId="2" borderId="3" xfId="8" applyNumberFormat="1" applyFont="1" applyFill="1" applyBorder="1" applyAlignment="1">
      <alignment horizontal="center" vertical="center"/>
    </xf>
    <xf numFmtId="0" fontId="6" fillId="5" borderId="0" xfId="2" applyFont="1" applyFill="1" applyAlignment="1">
      <alignment vertical="center"/>
    </xf>
    <xf numFmtId="165" fontId="6" fillId="5" borderId="0" xfId="2" applyNumberFormat="1" applyFont="1" applyFill="1" applyAlignment="1">
      <alignment horizontal="center" vertical="center"/>
    </xf>
    <xf numFmtId="165" fontId="6" fillId="2" borderId="0" xfId="2" applyNumberFormat="1" applyFont="1" applyFill="1" applyAlignment="1">
      <alignment horizontal="center" vertical="center"/>
    </xf>
    <xf numFmtId="0" fontId="6" fillId="6" borderId="0" xfId="2" applyFont="1" applyFill="1" applyAlignment="1">
      <alignment vertical="center"/>
    </xf>
    <xf numFmtId="165" fontId="6" fillId="6" borderId="0" xfId="2" applyNumberFormat="1" applyFont="1" applyFill="1" applyAlignment="1">
      <alignment horizontal="center" vertical="center"/>
    </xf>
    <xf numFmtId="0" fontId="15" fillId="2" borderId="0" xfId="0" applyFont="1" applyFill="1" applyAlignment="1">
      <alignment vertical="center"/>
    </xf>
    <xf numFmtId="2" fontId="15" fillId="2" borderId="0" xfId="5" applyNumberFormat="1" applyFont="1" applyFill="1" applyBorder="1" applyAlignment="1">
      <alignment vertical="center"/>
    </xf>
    <xf numFmtId="2" fontId="15" fillId="2" borderId="0" xfId="0" applyNumberFormat="1" applyFont="1" applyFill="1" applyAlignment="1">
      <alignment horizontal="center"/>
    </xf>
    <xf numFmtId="2" fontId="15" fillId="2" borderId="0" xfId="8" applyNumberFormat="1" applyFont="1" applyFill="1" applyAlignment="1">
      <alignment horizontal="center" vertical="center"/>
    </xf>
    <xf numFmtId="2" fontId="15" fillId="2" borderId="3" xfId="8" applyNumberFormat="1" applyFont="1" applyFill="1" applyBorder="1" applyAlignment="1">
      <alignment horizontal="center" vertical="center"/>
    </xf>
    <xf numFmtId="0" fontId="15" fillId="2" borderId="0" xfId="8" applyFont="1" applyFill="1" applyAlignment="1">
      <alignment vertical="center" wrapText="1"/>
    </xf>
    <xf numFmtId="0" fontId="6" fillId="2" borderId="0" xfId="6" applyFont="1" applyFill="1" applyAlignment="1">
      <alignment vertical="center"/>
    </xf>
    <xf numFmtId="0" fontId="6" fillId="2" borderId="0" xfId="6" applyFont="1" applyFill="1" applyAlignment="1">
      <alignment horizontal="right" vertical="center"/>
    </xf>
    <xf numFmtId="0" fontId="6" fillId="2" borderId="3" xfId="6" applyFont="1" applyFill="1" applyBorder="1" applyAlignment="1">
      <alignment horizontal="center"/>
    </xf>
    <xf numFmtId="0" fontId="6" fillId="2" borderId="0" xfId="6" applyFont="1" applyFill="1"/>
    <xf numFmtId="165" fontId="15" fillId="2" borderId="0" xfId="6" applyNumberFormat="1" applyFont="1" applyFill="1" applyAlignment="1">
      <alignment horizontal="center"/>
    </xf>
    <xf numFmtId="0" fontId="15" fillId="2" borderId="0" xfId="6" applyFont="1" applyFill="1" applyAlignment="1">
      <alignment horizontal="center"/>
    </xf>
    <xf numFmtId="0" fontId="15" fillId="2" borderId="3" xfId="6" applyFont="1" applyFill="1" applyBorder="1" applyAlignment="1">
      <alignment horizontal="center"/>
    </xf>
    <xf numFmtId="0" fontId="15" fillId="2" borderId="0" xfId="10" applyFont="1" applyFill="1" applyAlignment="1">
      <alignment vertical="center"/>
    </xf>
    <xf numFmtId="0" fontId="6" fillId="2" borderId="3" xfId="10" applyFont="1" applyFill="1" applyBorder="1" applyAlignment="1">
      <alignment vertical="center"/>
    </xf>
    <xf numFmtId="1" fontId="6" fillId="2" borderId="3" xfId="10" applyNumberFormat="1" applyFont="1" applyFill="1" applyBorder="1" applyAlignment="1">
      <alignment horizontal="center" vertical="center"/>
    </xf>
    <xf numFmtId="165" fontId="15" fillId="2" borderId="0" xfId="10" applyNumberFormat="1" applyFont="1" applyFill="1" applyAlignment="1">
      <alignment horizontal="center" vertical="center"/>
    </xf>
    <xf numFmtId="0" fontId="15" fillId="2" borderId="0" xfId="10" applyFont="1" applyFill="1" applyAlignment="1">
      <alignment horizontal="left" vertical="center" indent="1"/>
    </xf>
    <xf numFmtId="165" fontId="16" fillId="2" borderId="0" xfId="10" applyNumberFormat="1" applyFont="1" applyFill="1" applyAlignment="1">
      <alignment horizontal="center" vertical="center"/>
    </xf>
    <xf numFmtId="0" fontId="16" fillId="2" borderId="0" xfId="10" applyFont="1" applyFill="1" applyAlignment="1">
      <alignment horizontal="left" vertical="center" indent="1"/>
    </xf>
    <xf numFmtId="0" fontId="15" fillId="2" borderId="3" xfId="10" applyFont="1" applyFill="1" applyBorder="1" applyAlignment="1">
      <alignment horizontal="left" vertical="center" indent="1"/>
    </xf>
    <xf numFmtId="165" fontId="15" fillId="2" borderId="3" xfId="10" applyNumberFormat="1" applyFont="1" applyFill="1" applyBorder="1" applyAlignment="1">
      <alignment horizontal="center" vertical="center"/>
    </xf>
    <xf numFmtId="0" fontId="15" fillId="2" borderId="0" xfId="10" applyFont="1" applyFill="1" applyAlignment="1">
      <alignment vertical="center" wrapText="1"/>
    </xf>
    <xf numFmtId="0" fontId="15" fillId="2" borderId="0" xfId="11" applyFont="1" applyFill="1" applyAlignment="1">
      <alignment vertical="center" wrapText="1"/>
    </xf>
    <xf numFmtId="1" fontId="6" fillId="2" borderId="3" xfId="8" applyNumberFormat="1" applyFont="1" applyFill="1" applyBorder="1" applyAlignment="1">
      <alignment horizontal="center" vertical="center"/>
    </xf>
    <xf numFmtId="165" fontId="16" fillId="2" borderId="0" xfId="8" applyNumberFormat="1" applyFont="1" applyFill="1" applyAlignment="1">
      <alignment horizontal="center" vertical="center"/>
    </xf>
    <xf numFmtId="165" fontId="6" fillId="2" borderId="0" xfId="8" applyNumberFormat="1" applyFont="1" applyFill="1" applyAlignment="1">
      <alignment horizontal="center" vertical="center"/>
    </xf>
    <xf numFmtId="0" fontId="15" fillId="2" borderId="0" xfId="0" applyFont="1" applyFill="1" applyAlignment="1">
      <alignment vertical="center" wrapText="1"/>
    </xf>
    <xf numFmtId="0" fontId="3" fillId="2" borderId="0" xfId="8" applyFont="1" applyFill="1" applyAlignment="1">
      <alignment vertical="center"/>
    </xf>
    <xf numFmtId="0" fontId="8" fillId="2" borderId="0" xfId="8" applyFont="1" applyFill="1" applyAlignment="1">
      <alignment horizontal="left" vertical="center" wrapText="1"/>
    </xf>
    <xf numFmtId="0" fontId="16" fillId="0" borderId="1" xfId="0" applyFont="1" applyBorder="1" applyAlignment="1">
      <alignment horizontal="center" vertical="center" wrapText="1"/>
    </xf>
    <xf numFmtId="0" fontId="16" fillId="0" borderId="0" xfId="0" applyFont="1" applyAlignment="1">
      <alignment wrapText="1"/>
    </xf>
    <xf numFmtId="166" fontId="16" fillId="0" borderId="0" xfId="0" applyNumberFormat="1" applyFont="1"/>
    <xf numFmtId="2" fontId="4" fillId="0" borderId="0" xfId="1" applyNumberFormat="1" applyFont="1"/>
    <xf numFmtId="2" fontId="16" fillId="0" borderId="0" xfId="1" applyNumberFormat="1" applyFont="1" applyBorder="1" applyAlignment="1">
      <alignment horizontal="right"/>
    </xf>
    <xf numFmtId="0" fontId="16" fillId="7" borderId="1" xfId="0" applyFont="1" applyFill="1" applyBorder="1" applyAlignment="1">
      <alignment horizontal="center" vertical="center" wrapText="1"/>
    </xf>
    <xf numFmtId="176" fontId="16" fillId="0" borderId="0" xfId="20" applyNumberFormat="1" applyFont="1"/>
    <xf numFmtId="0" fontId="3" fillId="0" borderId="1" xfId="1" applyFont="1" applyBorder="1" applyAlignment="1">
      <alignment horizontal="center" vertical="center"/>
    </xf>
    <xf numFmtId="2" fontId="16" fillId="0" borderId="0" xfId="0" applyNumberFormat="1" applyFont="1" applyAlignment="1">
      <alignment horizontal="center"/>
    </xf>
    <xf numFmtId="166" fontId="16" fillId="0" borderId="0" xfId="0" applyNumberFormat="1" applyFont="1" applyAlignment="1">
      <alignment horizontal="center" vertical="center"/>
    </xf>
    <xf numFmtId="0" fontId="16" fillId="0" borderId="1" xfId="0" applyFont="1" applyFill="1" applyBorder="1" applyAlignment="1">
      <alignment horizontal="center" vertical="center" wrapText="1"/>
    </xf>
    <xf numFmtId="167" fontId="24" fillId="0" borderId="0" xfId="0" applyNumberFormat="1" applyFont="1" applyFill="1"/>
    <xf numFmtId="167" fontId="16" fillId="0" borderId="0" xfId="0" applyNumberFormat="1" applyFont="1" applyFill="1"/>
    <xf numFmtId="0" fontId="2" fillId="0" borderId="1" xfId="0" applyFont="1" applyFill="1" applyBorder="1" applyAlignment="1">
      <alignment horizontal="center" vertical="center" wrapText="1"/>
    </xf>
    <xf numFmtId="0" fontId="3" fillId="0" borderId="1" xfId="1" applyFont="1" applyFill="1" applyBorder="1" applyAlignment="1">
      <alignment horizontal="center" vertical="center" wrapText="1"/>
    </xf>
    <xf numFmtId="0" fontId="16" fillId="0" borderId="0" xfId="0" applyFont="1" applyFill="1" applyAlignment="1">
      <alignment horizontal="center" vertical="center"/>
    </xf>
    <xf numFmtId="0" fontId="3" fillId="0" borderId="1" xfId="1" applyFont="1" applyFill="1" applyBorder="1" applyAlignment="1">
      <alignment horizontal="center" vertical="center"/>
    </xf>
    <xf numFmtId="2" fontId="16" fillId="0" borderId="0" xfId="15" applyNumberFormat="1" applyFont="1" applyFill="1" applyBorder="1"/>
    <xf numFmtId="3" fontId="16" fillId="0" borderId="1" xfId="0" applyNumberFormat="1" applyFont="1" applyFill="1" applyBorder="1" applyAlignment="1">
      <alignment horizontal="center" vertical="center" wrapText="1"/>
    </xf>
    <xf numFmtId="176" fontId="16" fillId="0" borderId="0" xfId="0" applyNumberFormat="1" applyFont="1"/>
    <xf numFmtId="164" fontId="16" fillId="0" borderId="0" xfId="0" applyNumberFormat="1" applyFont="1"/>
    <xf numFmtId="0" fontId="3" fillId="0" borderId="0" xfId="0" applyFont="1"/>
    <xf numFmtId="0" fontId="25" fillId="0" borderId="0" xfId="3" applyFont="1" applyFill="1" applyAlignment="1">
      <alignment wrapText="1"/>
    </xf>
    <xf numFmtId="0" fontId="6" fillId="2" borderId="2" xfId="2" applyFont="1" applyFill="1" applyBorder="1" applyAlignment="1">
      <alignment horizontal="left" vertical="center"/>
    </xf>
    <xf numFmtId="0" fontId="6" fillId="2" borderId="3" xfId="2" applyFont="1" applyFill="1" applyBorder="1" applyAlignment="1">
      <alignment horizontal="left" vertical="center"/>
    </xf>
    <xf numFmtId="0" fontId="15" fillId="2" borderId="0" xfId="2" applyFont="1" applyFill="1" applyAlignment="1">
      <alignment horizontal="center"/>
    </xf>
    <xf numFmtId="0" fontId="16" fillId="2" borderId="0" xfId="0" applyFont="1" applyFill="1" applyAlignment="1">
      <alignment horizontal="center"/>
    </xf>
    <xf numFmtId="0" fontId="16" fillId="0" borderId="1" xfId="0" applyFont="1" applyBorder="1" applyAlignment="1">
      <alignment horizontal="center" vertical="center" wrapText="1"/>
    </xf>
    <xf numFmtId="0" fontId="15" fillId="2" borderId="0" xfId="2" applyFont="1" applyFill="1" applyAlignment="1">
      <alignment horizontal="left" vertical="top" wrapText="1"/>
    </xf>
    <xf numFmtId="0" fontId="16" fillId="0" borderId="0" xfId="0" applyFont="1" applyAlignment="1">
      <alignment wrapText="1"/>
    </xf>
    <xf numFmtId="0" fontId="15" fillId="2" borderId="0" xfId="6" applyFont="1" applyFill="1" applyAlignment="1">
      <alignment horizontal="left" vertical="top" wrapText="1"/>
    </xf>
    <xf numFmtId="0" fontId="23" fillId="2" borderId="0" xfId="6" applyFont="1" applyFill="1" applyAlignment="1">
      <alignment horizontal="left" vertical="top" wrapText="1"/>
    </xf>
    <xf numFmtId="0" fontId="9" fillId="2" borderId="0" xfId="6" applyFont="1" applyFill="1" applyAlignment="1">
      <alignment horizontal="left" vertical="center" wrapText="1"/>
    </xf>
    <xf numFmtId="0" fontId="8" fillId="2" borderId="0" xfId="6" applyFont="1" applyFill="1" applyAlignment="1">
      <alignment horizontal="left" vertical="center" wrapText="1"/>
    </xf>
  </cellXfs>
  <cellStyles count="22">
    <cellStyle name="Comma" xfId="20" builtinId="3"/>
    <cellStyle name="Comma 2" xfId="5" xr:uid="{B9CDBAC9-0AF0-4F53-BF64-F30D8B992C13}"/>
    <cellStyle name="Comma 2 2" xfId="19" xr:uid="{93A46621-EF78-423B-BE64-98D4CCBE1F8A}"/>
    <cellStyle name="Hyperlink" xfId="14" builtinId="8"/>
    <cellStyle name="Hyperlink 2" xfId="12" xr:uid="{133EC173-F8A0-4F3A-B896-369AD8F85E1D}"/>
    <cellStyle name="Normal" xfId="0" builtinId="0"/>
    <cellStyle name="Normal 10 2 12" xfId="3" xr:uid="{C1FE43B4-705F-4FB2-838D-1B2E5ED49EBD}"/>
    <cellStyle name="Normal 10 2 2 2 2" xfId="1" xr:uid="{DBC6AF20-F0C1-46AF-9DA8-CF7F316EEC51}"/>
    <cellStyle name="Normal 10 2 2 2 2 2 3" xfId="17" xr:uid="{8655C5BB-27FF-4A61-ACAC-6DB2B94B36E9}"/>
    <cellStyle name="Normal 10 2 2 2 8" xfId="18" xr:uid="{A546A1F1-FC07-41C2-9F48-FE4B1425783F}"/>
    <cellStyle name="Normal 10 2 5" xfId="11" xr:uid="{7EAE32FB-1934-49BC-9DB2-2DE7071DB077}"/>
    <cellStyle name="Normal 14" xfId="6" xr:uid="{E0EA96BB-6BC1-48CA-9B8E-79C1ECEF4374}"/>
    <cellStyle name="Normal 18 91" xfId="15" xr:uid="{09048A28-735C-412F-BC4F-B1189069BFE0}"/>
    <cellStyle name="Normal 2" xfId="2" xr:uid="{6C77F058-8771-476A-9C62-A3DEC75CAB97}"/>
    <cellStyle name="Normal 2 11" xfId="8" xr:uid="{FF4C31A3-F40D-4F7C-983D-63A16B5832CB}"/>
    <cellStyle name="Normal 2 11 2" xfId="10" xr:uid="{76EC6066-00B7-4E23-95AE-B001DB03DABA}"/>
    <cellStyle name="Normal 2 12" xfId="21" xr:uid="{32EB6E98-0DB9-46B5-B157-9BE002677AAD}"/>
    <cellStyle name="Normal 2 2 10 10 2 3" xfId="7" xr:uid="{DEBC6521-A809-4738-B262-1ADFF09DBA92}"/>
    <cellStyle name="Normal 2 5" xfId="4" xr:uid="{7E8FE6C2-C3DE-45A9-B4D7-1713F9B912FC}"/>
    <cellStyle name="Normal 2 8 2" xfId="13" xr:uid="{A0BC09A2-F486-4DE8-B5D9-AEF84290E113}"/>
    <cellStyle name="Normal 3 2" xfId="16" xr:uid="{D52E723D-126F-4128-A539-EB1A35A2DB82}"/>
    <cellStyle name="Normal_table 2" xfId="9" xr:uid="{6A8CA772-6044-4811-90AE-663F4BCA94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20" Type="http://schemas.openxmlformats.org/officeDocument/2006/relationships/worksheet" Target="worksheets/sheet20.xml"/><Relationship Id="rId41" Type="http://schemas.openxmlformats.org/officeDocument/2006/relationships/externalLink" Target="externalLinks/externalLink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215347</xdr:colOff>
      <xdr:row>40</xdr:row>
      <xdr:rowOff>159958</xdr:rowOff>
    </xdr:to>
    <xdr:pic>
      <xdr:nvPicPr>
        <xdr:cNvPr id="2" name="Picture 1">
          <a:extLst>
            <a:ext uri="{FF2B5EF4-FFF2-40B4-BE49-F238E27FC236}">
              <a16:creationId xmlns:a16="http://schemas.microsoft.com/office/drawing/2014/main" id="{DC89EEC2-0FBB-1299-46E7-525EBD00C4C6}"/>
            </a:ext>
          </a:extLst>
        </xdr:cNvPr>
        <xdr:cNvPicPr>
          <a:picLocks noChangeAspect="1"/>
        </xdr:cNvPicPr>
      </xdr:nvPicPr>
      <xdr:blipFill>
        <a:blip xmlns:r="http://schemas.openxmlformats.org/officeDocument/2006/relationships" r:embed="rId1"/>
        <a:stretch>
          <a:fillRect/>
        </a:stretch>
      </xdr:blipFill>
      <xdr:spPr>
        <a:xfrm>
          <a:off x="0" y="0"/>
          <a:ext cx="5731564" cy="77799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asp\KimR$\My%20Documents\xl%20stuff\PYRAMI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samson.amusan\Local%20Settings\Temporary%20Internet%20Files\Content.Outlook\E206LHKH\New%20Lic.%20&amp;%20Wells%20Drille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nternal.treasuryboard.alberta.ca/Documents%20and%20Settings/GaleL/Local%20Settings/Temporary%20Internet%20Files/OLK3/Book7.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OA.ds.gov.ab.ca\APPS\InDesign\_Economics_Publications\Budget\2024-25_Economic-Outlook\SourceDocs\Benchmarking%20Tables%202024.1.30.xlsx" TargetMode="External"/><Relationship Id="rId1" Type="http://schemas.openxmlformats.org/officeDocument/2006/relationships/externalLinkPath" Target="/InDesign/_Economics_Publications/Budget/2024-25_Economic-Outlook/SourceDocs/Benchmarking%20Tables%202024.1.3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oa.ds.gov.ab.ca/SHARED/TBF/EFP/ERF/Economics/MODELS_Datasets/BenchmarkingTables/2024/2024.01.30/Benchmarking%20Tables%202024.01.30%20(WIP)%20AF.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EFP\ERF\Economics\MODELS_Datasets\BenchmarkingTables\2024\2024.01.30\Benchmarking%20Tables%202024.01.30%20(WIP)%20AF.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Documents%20and%20Settings\GaleL\Local%20Settings\Temporary%20Internet%20Files\OLK3\Book7.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P:\InDesign\_Economics_Publications\Budget\2025-26_Economic-Outlook\SourceDocs\Budget%202025-Scenario%20Revenue%20Results-Feb18.xlsx" TargetMode="External"/><Relationship Id="rId1" Type="http://schemas.openxmlformats.org/officeDocument/2006/relationships/externalLinkPath" Target="file:///P:\InDesign\_Economics_Publications\Budget\2025-26_Economic-Outlook\SourceDocs\Budget%202025-Scenario%20Revenue%20Results-Feb18.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P:\InDesign\_Economics_Publications\Budget\2025-26_Economic-Outlook\SourceDocs\Benchmarking%20Tables%202025.02.07.xlsx" TargetMode="External"/><Relationship Id="rId1" Type="http://schemas.openxmlformats.org/officeDocument/2006/relationships/externalLinkPath" Target="file:///P:\InDesign\_Economics_Publications\Budget\2025-26_Economic-Outlook\SourceDocs\Benchmarking%20Tables%202025.02.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YRAMID"/>
      <sheetName val="GRAPH3"/>
      <sheetName val="GRAPH2"/>
      <sheetName val="GRAPH1"/>
    </sheetNames>
    <sheetDataSet>
      <sheetData sheetId="0" refreshError="1">
        <row r="1">
          <cell r="A1" t="str">
            <v>Table</v>
          </cell>
        </row>
        <row r="184">
          <cell r="A184" t="str">
            <v>0-4</v>
          </cell>
          <cell r="B184">
            <v>15.564337483590073</v>
          </cell>
          <cell r="C184">
            <v>14.944044267261317</v>
          </cell>
          <cell r="D184">
            <v>7.4453595975015752</v>
          </cell>
        </row>
        <row r="185">
          <cell r="A185" t="str">
            <v>5-9</v>
          </cell>
          <cell r="B185">
            <v>15.785675600616088</v>
          </cell>
          <cell r="C185">
            <v>13.125198863104645</v>
          </cell>
          <cell r="D185">
            <v>7.5512389435148597</v>
          </cell>
        </row>
        <row r="186">
          <cell r="A186" t="str">
            <v>10-14</v>
          </cell>
          <cell r="B186">
            <v>12.676992134168875</v>
          </cell>
          <cell r="C186">
            <v>9.1270477886422761</v>
          </cell>
          <cell r="D186">
            <v>6.0641684975733003</v>
          </cell>
        </row>
        <row r="187">
          <cell r="A187" t="str">
            <v>15-19</v>
          </cell>
          <cell r="B187">
            <v>7.3529229533422313</v>
          </cell>
          <cell r="C187">
            <v>6.4082047908962814</v>
          </cell>
          <cell r="D187">
            <v>3.5173456973723161</v>
          </cell>
        </row>
        <row r="188">
          <cell r="A188" t="str">
            <v>20-24</v>
          </cell>
          <cell r="B188">
            <v>7.6951897501463318</v>
          </cell>
          <cell r="C188">
            <v>8.1590690933981467</v>
          </cell>
          <cell r="D188">
            <v>3.6810725108764744</v>
          </cell>
        </row>
        <row r="189">
          <cell r="A189" t="str">
            <v>25-29</v>
          </cell>
          <cell r="B189">
            <v>8.0759437940407448</v>
          </cell>
          <cell r="C189">
            <v>9.0895144665388603</v>
          </cell>
          <cell r="D189">
            <v>3.8632100916110015</v>
          </cell>
        </row>
        <row r="190">
          <cell r="A190" t="str">
            <v>30-34</v>
          </cell>
          <cell r="B190">
            <v>7.255174092834447</v>
          </cell>
          <cell r="C190">
            <v>9.0593674883222235</v>
          </cell>
          <cell r="D190">
            <v>3.4705865328724599</v>
          </cell>
        </row>
        <row r="191">
          <cell r="A191" t="str">
            <v>35-39</v>
          </cell>
          <cell r="B191">
            <v>7.3227818990394953</v>
          </cell>
          <cell r="C191">
            <v>7.933936005518702</v>
          </cell>
          <cell r="D191">
            <v>3.5029274165962607</v>
          </cell>
        </row>
        <row r="192">
          <cell r="A192" t="str">
            <v>40-44</v>
          </cell>
          <cell r="B192">
            <v>5.8394192507670111</v>
          </cell>
          <cell r="C192">
            <v>6.467863722289513</v>
          </cell>
          <cell r="D192">
            <v>2.7933457629258056</v>
          </cell>
        </row>
        <row r="193">
          <cell r="A193" t="str">
            <v>45-49</v>
          </cell>
          <cell r="B193">
            <v>4.6776219254848996</v>
          </cell>
          <cell r="C193">
            <v>4.6615851294515256</v>
          </cell>
          <cell r="D193">
            <v>2.2375881615977198</v>
          </cell>
        </row>
        <row r="194">
          <cell r="A194" t="str">
            <v>50-54</v>
          </cell>
          <cell r="B194">
            <v>2.3282597714236566</v>
          </cell>
          <cell r="C194">
            <v>2.9852192908575113</v>
          </cell>
          <cell r="D194">
            <v>1.1137468108053072</v>
          </cell>
        </row>
        <row r="195">
          <cell r="A195" t="str">
            <v>55-59</v>
          </cell>
          <cell r="B195">
            <v>1.457522252262037</v>
          </cell>
          <cell r="C195">
            <v>2.1074475736695892</v>
          </cell>
          <cell r="D195">
            <v>0.69722063665688361</v>
          </cell>
        </row>
        <row r="196">
          <cell r="A196" t="str">
            <v>60-64</v>
          </cell>
          <cell r="B196">
            <v>1.6949696147557773</v>
          </cell>
          <cell r="C196">
            <v>2.8871914780976522</v>
          </cell>
          <cell r="D196">
            <v>0.81080600456015173</v>
          </cell>
        </row>
        <row r="197">
          <cell r="A197" t="str">
            <v>65-69</v>
          </cell>
          <cell r="B197">
            <v>1.2014872988439975</v>
          </cell>
          <cell r="C197">
            <v>1.5100561228445912</v>
          </cell>
          <cell r="D197">
            <v>0.57474370503440342</v>
          </cell>
        </row>
        <row r="198">
          <cell r="A198" t="str">
            <v>70-74</v>
          </cell>
          <cell r="B198">
            <v>0.6235954523818722</v>
          </cell>
          <cell r="C198">
            <v>0.85798567383509672</v>
          </cell>
          <cell r="D198">
            <v>0.29830324556023302</v>
          </cell>
        </row>
        <row r="199">
          <cell r="A199" t="str">
            <v>75-79</v>
          </cell>
          <cell r="B199">
            <v>0.24309653228445866</v>
          </cell>
          <cell r="C199">
            <v>0.36293352156812414</v>
          </cell>
          <cell r="D199">
            <v>0.11628770589636203</v>
          </cell>
        </row>
        <row r="200">
          <cell r="A200" t="str">
            <v>80-84</v>
          </cell>
          <cell r="B200">
            <v>0.10933877014293493</v>
          </cell>
          <cell r="C200">
            <v>0.16711185264210524</v>
          </cell>
          <cell r="D200">
            <v>5.2303315995365231E-2</v>
          </cell>
        </row>
        <row r="201">
          <cell r="A201" t="str">
            <v>85-89</v>
          </cell>
          <cell r="B201">
            <v>5.4669385071467465E-2</v>
          </cell>
          <cell r="C201">
            <v>8.3555926321052618E-2</v>
          </cell>
          <cell r="D201">
            <v>2.6151657997682615E-2</v>
          </cell>
        </row>
        <row r="202">
          <cell r="A202" t="str">
            <v>90-94</v>
          </cell>
          <cell r="B202">
            <v>2.7334692535733732E-2</v>
          </cell>
          <cell r="C202">
            <v>4.1777963160526309E-2</v>
          </cell>
          <cell r="D202">
            <v>1.3075828998841308E-2</v>
          </cell>
        </row>
        <row r="203">
          <cell r="A203" t="str">
            <v>95+</v>
          </cell>
          <cell r="B203">
            <v>1.3667346267866866E-2</v>
          </cell>
          <cell r="C203">
            <v>2.0888981580263154E-2</v>
          </cell>
          <cell r="D203">
            <v>6.5379144994206538E-3</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EUB Ann. Wlls"/>
      <sheetName val="EUB Wells"/>
      <sheetName val="New Licenses"/>
      <sheetName val="Well Count"/>
      <sheetName val="sel stat"/>
      <sheetName val="Summary Drilling"/>
      <sheetName val="Summary New lic."/>
      <sheetName val="newlic92"/>
      <sheetName val="newlic93"/>
      <sheetName val="newlic94"/>
      <sheetName val="newlic95"/>
      <sheetName val="newlic96"/>
      <sheetName val="newlic97"/>
      <sheetName val="newlic98"/>
      <sheetName val="drlg98"/>
      <sheetName val="drlg00"/>
      <sheetName val="newlic00"/>
    </sheetNames>
    <sheetDataSet>
      <sheetData sheetId="0">
        <row r="38">
          <cell r="E38">
            <v>4888</v>
          </cell>
          <cell r="J38">
            <v>2653</v>
          </cell>
        </row>
        <row r="39">
          <cell r="E39">
            <v>4006</v>
          </cell>
          <cell r="J39">
            <v>2865</v>
          </cell>
        </row>
        <row r="40">
          <cell r="E40">
            <v>3862</v>
          </cell>
          <cell r="J40">
            <v>1719</v>
          </cell>
        </row>
        <row r="41">
          <cell r="E41">
            <v>3457</v>
          </cell>
          <cell r="J41">
            <v>1245</v>
          </cell>
        </row>
        <row r="42">
          <cell r="E42">
            <v>4496</v>
          </cell>
          <cell r="J42">
            <v>1661</v>
          </cell>
        </row>
        <row r="43">
          <cell r="E43">
            <v>6288</v>
          </cell>
          <cell r="J43">
            <v>2175</v>
          </cell>
        </row>
        <row r="44">
          <cell r="E44">
            <v>3298</v>
          </cell>
          <cell r="J44">
            <v>1199</v>
          </cell>
        </row>
        <row r="45">
          <cell r="E45">
            <v>3865</v>
          </cell>
          <cell r="J45">
            <v>1305</v>
          </cell>
        </row>
        <row r="46">
          <cell r="E46">
            <v>4812</v>
          </cell>
          <cell r="J46">
            <v>1793</v>
          </cell>
        </row>
        <row r="47">
          <cell r="E47">
            <v>2451</v>
          </cell>
          <cell r="J47">
            <v>1678</v>
          </cell>
        </row>
        <row r="48">
          <cell r="E48">
            <v>2655</v>
          </cell>
          <cell r="J48">
            <v>1643</v>
          </cell>
        </row>
        <row r="49">
          <cell r="E49">
            <v>2711</v>
          </cell>
          <cell r="J49">
            <v>1182</v>
          </cell>
        </row>
        <row r="50">
          <cell r="E50">
            <v>2744</v>
          </cell>
          <cell r="J50">
            <v>1053</v>
          </cell>
        </row>
        <row r="51">
          <cell r="E51">
            <v>5595</v>
          </cell>
          <cell r="J51">
            <v>1662</v>
          </cell>
        </row>
        <row r="52">
          <cell r="E52">
            <v>6677</v>
          </cell>
          <cell r="J52">
            <v>2432</v>
          </cell>
        </row>
        <row r="53">
          <cell r="E53">
            <v>6477</v>
          </cell>
          <cell r="J53">
            <v>1997</v>
          </cell>
        </row>
        <row r="54">
          <cell r="E54">
            <v>8229</v>
          </cell>
          <cell r="J54">
            <v>2157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ude Oil"/>
      <sheetName val="Natural Gas"/>
      <sheetName val="TSX Index"/>
      <sheetName val="Dow Jones Index"/>
      <sheetName val="Sheet1"/>
      <sheetName val="Data"/>
      <sheetName val="Control"/>
    </sheetNames>
    <sheetDataSet>
      <sheetData sheetId="0" refreshError="1"/>
      <sheetData sheetId="1" refreshError="1"/>
      <sheetData sheetId="2" refreshError="1"/>
      <sheetData sheetId="3" refreshError="1"/>
      <sheetData sheetId="4"/>
      <sheetData sheetId="5">
        <row r="3">
          <cell r="A3">
            <v>36983</v>
          </cell>
          <cell r="D3">
            <v>36983</v>
          </cell>
          <cell r="G3">
            <v>36983</v>
          </cell>
          <cell r="J3">
            <v>36983</v>
          </cell>
        </row>
      </sheetData>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acts, Cutoffs, and Data"/>
      <sheetName val="01_WTI_Oil"/>
      <sheetName val="02_Henry_Hub_NG"/>
      <sheetName val="03_WTI-WCS"/>
      <sheetName val="02.1_AECO_NG"/>
      <sheetName val="04_10Yr_IR"/>
      <sheetName val="05_USD-CAD"/>
      <sheetName val="06_Real_GDP_Growth"/>
      <sheetName val="07_Nom_GDP_Growth"/>
      <sheetName val="08_Emp_Growth"/>
      <sheetName val="09_Unemp_Rate"/>
      <sheetName val="10_Housing_Starts"/>
      <sheetName val="XX_WTIOil - last year"/>
      <sheetName val="XX_Natural Gas - last year"/>
      <sheetName val="08_Emp_Growth2"/>
      <sheetName val="01_WTI_Oil (2)"/>
      <sheetName val="Page 1 - Short Version"/>
      <sheetName val="Page 2 - Short Version"/>
    </sheetNames>
    <sheetDataSet>
      <sheetData sheetId="0">
        <row r="1">
          <cell r="B1" t="str">
            <v>January 30, 2024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acts, Cutoffs, and Data"/>
      <sheetName val="01_WTI_Oil"/>
      <sheetName val="02_Henry_Hub_NG"/>
      <sheetName val="03_WTI-WCS"/>
      <sheetName val="02.1_AECO_NG"/>
      <sheetName val="04_10Yr_IR"/>
      <sheetName val="05_USD-CAD"/>
      <sheetName val="06_Real_GDP_Growth"/>
      <sheetName val="07_Nom_GDP_Growth"/>
      <sheetName val="08_Emp_Growth"/>
      <sheetName val="09_Unemp_Rate"/>
      <sheetName val="10_Housing_Starts"/>
      <sheetName val="XX_WTIOil - last year"/>
      <sheetName val="XX_Natural Gas - last year"/>
      <sheetName val="01_WTI_Oil (2)"/>
      <sheetName val="Page 1 - Short Version"/>
      <sheetName val="Page 2 - Short Version"/>
    </sheetNames>
    <sheetDataSet>
      <sheetData sheetId="0">
        <row r="1">
          <cell r="B1" t="str">
            <v>January 30, 2024</v>
          </cell>
        </row>
        <row r="2">
          <cell r="B2" t="str">
            <v>January 30, 2024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acts, Cutoffs, and Data"/>
      <sheetName val="01_WTI_Oil"/>
      <sheetName val="02_Henry_Hub_NG"/>
      <sheetName val="03_WTI-WCS"/>
      <sheetName val="02.1_AECO_NG"/>
      <sheetName val="04_10Yr_IR"/>
      <sheetName val="05_USD-CAD"/>
      <sheetName val="06_Real_GDP_Growth"/>
      <sheetName val="07_Nom_GDP_Growth"/>
      <sheetName val="08_Emp_Growth"/>
      <sheetName val="09_Unemp_Rate"/>
      <sheetName val="10_Housing_Starts"/>
      <sheetName val="XX_WTIOil - last year"/>
      <sheetName val="XX_Natural Gas - last year"/>
      <sheetName val="01_WTI_Oil (2)"/>
      <sheetName val="Page 1 - Short Version"/>
      <sheetName val="Page 2 - Short Version"/>
    </sheetNames>
    <sheetDataSet>
      <sheetData sheetId="0">
        <row r="1">
          <cell r="B1" t="str">
            <v>January 30, 2024</v>
          </cell>
        </row>
        <row r="2">
          <cell r="B2" t="str">
            <v>January 30, 2024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ude Oil"/>
      <sheetName val="Natural Gas"/>
      <sheetName val="TSX Index"/>
      <sheetName val="Dow Jones Index"/>
      <sheetName val="Sheet1"/>
      <sheetName val="Data"/>
      <sheetName val="Control"/>
    </sheetNames>
    <sheetDataSet>
      <sheetData sheetId="0" refreshError="1"/>
      <sheetData sheetId="1" refreshError="1"/>
      <sheetData sheetId="2" refreshError="1"/>
      <sheetData sheetId="3" refreshError="1"/>
      <sheetData sheetId="4"/>
      <sheetData sheetId="5">
        <row r="3">
          <cell r="A3">
            <v>36983</v>
          </cell>
          <cell r="J3">
            <v>36983</v>
          </cell>
        </row>
      </sheetData>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eline Revenue"/>
      <sheetName val="Baseline Econ"/>
      <sheetName val="High Revenue"/>
      <sheetName val="High Econ"/>
      <sheetName val="Low Revenue"/>
      <sheetName val="Low Econ"/>
      <sheetName val="Charts"/>
      <sheetName val="Table 1 Scenarios"/>
      <sheetName val="Binder Table"/>
      <sheetName val="Chart-DM"/>
    </sheetNames>
    <sheetDataSet>
      <sheetData sheetId="0">
        <row r="8">
          <cell r="C8">
            <v>22273.909985569459</v>
          </cell>
          <cell r="D8">
            <v>23209.100570343016</v>
          </cell>
          <cell r="E8">
            <v>24234.529926099094</v>
          </cell>
        </row>
        <row r="18">
          <cell r="C18">
            <v>3268</v>
          </cell>
          <cell r="D18">
            <v>3336</v>
          </cell>
          <cell r="E18">
            <v>3409</v>
          </cell>
        </row>
        <row r="26">
          <cell r="C26">
            <v>17067</v>
          </cell>
          <cell r="D26">
            <v>17619</v>
          </cell>
          <cell r="E26">
            <v>17815</v>
          </cell>
        </row>
      </sheetData>
      <sheetData sheetId="1">
        <row r="3">
          <cell r="C3" t="str">
            <v>2025-26</v>
          </cell>
          <cell r="D3" t="str">
            <v>2026-27</v>
          </cell>
          <cell r="E3" t="str">
            <v>2027-28</v>
          </cell>
        </row>
        <row r="6">
          <cell r="C6">
            <v>67.999999999999986</v>
          </cell>
          <cell r="D6">
            <v>71</v>
          </cell>
          <cell r="E6">
            <v>71.5</v>
          </cell>
        </row>
        <row r="8">
          <cell r="C8">
            <v>-17.109999999999996</v>
          </cell>
          <cell r="D8">
            <v>-16.500000000000004</v>
          </cell>
          <cell r="E8">
            <v>-15.580000000000004</v>
          </cell>
        </row>
        <row r="10">
          <cell r="C10">
            <v>69.628740966266463</v>
          </cell>
          <cell r="D10">
            <v>71.923942326496686</v>
          </cell>
          <cell r="E10">
            <v>73.799710155996607</v>
          </cell>
        </row>
        <row r="11">
          <cell r="B11">
            <v>2025</v>
          </cell>
          <cell r="C11">
            <v>2026</v>
          </cell>
          <cell r="D11">
            <v>2027</v>
          </cell>
          <cell r="E11">
            <v>2028</v>
          </cell>
        </row>
        <row r="13">
          <cell r="B13">
            <v>1.8</v>
          </cell>
          <cell r="C13">
            <v>1.7</v>
          </cell>
          <cell r="D13">
            <v>2.1</v>
          </cell>
          <cell r="E13">
            <v>2.2000000000000002</v>
          </cell>
        </row>
        <row r="15">
          <cell r="B15">
            <v>1.2</v>
          </cell>
          <cell r="C15">
            <v>3</v>
          </cell>
          <cell r="D15">
            <v>3.5</v>
          </cell>
          <cell r="E15">
            <v>4.3</v>
          </cell>
        </row>
        <row r="17">
          <cell r="B17">
            <v>2567.3000000000002</v>
          </cell>
          <cell r="C17">
            <v>2608.9</v>
          </cell>
          <cell r="D17">
            <v>2659</v>
          </cell>
          <cell r="E17">
            <v>2713.2</v>
          </cell>
        </row>
      </sheetData>
      <sheetData sheetId="2">
        <row r="25">
          <cell r="C25">
            <v>2.2510900144305412</v>
          </cell>
          <cell r="D25">
            <v>1.9288994296569886</v>
          </cell>
          <cell r="E25">
            <v>1.8314700739009067</v>
          </cell>
        </row>
      </sheetData>
      <sheetData sheetId="3">
        <row r="6">
          <cell r="C6">
            <v>70</v>
          </cell>
          <cell r="D6">
            <v>73</v>
          </cell>
          <cell r="E6">
            <v>73.5</v>
          </cell>
        </row>
        <row r="8">
          <cell r="C8">
            <v>-14.250000000000002</v>
          </cell>
          <cell r="D8">
            <v>-15</v>
          </cell>
          <cell r="E8">
            <v>-15.000000000000002</v>
          </cell>
        </row>
        <row r="10">
          <cell r="C10">
            <v>72.0544176075271</v>
          </cell>
          <cell r="D10">
            <v>74.751709394779368</v>
          </cell>
          <cell r="E10">
            <v>76.501240448657725</v>
          </cell>
        </row>
        <row r="13">
          <cell r="B13">
            <v>2.6</v>
          </cell>
          <cell r="C13">
            <v>2.7</v>
          </cell>
          <cell r="D13">
            <v>2.5</v>
          </cell>
          <cell r="E13">
            <v>2.4</v>
          </cell>
        </row>
        <row r="15">
          <cell r="B15">
            <v>3.7</v>
          </cell>
          <cell r="C15">
            <v>4.2</v>
          </cell>
          <cell r="D15">
            <v>4.5</v>
          </cell>
          <cell r="E15">
            <v>4.7</v>
          </cell>
        </row>
        <row r="17">
          <cell r="B17">
            <v>2575.1</v>
          </cell>
          <cell r="C17">
            <v>2634.9</v>
          </cell>
          <cell r="D17">
            <v>2693.4</v>
          </cell>
          <cell r="E17">
            <v>2747.2</v>
          </cell>
        </row>
      </sheetData>
      <sheetData sheetId="4">
        <row r="25">
          <cell r="C25">
            <v>-3.4899274916494569</v>
          </cell>
          <cell r="D25">
            <v>-4.5989790764230163</v>
          </cell>
          <cell r="E25">
            <v>-3.4462971821790949</v>
          </cell>
        </row>
      </sheetData>
      <sheetData sheetId="5">
        <row r="6">
          <cell r="C6">
            <v>64.999999999999986</v>
          </cell>
          <cell r="D6">
            <v>67.899999999999991</v>
          </cell>
          <cell r="E6">
            <v>70.999999999999986</v>
          </cell>
        </row>
        <row r="8">
          <cell r="C8">
            <v>-19.25</v>
          </cell>
          <cell r="D8">
            <v>-17.849999999999998</v>
          </cell>
          <cell r="E8">
            <v>-17.14</v>
          </cell>
        </row>
        <row r="10">
          <cell r="C10">
            <v>68.051278390796</v>
          </cell>
          <cell r="D10">
            <v>71.315465341048593</v>
          </cell>
          <cell r="E10">
            <v>73.749460131013905</v>
          </cell>
        </row>
        <row r="13">
          <cell r="B13">
            <v>0.5</v>
          </cell>
          <cell r="C13">
            <v>0.6</v>
          </cell>
          <cell r="D13">
            <v>1.6</v>
          </cell>
          <cell r="E13">
            <v>2</v>
          </cell>
        </row>
        <row r="15">
          <cell r="B15">
            <v>-1.6</v>
          </cell>
          <cell r="C15">
            <v>1.8</v>
          </cell>
          <cell r="D15">
            <v>3.5</v>
          </cell>
          <cell r="E15">
            <v>3.9</v>
          </cell>
        </row>
        <row r="17">
          <cell r="B17">
            <v>2552</v>
          </cell>
          <cell r="C17">
            <v>2575</v>
          </cell>
          <cell r="D17">
            <v>2617</v>
          </cell>
          <cell r="E17">
            <v>2674</v>
          </cell>
        </row>
      </sheetData>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acts, Cutoffs, and Data"/>
      <sheetName val="01_WTI_Oil"/>
      <sheetName val="02_WTI-WCS"/>
      <sheetName val="03_Henry_Hub_NG"/>
      <sheetName val="02.1_AECO_NG"/>
      <sheetName val="04_USD-CAD"/>
      <sheetName val="05_10Yr_IR"/>
      <sheetName val="06_Real_GDP_Growth"/>
      <sheetName val="07_Nom_GDP_Growth"/>
      <sheetName val="08_Emp_Growth"/>
      <sheetName val="09_Unemp_Rate"/>
      <sheetName val="10_Housing_Starts"/>
      <sheetName val="XX_WTIOil - last year"/>
      <sheetName val="XX_Natural Gas - last year"/>
      <sheetName val="01_WTI_Oil (2)"/>
      <sheetName val="Page 1 - Short Version"/>
      <sheetName val="Page 2 - Short Version"/>
    </sheetNames>
    <sheetDataSet>
      <sheetData sheetId="0">
        <row r="1">
          <cell r="B1" t="str">
            <v>February 7, 2025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open.alberta.ca/licenc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9BD37-2E37-4F84-B43B-BA1889ABF269}">
  <sheetPr>
    <tabColor rgb="FF92D050"/>
  </sheetPr>
  <dimension ref="E55:G56"/>
  <sheetViews>
    <sheetView tabSelected="1" zoomScaleNormal="100" workbookViewId="0">
      <selection activeCell="K19" sqref="K19"/>
    </sheetView>
  </sheetViews>
  <sheetFormatPr defaultRowHeight="15"/>
  <sheetData>
    <row r="55" spans="5:7">
      <c r="E55" t="s">
        <v>115</v>
      </c>
      <c r="G55" s="9"/>
    </row>
    <row r="56" spans="5:7">
      <c r="G56" s="10" t="s">
        <v>116</v>
      </c>
    </row>
  </sheetData>
  <hyperlinks>
    <hyperlink ref="G56" r:id="rId1" xr:uid="{22BBDB05-8FDE-4B90-A8F7-EE6ABA9783C8}"/>
  </hyperlinks>
  <pageMargins left="0.7" right="0.7" top="0.75" bottom="0.75" header="0.3" footer="0.3"/>
  <headerFooter>
    <oddFooter>&amp;L_x000D_&amp;1#&amp;"Calibri"&amp;11&amp;K000000 Classification: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FEA99-42AE-45EE-B22D-C18ED24464D2}">
  <sheetPr>
    <tabColor rgb="FF92D050"/>
  </sheetPr>
  <dimension ref="A1:H42"/>
  <sheetViews>
    <sheetView topLeftCell="A16" workbookViewId="0">
      <selection activeCell="A45" sqref="A45"/>
    </sheetView>
  </sheetViews>
  <sheetFormatPr defaultColWidth="9.140625" defaultRowHeight="15.75"/>
  <cols>
    <col min="1" max="1" width="37.7109375" style="18" bestFit="1" customWidth="1"/>
    <col min="2" max="16384" width="9.140625" style="18"/>
  </cols>
  <sheetData>
    <row r="1" spans="1:8">
      <c r="A1" s="3" t="s">
        <v>34</v>
      </c>
      <c r="B1" s="15"/>
      <c r="C1" s="15"/>
      <c r="D1" s="15"/>
      <c r="E1" s="15"/>
      <c r="F1" s="16"/>
      <c r="G1" s="16"/>
      <c r="H1" s="17"/>
    </row>
    <row r="2" spans="1:8">
      <c r="A2" s="3"/>
      <c r="B2" s="15"/>
      <c r="C2" s="15"/>
      <c r="D2" s="17"/>
      <c r="E2" s="15"/>
      <c r="F2" s="15"/>
      <c r="G2" s="15"/>
      <c r="H2" s="17"/>
    </row>
    <row r="3" spans="1:8">
      <c r="A3" s="19"/>
      <c r="B3" s="20"/>
      <c r="C3" s="15"/>
      <c r="D3" s="238"/>
      <c r="E3" s="239"/>
      <c r="F3" s="239"/>
      <c r="G3" s="21"/>
      <c r="H3" s="17"/>
    </row>
    <row r="4" spans="1:8">
      <c r="A4" s="236" t="s">
        <v>314</v>
      </c>
      <c r="B4" s="22" t="s">
        <v>36</v>
      </c>
      <c r="C4" s="22" t="s">
        <v>37</v>
      </c>
      <c r="D4" s="22" t="s">
        <v>38</v>
      </c>
      <c r="E4" s="23" t="s">
        <v>39</v>
      </c>
      <c r="F4" s="22" t="s">
        <v>65</v>
      </c>
      <c r="G4" s="22" t="s">
        <v>122</v>
      </c>
      <c r="H4" s="17"/>
    </row>
    <row r="5" spans="1:8">
      <c r="A5" s="237"/>
      <c r="B5" s="24" t="s">
        <v>40</v>
      </c>
      <c r="C5" s="24" t="s">
        <v>40</v>
      </c>
      <c r="D5" s="24" t="s">
        <v>41</v>
      </c>
      <c r="E5" s="25" t="s">
        <v>0</v>
      </c>
      <c r="F5" s="24" t="s">
        <v>0</v>
      </c>
      <c r="G5" s="24" t="s">
        <v>0</v>
      </c>
      <c r="H5" s="17"/>
    </row>
    <row r="6" spans="1:8">
      <c r="A6" s="3" t="s">
        <v>117</v>
      </c>
      <c r="B6" s="15"/>
      <c r="C6" s="26"/>
      <c r="D6" s="26"/>
      <c r="E6" s="27"/>
      <c r="F6" s="28"/>
      <c r="G6" s="28"/>
      <c r="H6" s="17"/>
    </row>
    <row r="7" spans="1:8">
      <c r="A7" s="29" t="s">
        <v>42</v>
      </c>
      <c r="B7" s="30">
        <v>89.69</v>
      </c>
      <c r="C7" s="30">
        <v>77.83</v>
      </c>
      <c r="D7" s="30">
        <v>74</v>
      </c>
      <c r="E7" s="31">
        <v>68</v>
      </c>
      <c r="F7" s="30">
        <v>71</v>
      </c>
      <c r="G7" s="30">
        <v>71.5</v>
      </c>
      <c r="H7" s="32"/>
    </row>
    <row r="8" spans="1:8">
      <c r="A8" s="29" t="s">
        <v>43</v>
      </c>
      <c r="B8" s="30">
        <v>20.77</v>
      </c>
      <c r="C8" s="30">
        <v>17.29</v>
      </c>
      <c r="D8" s="30">
        <v>13.2</v>
      </c>
      <c r="E8" s="31">
        <v>17.100000000000001</v>
      </c>
      <c r="F8" s="30">
        <v>16.5</v>
      </c>
      <c r="G8" s="30">
        <v>15.6</v>
      </c>
      <c r="H8" s="32"/>
    </row>
    <row r="9" spans="1:8">
      <c r="A9" s="29" t="s">
        <v>44</v>
      </c>
      <c r="B9" s="30">
        <v>90.62</v>
      </c>
      <c r="C9" s="33">
        <v>81.67</v>
      </c>
      <c r="D9" s="33">
        <v>84.7</v>
      </c>
      <c r="E9" s="34">
        <v>73.099999999999994</v>
      </c>
      <c r="F9" s="33">
        <v>75.8</v>
      </c>
      <c r="G9" s="33">
        <v>75.8</v>
      </c>
      <c r="H9" s="32"/>
    </row>
    <row r="10" spans="1:8">
      <c r="A10" s="3" t="s">
        <v>118</v>
      </c>
      <c r="B10" s="30"/>
      <c r="C10" s="35"/>
      <c r="D10" s="35"/>
      <c r="E10" s="36"/>
      <c r="F10" s="17"/>
      <c r="G10" s="17"/>
      <c r="H10" s="32"/>
    </row>
    <row r="11" spans="1:8">
      <c r="A11" s="29" t="s">
        <v>45</v>
      </c>
      <c r="B11" s="30">
        <v>4.63</v>
      </c>
      <c r="C11" s="30">
        <v>2.0699999999999998</v>
      </c>
      <c r="D11" s="30">
        <v>1.2</v>
      </c>
      <c r="E11" s="31">
        <v>2.5</v>
      </c>
      <c r="F11" s="30">
        <v>3.1</v>
      </c>
      <c r="G11" s="30">
        <v>2.9</v>
      </c>
      <c r="H11" s="32"/>
    </row>
    <row r="12" spans="1:8">
      <c r="A12" s="19" t="s">
        <v>119</v>
      </c>
      <c r="B12" s="37"/>
      <c r="C12" s="38"/>
      <c r="D12" s="38"/>
      <c r="E12" s="39"/>
      <c r="F12" s="17"/>
      <c r="G12" s="17"/>
      <c r="H12" s="40"/>
    </row>
    <row r="13" spans="1:8">
      <c r="A13" s="29" t="s">
        <v>46</v>
      </c>
      <c r="B13" s="41">
        <v>497</v>
      </c>
      <c r="C13" s="41">
        <v>511</v>
      </c>
      <c r="D13" s="41">
        <v>528</v>
      </c>
      <c r="E13" s="42">
        <v>519</v>
      </c>
      <c r="F13" s="41">
        <v>512</v>
      </c>
      <c r="G13" s="41">
        <v>504</v>
      </c>
      <c r="H13" s="17"/>
    </row>
    <row r="14" spans="1:8">
      <c r="A14" s="29" t="s">
        <v>47</v>
      </c>
      <c r="B14" s="41">
        <v>3250</v>
      </c>
      <c r="C14" s="41">
        <v>3332</v>
      </c>
      <c r="D14" s="41">
        <v>3455</v>
      </c>
      <c r="E14" s="42">
        <v>3558</v>
      </c>
      <c r="F14" s="41">
        <v>3689</v>
      </c>
      <c r="G14" s="41">
        <v>3752</v>
      </c>
      <c r="H14" s="17"/>
    </row>
    <row r="15" spans="1:8">
      <c r="A15" s="29" t="s">
        <v>48</v>
      </c>
      <c r="B15" s="41">
        <v>4265</v>
      </c>
      <c r="C15" s="41">
        <v>4267</v>
      </c>
      <c r="D15" s="41">
        <v>4304</v>
      </c>
      <c r="E15" s="42">
        <v>4354</v>
      </c>
      <c r="F15" s="41">
        <v>4354</v>
      </c>
      <c r="G15" s="41">
        <v>4354</v>
      </c>
      <c r="H15" s="17"/>
    </row>
    <row r="16" spans="1:8">
      <c r="A16" s="3" t="s">
        <v>120</v>
      </c>
      <c r="B16" s="37"/>
      <c r="C16" s="38"/>
      <c r="D16" s="38"/>
      <c r="E16" s="39"/>
      <c r="F16" s="17"/>
      <c r="G16" s="17"/>
      <c r="H16" s="17"/>
    </row>
    <row r="17" spans="1:8">
      <c r="A17" s="29" t="s">
        <v>49</v>
      </c>
      <c r="B17" s="43">
        <v>3.17</v>
      </c>
      <c r="C17" s="30">
        <v>4.88</v>
      </c>
      <c r="D17" s="30">
        <v>3.7</v>
      </c>
      <c r="E17" s="31">
        <v>2.2999999999999998</v>
      </c>
      <c r="F17" s="30">
        <v>2.2999999999999998</v>
      </c>
      <c r="G17" s="30">
        <v>2.2999999999999998</v>
      </c>
      <c r="H17" s="17"/>
    </row>
    <row r="18" spans="1:8">
      <c r="A18" s="29" t="s">
        <v>50</v>
      </c>
      <c r="B18" s="43">
        <v>3.05</v>
      </c>
      <c r="C18" s="30">
        <v>3.46</v>
      </c>
      <c r="D18" s="30">
        <v>3.3</v>
      </c>
      <c r="E18" s="31">
        <v>3.1</v>
      </c>
      <c r="F18" s="30">
        <v>3.1</v>
      </c>
      <c r="G18" s="30">
        <v>3.1</v>
      </c>
      <c r="H18" s="17"/>
    </row>
    <row r="19" spans="1:8">
      <c r="A19" s="44" t="s">
        <v>121</v>
      </c>
      <c r="B19" s="45">
        <v>75.599999999999994</v>
      </c>
      <c r="C19" s="45">
        <v>74.2</v>
      </c>
      <c r="D19" s="45">
        <v>71.7</v>
      </c>
      <c r="E19" s="46">
        <v>69.599999999999994</v>
      </c>
      <c r="F19" s="45">
        <v>71.900000000000006</v>
      </c>
      <c r="G19" s="45">
        <v>73.8</v>
      </c>
      <c r="H19" s="17"/>
    </row>
    <row r="20" spans="1:8">
      <c r="A20" s="19"/>
      <c r="B20" s="20"/>
      <c r="C20" s="15"/>
      <c r="D20" s="238"/>
      <c r="E20" s="239"/>
      <c r="F20" s="239"/>
      <c r="G20" s="239"/>
      <c r="H20" s="17"/>
    </row>
    <row r="21" spans="1:8">
      <c r="A21" s="236" t="s">
        <v>315</v>
      </c>
      <c r="B21" s="22">
        <v>2022</v>
      </c>
      <c r="C21" s="22">
        <v>2023</v>
      </c>
      <c r="D21" s="22">
        <v>2024</v>
      </c>
      <c r="E21" s="22">
        <v>2025</v>
      </c>
      <c r="F21" s="22">
        <v>2026</v>
      </c>
      <c r="G21" s="22">
        <v>2027</v>
      </c>
      <c r="H21" s="22">
        <v>2028</v>
      </c>
    </row>
    <row r="22" spans="1:8">
      <c r="A22" s="237"/>
      <c r="B22" s="24" t="s">
        <v>40</v>
      </c>
      <c r="C22" s="24" t="s">
        <v>40</v>
      </c>
      <c r="D22" s="24" t="s">
        <v>41</v>
      </c>
      <c r="E22" s="25" t="s">
        <v>0</v>
      </c>
      <c r="F22" s="24" t="s">
        <v>0</v>
      </c>
      <c r="G22" s="24" t="s">
        <v>0</v>
      </c>
      <c r="H22" s="24" t="s">
        <v>0</v>
      </c>
    </row>
    <row r="23" spans="1:8">
      <c r="A23" s="3" t="s">
        <v>51</v>
      </c>
      <c r="B23" s="15"/>
      <c r="C23" s="26"/>
      <c r="D23" s="26"/>
      <c r="E23" s="47"/>
      <c r="F23" s="26"/>
      <c r="G23" s="28"/>
      <c r="H23" s="28"/>
    </row>
    <row r="24" spans="1:8">
      <c r="A24" s="29" t="s">
        <v>52</v>
      </c>
      <c r="B24" s="20">
        <v>472.8</v>
      </c>
      <c r="C24" s="20">
        <v>452.4</v>
      </c>
      <c r="D24" s="20">
        <v>476.6</v>
      </c>
      <c r="E24" s="48">
        <v>482.5</v>
      </c>
      <c r="F24" s="20">
        <v>497</v>
      </c>
      <c r="G24" s="20">
        <v>514.4</v>
      </c>
      <c r="H24" s="20">
        <v>536.70000000000005</v>
      </c>
    </row>
    <row r="25" spans="1:8">
      <c r="A25" s="49" t="s">
        <v>53</v>
      </c>
      <c r="B25" s="50">
        <v>24.4</v>
      </c>
      <c r="C25" s="50">
        <v>-4.3</v>
      </c>
      <c r="D25" s="50">
        <v>5.3</v>
      </c>
      <c r="E25" s="51">
        <v>1.2</v>
      </c>
      <c r="F25" s="50">
        <v>3</v>
      </c>
      <c r="G25" s="50">
        <v>3.5</v>
      </c>
      <c r="H25" s="50">
        <v>4.3</v>
      </c>
    </row>
    <row r="26" spans="1:8">
      <c r="A26" s="29" t="s">
        <v>104</v>
      </c>
      <c r="B26" s="52">
        <v>348.7</v>
      </c>
      <c r="C26" s="52">
        <v>356.8</v>
      </c>
      <c r="D26" s="52">
        <v>367.3</v>
      </c>
      <c r="E26" s="53">
        <v>373.8</v>
      </c>
      <c r="F26" s="52">
        <v>380.3</v>
      </c>
      <c r="G26" s="52">
        <v>388.5</v>
      </c>
      <c r="H26" s="52">
        <v>397.2</v>
      </c>
    </row>
    <row r="27" spans="1:8">
      <c r="A27" s="49" t="s">
        <v>53</v>
      </c>
      <c r="B27" s="50">
        <v>6</v>
      </c>
      <c r="C27" s="50">
        <v>2.2999999999999998</v>
      </c>
      <c r="D27" s="50">
        <v>3</v>
      </c>
      <c r="E27" s="51">
        <v>1.8</v>
      </c>
      <c r="F27" s="50">
        <v>1.7</v>
      </c>
      <c r="G27" s="50">
        <v>2.1</v>
      </c>
      <c r="H27" s="50">
        <v>2.2000000000000002</v>
      </c>
    </row>
    <row r="28" spans="1:8">
      <c r="A28" s="3" t="s">
        <v>54</v>
      </c>
      <c r="B28" s="54"/>
      <c r="C28" s="55"/>
      <c r="D28" s="55"/>
      <c r="E28" s="56"/>
      <c r="F28" s="55"/>
      <c r="G28" s="17"/>
      <c r="H28" s="17"/>
    </row>
    <row r="29" spans="1:8">
      <c r="A29" s="29" t="s">
        <v>28</v>
      </c>
      <c r="B29" s="41">
        <v>2356</v>
      </c>
      <c r="C29" s="41">
        <v>2443</v>
      </c>
      <c r="D29" s="41" t="s">
        <v>123</v>
      </c>
      <c r="E29" s="57">
        <v>2567</v>
      </c>
      <c r="F29" s="41">
        <v>2609</v>
      </c>
      <c r="G29" s="41">
        <v>2659</v>
      </c>
      <c r="H29" s="41">
        <v>2713</v>
      </c>
    </row>
    <row r="30" spans="1:8">
      <c r="A30" s="49" t="s">
        <v>53</v>
      </c>
      <c r="B30" s="58">
        <v>4.9000000000000004</v>
      </c>
      <c r="C30" s="58">
        <v>3.7</v>
      </c>
      <c r="D30" s="58" t="s">
        <v>124</v>
      </c>
      <c r="E30" s="59">
        <v>1.9</v>
      </c>
      <c r="F30" s="58">
        <v>1.6</v>
      </c>
      <c r="G30" s="58">
        <v>1.9</v>
      </c>
      <c r="H30" s="58">
        <v>2</v>
      </c>
    </row>
    <row r="31" spans="1:8">
      <c r="A31" s="29" t="s">
        <v>29</v>
      </c>
      <c r="B31" s="58">
        <v>5.8</v>
      </c>
      <c r="C31" s="58">
        <v>5.9</v>
      </c>
      <c r="D31" s="58" t="s">
        <v>125</v>
      </c>
      <c r="E31" s="59">
        <v>7.4</v>
      </c>
      <c r="F31" s="58">
        <v>7.2</v>
      </c>
      <c r="G31" s="58">
        <v>6.9</v>
      </c>
      <c r="H31" s="58">
        <v>6.6</v>
      </c>
    </row>
    <row r="32" spans="1:8">
      <c r="A32" s="29" t="s">
        <v>55</v>
      </c>
      <c r="B32" s="58">
        <v>2.5</v>
      </c>
      <c r="C32" s="58">
        <v>2.1</v>
      </c>
      <c r="D32" s="58">
        <v>3.5</v>
      </c>
      <c r="E32" s="59">
        <v>3.2</v>
      </c>
      <c r="F32" s="58">
        <v>2.8</v>
      </c>
      <c r="G32" s="58">
        <v>2.6</v>
      </c>
      <c r="H32" s="58">
        <v>2.5</v>
      </c>
    </row>
    <row r="33" spans="1:8">
      <c r="A33" s="29" t="s">
        <v>56</v>
      </c>
      <c r="B33" s="58">
        <v>10.4</v>
      </c>
      <c r="C33" s="58">
        <v>5.7</v>
      </c>
      <c r="D33" s="58">
        <v>7.1</v>
      </c>
      <c r="E33" s="59">
        <v>4.8</v>
      </c>
      <c r="F33" s="58">
        <v>4.2</v>
      </c>
      <c r="G33" s="58">
        <v>4.3</v>
      </c>
      <c r="H33" s="58">
        <v>4.3</v>
      </c>
    </row>
    <row r="34" spans="1:8">
      <c r="A34" s="29" t="s">
        <v>57</v>
      </c>
      <c r="B34" s="58">
        <v>75.2</v>
      </c>
      <c r="C34" s="58">
        <v>-26.9</v>
      </c>
      <c r="D34" s="58">
        <v>0</v>
      </c>
      <c r="E34" s="59">
        <v>-9</v>
      </c>
      <c r="F34" s="58">
        <v>1.2</v>
      </c>
      <c r="G34" s="58">
        <v>3</v>
      </c>
      <c r="H34" s="58">
        <v>3.5</v>
      </c>
    </row>
    <row r="35" spans="1:8">
      <c r="A35" s="29" t="s">
        <v>58</v>
      </c>
      <c r="B35" s="58">
        <v>36.5</v>
      </c>
      <c r="C35" s="58">
        <v>36</v>
      </c>
      <c r="D35" s="58" t="s">
        <v>126</v>
      </c>
      <c r="E35" s="59">
        <v>43</v>
      </c>
      <c r="F35" s="58">
        <v>40.799999999999997</v>
      </c>
      <c r="G35" s="58">
        <v>38.299999999999997</v>
      </c>
      <c r="H35" s="58">
        <v>37.799999999999997</v>
      </c>
    </row>
    <row r="36" spans="1:8">
      <c r="A36" s="29" t="s">
        <v>59</v>
      </c>
      <c r="B36" s="58">
        <v>6.4</v>
      </c>
      <c r="C36" s="58">
        <v>3.3</v>
      </c>
      <c r="D36" s="58" t="s">
        <v>127</v>
      </c>
      <c r="E36" s="59">
        <v>2.6</v>
      </c>
      <c r="F36" s="58">
        <v>2.4</v>
      </c>
      <c r="G36" s="58">
        <v>2.2000000000000002</v>
      </c>
      <c r="H36" s="58">
        <v>2.2000000000000002</v>
      </c>
    </row>
    <row r="37" spans="1:8">
      <c r="A37" s="29" t="s">
        <v>60</v>
      </c>
      <c r="B37" s="58">
        <v>6.9</v>
      </c>
      <c r="C37" s="58">
        <v>4.3</v>
      </c>
      <c r="D37" s="58">
        <v>1.8</v>
      </c>
      <c r="E37" s="59">
        <v>3.7</v>
      </c>
      <c r="F37" s="58">
        <v>2.8</v>
      </c>
      <c r="G37" s="58">
        <v>3.4</v>
      </c>
      <c r="H37" s="58">
        <v>3.9</v>
      </c>
    </row>
    <row r="38" spans="1:8">
      <c r="A38" s="29" t="s">
        <v>61</v>
      </c>
      <c r="B38" s="41">
        <v>4511</v>
      </c>
      <c r="C38" s="41">
        <v>4685</v>
      </c>
      <c r="D38" s="41" t="s">
        <v>128</v>
      </c>
      <c r="E38" s="57">
        <v>5009</v>
      </c>
      <c r="F38" s="41">
        <v>5080</v>
      </c>
      <c r="G38" s="41">
        <v>5150</v>
      </c>
      <c r="H38" s="41">
        <v>5232</v>
      </c>
    </row>
    <row r="39" spans="1:8">
      <c r="A39" s="49" t="s">
        <v>53</v>
      </c>
      <c r="B39" s="58">
        <v>1.8</v>
      </c>
      <c r="C39" s="58">
        <v>3.9</v>
      </c>
      <c r="D39" s="58" t="s">
        <v>129</v>
      </c>
      <c r="E39" s="59">
        <v>2.5</v>
      </c>
      <c r="F39" s="58">
        <v>1.4</v>
      </c>
      <c r="G39" s="58">
        <v>1.4</v>
      </c>
      <c r="H39" s="58">
        <v>1.6</v>
      </c>
    </row>
    <row r="40" spans="1:8">
      <c r="A40" s="60" t="s">
        <v>62</v>
      </c>
      <c r="B40" s="45">
        <v>63.4</v>
      </c>
      <c r="C40" s="45">
        <v>159.1</v>
      </c>
      <c r="D40" s="45" t="s">
        <v>130</v>
      </c>
      <c r="E40" s="61">
        <v>102.2</v>
      </c>
      <c r="F40" s="45">
        <v>51.9</v>
      </c>
      <c r="G40" s="45">
        <v>49.9</v>
      </c>
      <c r="H40" s="45">
        <v>61.6</v>
      </c>
    </row>
    <row r="41" spans="1:8">
      <c r="A41" s="17"/>
      <c r="B41" s="52"/>
      <c r="C41" s="52"/>
      <c r="D41" s="52"/>
      <c r="E41" s="52"/>
      <c r="F41" s="17"/>
      <c r="G41" s="62"/>
      <c r="H41" s="17"/>
    </row>
    <row r="42" spans="1:8" ht="45.75">
      <c r="A42" s="235" t="s">
        <v>365</v>
      </c>
      <c r="B42" s="17"/>
      <c r="C42" s="17"/>
      <c r="D42" s="17"/>
      <c r="E42" s="17"/>
      <c r="F42" s="17"/>
      <c r="G42" s="17"/>
      <c r="H42" s="17"/>
    </row>
  </sheetData>
  <mergeCells count="4">
    <mergeCell ref="A4:A5"/>
    <mergeCell ref="A21:A22"/>
    <mergeCell ref="D3:F3"/>
    <mergeCell ref="D20:G20"/>
  </mergeCells>
  <pageMargins left="0.7" right="0.7" top="0.75" bottom="0.75" header="0.3" footer="0.3"/>
  <headerFooter>
    <oddFooter>&amp;L_x000D_&amp;1#&amp;"Calibri"&amp;11&amp;K000000 Classification: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9AF93-EAFB-4679-BB78-74A04D058FA2}">
  <sheetPr>
    <tabColor rgb="FF92D050"/>
  </sheetPr>
  <dimension ref="A1:B82"/>
  <sheetViews>
    <sheetView topLeftCell="A52" zoomScaleNormal="100" workbookViewId="0">
      <selection activeCell="A82" sqref="A82"/>
    </sheetView>
  </sheetViews>
  <sheetFormatPr defaultColWidth="9.140625" defaultRowHeight="15.75"/>
  <cols>
    <col min="1" max="1" width="12.7109375" style="64" customWidth="1"/>
    <col min="2" max="2" width="12.7109375" style="63" customWidth="1"/>
    <col min="3" max="16384" width="9.140625" style="63"/>
  </cols>
  <sheetData>
    <row r="1" spans="1:2">
      <c r="A1" s="1" t="s">
        <v>131</v>
      </c>
    </row>
    <row r="2" spans="1:2">
      <c r="A2" s="1"/>
    </row>
    <row r="3" spans="1:2" s="65" customFormat="1" ht="31.5">
      <c r="A3" s="213" t="s">
        <v>25</v>
      </c>
      <c r="B3" s="223" t="s">
        <v>335</v>
      </c>
    </row>
    <row r="4" spans="1:2">
      <c r="A4" s="66">
        <v>43405</v>
      </c>
      <c r="B4" s="67">
        <v>276.60000000000002</v>
      </c>
    </row>
    <row r="5" spans="1:2">
      <c r="A5" s="66">
        <v>43435</v>
      </c>
      <c r="B5" s="67">
        <v>271.39999999999998</v>
      </c>
    </row>
    <row r="6" spans="1:2">
      <c r="A6" s="66">
        <v>43466</v>
      </c>
      <c r="B6" s="67">
        <v>271.39999999999998</v>
      </c>
    </row>
    <row r="7" spans="1:2">
      <c r="A7" s="66">
        <v>43497</v>
      </c>
      <c r="B7" s="67">
        <v>268.39999999999998</v>
      </c>
    </row>
    <row r="8" spans="1:2">
      <c r="A8" s="66">
        <v>43525</v>
      </c>
      <c r="B8" s="67">
        <v>271</v>
      </c>
    </row>
    <row r="9" spans="1:2">
      <c r="A9" s="66">
        <v>43556</v>
      </c>
      <c r="B9" s="67">
        <v>278.3</v>
      </c>
    </row>
    <row r="10" spans="1:2">
      <c r="A10" s="66">
        <v>43586</v>
      </c>
      <c r="B10" s="67">
        <v>277.60000000000002</v>
      </c>
    </row>
    <row r="11" spans="1:2">
      <c r="A11" s="66">
        <v>43617</v>
      </c>
      <c r="B11" s="67">
        <v>275.8</v>
      </c>
    </row>
    <row r="12" spans="1:2">
      <c r="A12" s="66">
        <v>43647</v>
      </c>
      <c r="B12" s="67">
        <v>275.89999999999998</v>
      </c>
    </row>
    <row r="13" spans="1:2">
      <c r="A13" s="66">
        <v>43678</v>
      </c>
      <c r="B13" s="67">
        <v>275.10000000000002</v>
      </c>
    </row>
    <row r="14" spans="1:2">
      <c r="A14" s="66">
        <v>43709</v>
      </c>
      <c r="B14" s="67">
        <v>275.2</v>
      </c>
    </row>
    <row r="15" spans="1:2">
      <c r="A15" s="66">
        <v>43739</v>
      </c>
      <c r="B15" s="67">
        <v>274.2</v>
      </c>
    </row>
    <row r="16" spans="1:2">
      <c r="A16" s="66">
        <v>43770</v>
      </c>
      <c r="B16" s="67">
        <v>270.8</v>
      </c>
    </row>
    <row r="17" spans="1:2">
      <c r="A17" s="66">
        <v>43800</v>
      </c>
      <c r="B17" s="67">
        <v>274.5</v>
      </c>
    </row>
    <row r="18" spans="1:2">
      <c r="A18" s="66">
        <v>43831</v>
      </c>
      <c r="B18" s="67">
        <v>272.10000000000002</v>
      </c>
    </row>
    <row r="19" spans="1:2">
      <c r="A19" s="66">
        <v>43862</v>
      </c>
      <c r="B19" s="67">
        <v>273.8</v>
      </c>
    </row>
    <row r="20" spans="1:2">
      <c r="A20" s="66">
        <v>43891</v>
      </c>
      <c r="B20" s="67">
        <v>257.3</v>
      </c>
    </row>
    <row r="21" spans="1:2">
      <c r="A21" s="66">
        <v>43922</v>
      </c>
      <c r="B21" s="67">
        <v>236.1</v>
      </c>
    </row>
    <row r="22" spans="1:2">
      <c r="A22" s="66">
        <v>43952</v>
      </c>
      <c r="B22" s="67">
        <v>240.1</v>
      </c>
    </row>
    <row r="23" spans="1:2">
      <c r="A23" s="66">
        <v>43983</v>
      </c>
      <c r="B23" s="67">
        <v>248.3</v>
      </c>
    </row>
    <row r="24" spans="1:2">
      <c r="A24" s="66">
        <v>44013</v>
      </c>
      <c r="B24" s="67">
        <v>258.7</v>
      </c>
    </row>
    <row r="25" spans="1:2">
      <c r="A25" s="66">
        <v>44044</v>
      </c>
      <c r="B25" s="67">
        <v>256.5</v>
      </c>
    </row>
    <row r="26" spans="1:2">
      <c r="A26" s="66">
        <v>44075</v>
      </c>
      <c r="B26" s="67">
        <v>263.89999999999998</v>
      </c>
    </row>
    <row r="27" spans="1:2">
      <c r="A27" s="66">
        <v>44105</v>
      </c>
      <c r="B27" s="67">
        <v>265.60000000000002</v>
      </c>
    </row>
    <row r="28" spans="1:2">
      <c r="A28" s="66">
        <v>44136</v>
      </c>
      <c r="B28" s="67">
        <v>267.60000000000002</v>
      </c>
    </row>
    <row r="29" spans="1:2">
      <c r="A29" s="66">
        <v>44166</v>
      </c>
      <c r="B29" s="67">
        <v>270.5</v>
      </c>
    </row>
    <row r="30" spans="1:2">
      <c r="A30" s="66">
        <v>44197</v>
      </c>
      <c r="B30" s="67">
        <v>276.2</v>
      </c>
    </row>
    <row r="31" spans="1:2">
      <c r="A31" s="66">
        <v>44228</v>
      </c>
      <c r="B31" s="67">
        <v>276.3</v>
      </c>
    </row>
    <row r="32" spans="1:2">
      <c r="A32" s="66">
        <v>44256</v>
      </c>
      <c r="B32" s="67">
        <v>279.2</v>
      </c>
    </row>
    <row r="33" spans="1:2">
      <c r="A33" s="66">
        <v>44287</v>
      </c>
      <c r="B33" s="67">
        <v>281.2</v>
      </c>
    </row>
    <row r="34" spans="1:2">
      <c r="A34" s="66">
        <v>44317</v>
      </c>
      <c r="B34" s="67">
        <v>279.89999999999998</v>
      </c>
    </row>
    <row r="35" spans="1:2">
      <c r="A35" s="66">
        <v>44348</v>
      </c>
      <c r="B35" s="67">
        <v>282.2</v>
      </c>
    </row>
    <row r="36" spans="1:2">
      <c r="A36" s="66">
        <v>44378</v>
      </c>
      <c r="B36" s="67">
        <v>281.8</v>
      </c>
    </row>
    <row r="37" spans="1:2">
      <c r="A37" s="66">
        <v>44409</v>
      </c>
      <c r="B37" s="67">
        <v>281.2</v>
      </c>
    </row>
    <row r="38" spans="1:2">
      <c r="A38" s="66">
        <v>44440</v>
      </c>
      <c r="B38" s="67">
        <v>281.60000000000002</v>
      </c>
    </row>
    <row r="39" spans="1:2">
      <c r="A39" s="66">
        <v>44470</v>
      </c>
      <c r="B39" s="67">
        <v>285.60000000000002</v>
      </c>
    </row>
    <row r="40" spans="1:2">
      <c r="A40" s="66">
        <v>44501</v>
      </c>
      <c r="B40" s="67">
        <v>290.39999999999998</v>
      </c>
    </row>
    <row r="41" spans="1:2">
      <c r="A41" s="66">
        <v>44531</v>
      </c>
      <c r="B41" s="67">
        <v>287.3</v>
      </c>
    </row>
    <row r="42" spans="1:2">
      <c r="A42" s="66">
        <v>44562</v>
      </c>
      <c r="B42" s="67">
        <v>288.5</v>
      </c>
    </row>
    <row r="43" spans="1:2">
      <c r="A43" s="66">
        <v>44593</v>
      </c>
      <c r="B43" s="67">
        <v>292.2</v>
      </c>
    </row>
    <row r="44" spans="1:2">
      <c r="A44" s="66">
        <v>44621</v>
      </c>
      <c r="B44" s="67">
        <v>292.8</v>
      </c>
    </row>
    <row r="45" spans="1:2">
      <c r="A45" s="66">
        <v>44652</v>
      </c>
      <c r="B45" s="67">
        <v>297.2</v>
      </c>
    </row>
    <row r="46" spans="1:2">
      <c r="A46" s="66">
        <v>44682</v>
      </c>
      <c r="B46" s="67">
        <v>298</v>
      </c>
    </row>
    <row r="47" spans="1:2">
      <c r="A47" s="66">
        <v>44713</v>
      </c>
      <c r="B47" s="67">
        <v>296</v>
      </c>
    </row>
    <row r="48" spans="1:2">
      <c r="A48" s="66">
        <v>44743</v>
      </c>
      <c r="B48" s="67">
        <v>296</v>
      </c>
    </row>
    <row r="49" spans="1:2">
      <c r="A49" s="66">
        <v>44774</v>
      </c>
      <c r="B49" s="67">
        <v>297.7</v>
      </c>
    </row>
    <row r="50" spans="1:2">
      <c r="A50" s="66">
        <v>44805</v>
      </c>
      <c r="B50" s="67">
        <v>297.2</v>
      </c>
    </row>
    <row r="51" spans="1:2">
      <c r="A51" s="66">
        <v>44835</v>
      </c>
      <c r="B51" s="67">
        <v>298.39999999999998</v>
      </c>
    </row>
    <row r="52" spans="1:2">
      <c r="A52" s="66">
        <v>44866</v>
      </c>
      <c r="B52" s="67">
        <v>297.2</v>
      </c>
    </row>
    <row r="53" spans="1:2">
      <c r="A53" s="66">
        <v>44896</v>
      </c>
      <c r="B53" s="67">
        <v>294.7</v>
      </c>
    </row>
    <row r="54" spans="1:2">
      <c r="A54" s="66">
        <v>44927</v>
      </c>
      <c r="B54" s="67">
        <v>302.5</v>
      </c>
    </row>
    <row r="55" spans="1:2">
      <c r="A55" s="66">
        <v>44958</v>
      </c>
      <c r="B55" s="67">
        <v>299.3</v>
      </c>
    </row>
    <row r="56" spans="1:2">
      <c r="A56" s="66">
        <v>44986</v>
      </c>
      <c r="B56" s="67">
        <v>297.39999999999998</v>
      </c>
    </row>
    <row r="57" spans="1:2">
      <c r="A57" s="66">
        <v>45017</v>
      </c>
      <c r="B57" s="67">
        <v>295.60000000000002</v>
      </c>
    </row>
    <row r="58" spans="1:2">
      <c r="A58" s="66">
        <v>45047</v>
      </c>
      <c r="B58" s="67">
        <v>301.39999999999998</v>
      </c>
    </row>
    <row r="59" spans="1:2">
      <c r="A59" s="66">
        <v>45078</v>
      </c>
      <c r="B59" s="67">
        <v>294.8</v>
      </c>
    </row>
    <row r="60" spans="1:2">
      <c r="A60" s="66">
        <v>45108</v>
      </c>
      <c r="B60" s="67">
        <v>297.3</v>
      </c>
    </row>
    <row r="61" spans="1:2">
      <c r="A61" s="66">
        <v>45139</v>
      </c>
      <c r="B61" s="67">
        <v>299.39999999999998</v>
      </c>
    </row>
    <row r="62" spans="1:2">
      <c r="A62" s="66">
        <v>45170</v>
      </c>
      <c r="B62" s="67">
        <v>300.8</v>
      </c>
    </row>
    <row r="63" spans="1:2">
      <c r="A63" s="66">
        <v>45200</v>
      </c>
      <c r="B63" s="67">
        <v>301.89999999999998</v>
      </c>
    </row>
    <row r="64" spans="1:2">
      <c r="A64" s="66">
        <v>45231</v>
      </c>
      <c r="B64" s="67">
        <v>302.8</v>
      </c>
    </row>
    <row r="65" spans="1:2">
      <c r="A65" s="66">
        <v>45261</v>
      </c>
      <c r="B65" s="67">
        <v>303.3</v>
      </c>
    </row>
    <row r="66" spans="1:2">
      <c r="A66" s="66">
        <v>45292</v>
      </c>
      <c r="B66" s="67">
        <v>300.8</v>
      </c>
    </row>
    <row r="67" spans="1:2">
      <c r="A67" s="66">
        <v>45323</v>
      </c>
      <c r="B67" s="67">
        <v>303.39999999999998</v>
      </c>
    </row>
    <row r="68" spans="1:2">
      <c r="A68" s="66">
        <v>45352</v>
      </c>
      <c r="B68" s="67">
        <v>300.7</v>
      </c>
    </row>
    <row r="69" spans="1:2">
      <c r="A69" s="66">
        <v>45383</v>
      </c>
      <c r="B69" s="67">
        <v>307.60000000000002</v>
      </c>
    </row>
    <row r="70" spans="1:2">
      <c r="A70" s="66">
        <v>45413</v>
      </c>
      <c r="B70" s="67">
        <v>305.89999999999998</v>
      </c>
    </row>
    <row r="71" spans="1:2">
      <c r="A71" s="66">
        <v>45444</v>
      </c>
      <c r="B71" s="67">
        <v>303.7</v>
      </c>
    </row>
    <row r="72" spans="1:2">
      <c r="A72" s="66">
        <v>45474</v>
      </c>
      <c r="B72" s="67">
        <v>308</v>
      </c>
    </row>
    <row r="73" spans="1:2">
      <c r="A73" s="66">
        <v>45505</v>
      </c>
      <c r="B73" s="67">
        <v>306.89999999999998</v>
      </c>
    </row>
    <row r="74" spans="1:2">
      <c r="A74" s="66">
        <v>45536</v>
      </c>
      <c r="B74" s="67">
        <v>306.8</v>
      </c>
    </row>
    <row r="75" spans="1:2">
      <c r="A75" s="66">
        <v>45566</v>
      </c>
      <c r="B75" s="67">
        <v>309.3</v>
      </c>
    </row>
    <row r="76" spans="1:2">
      <c r="A76" s="66">
        <v>45597</v>
      </c>
      <c r="B76" s="67">
        <v>309.39999999999998</v>
      </c>
    </row>
    <row r="82" spans="1:1">
      <c r="A82" s="68" t="s">
        <v>132</v>
      </c>
    </row>
  </sheetData>
  <pageMargins left="0.7" right="0.7" top="0.75" bottom="0.75" header="0.3" footer="0.3"/>
  <pageSetup orientation="portrait" r:id="rId1"/>
  <headerFooter>
    <oddFooter>&amp;L_x000D_&amp;1#&amp;"Calibri"&amp;11&amp;K000000 Classification: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38307-8A62-44B1-84B0-E2BD5A0DF57F}">
  <sheetPr>
    <tabColor rgb="FF92D050"/>
  </sheetPr>
  <dimension ref="A1:C19"/>
  <sheetViews>
    <sheetView zoomScaleNormal="100" workbookViewId="0">
      <selection activeCell="A19" sqref="A19"/>
    </sheetView>
  </sheetViews>
  <sheetFormatPr defaultColWidth="9.140625" defaultRowHeight="15.75"/>
  <cols>
    <col min="1" max="2" width="12.7109375" style="63" customWidth="1"/>
    <col min="3" max="3" width="13.28515625" style="63" customWidth="1"/>
    <col min="4" max="16384" width="9.140625" style="63"/>
  </cols>
  <sheetData>
    <row r="1" spans="1:3">
      <c r="A1" s="1" t="s">
        <v>316</v>
      </c>
    </row>
    <row r="3" spans="1:3" s="65" customFormat="1" ht="31.5">
      <c r="A3" s="69" t="s">
        <v>23</v>
      </c>
      <c r="B3" s="69" t="s">
        <v>134</v>
      </c>
      <c r="C3" s="69" t="s">
        <v>133</v>
      </c>
    </row>
    <row r="4" spans="1:3">
      <c r="A4" s="70" t="s">
        <v>14</v>
      </c>
      <c r="B4" s="71">
        <v>-3.5</v>
      </c>
      <c r="C4" s="71">
        <v>318</v>
      </c>
    </row>
    <row r="5" spans="1:3">
      <c r="A5" s="70" t="s">
        <v>15</v>
      </c>
      <c r="B5" s="71">
        <v>4.5</v>
      </c>
      <c r="C5" s="71">
        <v>332.3</v>
      </c>
    </row>
    <row r="6" spans="1:3">
      <c r="A6" s="70" t="s">
        <v>16</v>
      </c>
      <c r="B6" s="71">
        <v>2</v>
      </c>
      <c r="C6" s="71">
        <v>339</v>
      </c>
    </row>
    <row r="7" spans="1:3">
      <c r="A7" s="70" t="s">
        <v>17</v>
      </c>
      <c r="B7" s="71">
        <v>0.1</v>
      </c>
      <c r="C7" s="71">
        <v>339.3</v>
      </c>
    </row>
    <row r="8" spans="1:3">
      <c r="A8" s="70" t="s">
        <v>18</v>
      </c>
      <c r="B8" s="71">
        <v>-7.8</v>
      </c>
      <c r="C8" s="71">
        <v>312.7</v>
      </c>
    </row>
    <row r="9" spans="1:3">
      <c r="A9" s="70" t="s">
        <v>19</v>
      </c>
      <c r="B9" s="71">
        <v>5.2</v>
      </c>
      <c r="C9" s="71">
        <v>329.1</v>
      </c>
    </row>
    <row r="10" spans="1:3">
      <c r="A10" s="70" t="s">
        <v>20</v>
      </c>
      <c r="B10" s="71">
        <v>6</v>
      </c>
      <c r="C10" s="71">
        <v>348.7</v>
      </c>
    </row>
    <row r="11" spans="1:3">
      <c r="A11" s="70">
        <v>2023</v>
      </c>
      <c r="B11" s="71">
        <v>2.2999999999999998</v>
      </c>
      <c r="C11" s="71">
        <v>356.8</v>
      </c>
    </row>
    <row r="12" spans="1:3">
      <c r="A12" s="70" t="s">
        <v>1</v>
      </c>
      <c r="B12" s="71">
        <v>3</v>
      </c>
      <c r="C12" s="71">
        <v>367.3</v>
      </c>
    </row>
    <row r="13" spans="1:3">
      <c r="A13" s="70" t="s">
        <v>2</v>
      </c>
      <c r="B13" s="71">
        <v>1.8</v>
      </c>
      <c r="C13" s="71">
        <v>373.8</v>
      </c>
    </row>
    <row r="14" spans="1:3">
      <c r="A14" s="70" t="s">
        <v>3</v>
      </c>
      <c r="B14" s="71">
        <v>1.7</v>
      </c>
      <c r="C14" s="71">
        <v>380.3</v>
      </c>
    </row>
    <row r="15" spans="1:3">
      <c r="A15" s="70" t="s">
        <v>4</v>
      </c>
      <c r="B15" s="71">
        <v>2.1</v>
      </c>
      <c r="C15" s="71">
        <v>388.5</v>
      </c>
    </row>
    <row r="16" spans="1:3">
      <c r="A16" s="70" t="s">
        <v>5</v>
      </c>
      <c r="B16" s="71">
        <v>2.2000000000000002</v>
      </c>
      <c r="C16" s="71">
        <v>397.2</v>
      </c>
    </row>
    <row r="17" spans="1:3">
      <c r="A17" s="70"/>
      <c r="B17" s="72"/>
      <c r="C17" s="72"/>
    </row>
    <row r="18" spans="1:3">
      <c r="B18" s="72"/>
    </row>
    <row r="19" spans="1:3">
      <c r="A19" s="68" t="s">
        <v>24</v>
      </c>
    </row>
  </sheetData>
  <pageMargins left="0.7" right="0.7" top="0.75" bottom="0.75" header="0.3" footer="0.3"/>
  <headerFooter>
    <oddFooter>&amp;L_x000D_&amp;1#&amp;"Calibri"&amp;11&amp;K000000 Classification: Public</oddFooter>
  </headerFooter>
  <ignoredErrors>
    <ignoredError sqref="A4:A1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F2D73-CCFD-4D80-973A-C0FB2437EB58}">
  <sheetPr>
    <tabColor rgb="FF92D050"/>
  </sheetPr>
  <dimension ref="A1:C322"/>
  <sheetViews>
    <sheetView topLeftCell="A231" zoomScaleNormal="100" workbookViewId="0">
      <selection activeCell="A250" sqref="A250"/>
    </sheetView>
  </sheetViews>
  <sheetFormatPr defaultColWidth="9.140625" defaultRowHeight="15.75"/>
  <cols>
    <col min="1" max="1" width="16.85546875" style="75" customWidth="1"/>
    <col min="2" max="3" width="24.7109375" style="63" customWidth="1"/>
    <col min="4" max="16384" width="9.140625" style="63"/>
  </cols>
  <sheetData>
    <row r="1" spans="1:3">
      <c r="A1" s="1" t="s">
        <v>135</v>
      </c>
    </row>
    <row r="3" spans="1:3" ht="63">
      <c r="A3" s="213" t="s">
        <v>23</v>
      </c>
      <c r="B3" s="213" t="s">
        <v>137</v>
      </c>
      <c r="C3" s="213" t="s">
        <v>138</v>
      </c>
    </row>
    <row r="4" spans="1:3">
      <c r="A4" s="73">
        <v>38353</v>
      </c>
      <c r="B4" s="67">
        <v>57.8</v>
      </c>
      <c r="C4" s="67">
        <v>45.9</v>
      </c>
    </row>
    <row r="5" spans="1:3">
      <c r="A5" s="73">
        <v>38384</v>
      </c>
      <c r="B5" s="67">
        <v>54.3</v>
      </c>
      <c r="C5" s="67">
        <v>40.4</v>
      </c>
    </row>
    <row r="6" spans="1:3">
      <c r="A6" s="73">
        <v>38412</v>
      </c>
      <c r="B6" s="67">
        <v>54.1</v>
      </c>
      <c r="C6" s="67">
        <v>43.3</v>
      </c>
    </row>
    <row r="7" spans="1:3">
      <c r="A7" s="73">
        <v>38443</v>
      </c>
      <c r="B7" s="67">
        <v>68.7</v>
      </c>
      <c r="C7" s="67">
        <v>90.7</v>
      </c>
    </row>
    <row r="8" spans="1:3">
      <c r="A8" s="73">
        <v>38473</v>
      </c>
      <c r="B8" s="67">
        <v>69.400000000000006</v>
      </c>
      <c r="C8" s="67">
        <v>96.5</v>
      </c>
    </row>
    <row r="9" spans="1:3">
      <c r="A9" s="73">
        <v>38504</v>
      </c>
      <c r="B9" s="67">
        <v>70</v>
      </c>
      <c r="C9" s="67">
        <v>61.1</v>
      </c>
    </row>
    <row r="10" spans="1:3">
      <c r="A10" s="73">
        <v>38534</v>
      </c>
      <c r="B10" s="67">
        <v>61.4</v>
      </c>
      <c r="C10" s="67">
        <v>59.3</v>
      </c>
    </row>
    <row r="11" spans="1:3">
      <c r="A11" s="73">
        <v>38565</v>
      </c>
      <c r="B11" s="67">
        <v>61.5</v>
      </c>
      <c r="C11" s="67">
        <v>54.7</v>
      </c>
    </row>
    <row r="12" spans="1:3">
      <c r="A12" s="73">
        <v>38596</v>
      </c>
      <c r="B12" s="67">
        <v>92.9</v>
      </c>
      <c r="C12" s="67">
        <v>72.599999999999994</v>
      </c>
    </row>
    <row r="13" spans="1:3">
      <c r="A13" s="73">
        <v>38626</v>
      </c>
      <c r="B13" s="67">
        <v>64.7</v>
      </c>
      <c r="C13" s="67">
        <v>80.5</v>
      </c>
    </row>
    <row r="14" spans="1:3">
      <c r="A14" s="73">
        <v>38657</v>
      </c>
      <c r="B14" s="67">
        <v>67.400000000000006</v>
      </c>
      <c r="C14" s="67">
        <v>81.5</v>
      </c>
    </row>
    <row r="15" spans="1:3">
      <c r="A15" s="73">
        <v>38687</v>
      </c>
      <c r="B15" s="67">
        <v>60.6</v>
      </c>
      <c r="C15" s="67">
        <v>49.7</v>
      </c>
    </row>
    <row r="16" spans="1:3">
      <c r="A16" s="73">
        <v>38718</v>
      </c>
      <c r="B16" s="67">
        <v>68.7</v>
      </c>
      <c r="C16" s="67">
        <v>70.599999999999994</v>
      </c>
    </row>
    <row r="17" spans="1:3">
      <c r="A17" s="73">
        <v>38749</v>
      </c>
      <c r="B17" s="67">
        <v>58.2</v>
      </c>
      <c r="C17" s="67">
        <v>81.599999999999994</v>
      </c>
    </row>
    <row r="18" spans="1:3">
      <c r="A18" s="73">
        <v>38777</v>
      </c>
      <c r="B18" s="67">
        <v>58.3</v>
      </c>
      <c r="C18" s="67">
        <v>61.5</v>
      </c>
    </row>
    <row r="19" spans="1:3">
      <c r="A19" s="73">
        <v>38808</v>
      </c>
      <c r="B19" s="67">
        <v>72.900000000000006</v>
      </c>
      <c r="C19" s="67">
        <v>61.7</v>
      </c>
    </row>
    <row r="20" spans="1:3">
      <c r="A20" s="73">
        <v>38838</v>
      </c>
      <c r="B20" s="67">
        <v>63.1</v>
      </c>
      <c r="C20" s="67">
        <v>61.3</v>
      </c>
    </row>
    <row r="21" spans="1:3">
      <c r="A21" s="73">
        <v>38869</v>
      </c>
      <c r="B21" s="67">
        <v>73.5</v>
      </c>
      <c r="C21" s="67">
        <v>61.3</v>
      </c>
    </row>
    <row r="22" spans="1:3">
      <c r="A22" s="73">
        <v>38899</v>
      </c>
      <c r="B22" s="67">
        <v>68.099999999999994</v>
      </c>
      <c r="C22" s="67">
        <v>58.8</v>
      </c>
    </row>
    <row r="23" spans="1:3">
      <c r="A23" s="73">
        <v>38930</v>
      </c>
      <c r="B23" s="67">
        <v>57.4</v>
      </c>
      <c r="C23" s="67">
        <v>55</v>
      </c>
    </row>
    <row r="24" spans="1:3">
      <c r="A24" s="73">
        <v>38961</v>
      </c>
      <c r="B24" s="67">
        <v>59.3</v>
      </c>
      <c r="C24" s="67">
        <v>59.2</v>
      </c>
    </row>
    <row r="25" spans="1:3">
      <c r="A25" s="73">
        <v>38991</v>
      </c>
      <c r="B25" s="67">
        <v>60.1</v>
      </c>
      <c r="C25" s="67">
        <v>54.6</v>
      </c>
    </row>
    <row r="26" spans="1:3">
      <c r="A26" s="73">
        <v>39022</v>
      </c>
      <c r="B26" s="67">
        <v>57.2</v>
      </c>
      <c r="C26" s="67">
        <v>80.3</v>
      </c>
    </row>
    <row r="27" spans="1:3">
      <c r="A27" s="73">
        <v>39052</v>
      </c>
      <c r="B27" s="67">
        <v>56.9</v>
      </c>
      <c r="C27" s="67">
        <v>44.8</v>
      </c>
    </row>
    <row r="28" spans="1:3">
      <c r="A28" s="73">
        <v>39083</v>
      </c>
      <c r="B28" s="67">
        <v>65.5</v>
      </c>
      <c r="C28" s="67">
        <v>53.4</v>
      </c>
    </row>
    <row r="29" spans="1:3">
      <c r="A29" s="73">
        <v>39114</v>
      </c>
      <c r="B29" s="67">
        <v>54.7</v>
      </c>
      <c r="C29" s="67">
        <v>69.2</v>
      </c>
    </row>
    <row r="30" spans="1:3">
      <c r="A30" s="73">
        <v>39142</v>
      </c>
      <c r="B30" s="67">
        <v>64</v>
      </c>
      <c r="C30" s="67">
        <v>74.099999999999994</v>
      </c>
    </row>
    <row r="31" spans="1:3">
      <c r="A31" s="73">
        <v>39173</v>
      </c>
      <c r="B31" s="67">
        <v>60.6</v>
      </c>
      <c r="C31" s="67">
        <v>52.8</v>
      </c>
    </row>
    <row r="32" spans="1:3">
      <c r="A32" s="73">
        <v>39203</v>
      </c>
      <c r="B32" s="67">
        <v>56.7</v>
      </c>
      <c r="C32" s="67">
        <v>70.099999999999994</v>
      </c>
    </row>
    <row r="33" spans="1:3">
      <c r="A33" s="73">
        <v>39234</v>
      </c>
      <c r="B33" s="67">
        <v>56.9</v>
      </c>
      <c r="C33" s="67">
        <v>51.6</v>
      </c>
    </row>
    <row r="34" spans="1:3">
      <c r="A34" s="73">
        <v>39264</v>
      </c>
      <c r="B34" s="67">
        <v>49.2</v>
      </c>
      <c r="C34" s="67">
        <v>50.7</v>
      </c>
    </row>
    <row r="35" spans="1:3">
      <c r="A35" s="73">
        <v>39295</v>
      </c>
      <c r="B35" s="67">
        <v>77.599999999999994</v>
      </c>
      <c r="C35" s="67">
        <v>60.8</v>
      </c>
    </row>
    <row r="36" spans="1:3">
      <c r="A36" s="73">
        <v>39326</v>
      </c>
      <c r="B36" s="67">
        <v>99.9</v>
      </c>
      <c r="C36" s="67">
        <v>75.7</v>
      </c>
    </row>
    <row r="37" spans="1:3">
      <c r="A37" s="73">
        <v>39356</v>
      </c>
      <c r="B37" s="67">
        <v>79.900000000000006</v>
      </c>
      <c r="C37" s="67">
        <v>72.3</v>
      </c>
    </row>
    <row r="38" spans="1:3">
      <c r="A38" s="73">
        <v>39387</v>
      </c>
      <c r="B38" s="67">
        <v>84.6</v>
      </c>
      <c r="C38" s="67">
        <v>82.8</v>
      </c>
    </row>
    <row r="39" spans="1:3">
      <c r="A39" s="73">
        <v>39417</v>
      </c>
      <c r="B39" s="67">
        <v>95.5</v>
      </c>
      <c r="C39" s="67">
        <v>97.9</v>
      </c>
    </row>
    <row r="40" spans="1:3">
      <c r="A40" s="73">
        <v>39448</v>
      </c>
      <c r="B40" s="67">
        <v>135.19999999999999</v>
      </c>
      <c r="C40" s="67">
        <v>112.5</v>
      </c>
    </row>
    <row r="41" spans="1:3">
      <c r="A41" s="73">
        <v>39479</v>
      </c>
      <c r="B41" s="67">
        <v>102.2</v>
      </c>
      <c r="C41" s="67">
        <v>132.19999999999999</v>
      </c>
    </row>
    <row r="42" spans="1:3">
      <c r="A42" s="73">
        <v>39508</v>
      </c>
      <c r="B42" s="67">
        <v>118.3</v>
      </c>
      <c r="C42" s="67">
        <v>104.6</v>
      </c>
    </row>
    <row r="43" spans="1:3">
      <c r="A43" s="73">
        <v>39539</v>
      </c>
      <c r="B43" s="67">
        <v>92.1</v>
      </c>
      <c r="C43" s="67">
        <v>102.6</v>
      </c>
    </row>
    <row r="44" spans="1:3">
      <c r="A44" s="73">
        <v>39569</v>
      </c>
      <c r="B44" s="67">
        <v>78.2</v>
      </c>
      <c r="C44" s="67">
        <v>82.2</v>
      </c>
    </row>
    <row r="45" spans="1:3">
      <c r="A45" s="73">
        <v>39600</v>
      </c>
      <c r="B45" s="67">
        <v>88.7</v>
      </c>
      <c r="C45" s="67">
        <v>76.599999999999994</v>
      </c>
    </row>
    <row r="46" spans="1:3">
      <c r="A46" s="73">
        <v>39630</v>
      </c>
      <c r="B46" s="67">
        <v>94.6</v>
      </c>
      <c r="C46" s="67">
        <v>70.900000000000006</v>
      </c>
    </row>
    <row r="47" spans="1:3">
      <c r="A47" s="73">
        <v>39661</v>
      </c>
      <c r="B47" s="67">
        <v>90.3</v>
      </c>
      <c r="C47" s="67">
        <v>100.2</v>
      </c>
    </row>
    <row r="48" spans="1:3">
      <c r="A48" s="73">
        <v>39692</v>
      </c>
      <c r="B48" s="67">
        <v>167.8</v>
      </c>
      <c r="C48" s="67">
        <v>184.2</v>
      </c>
    </row>
    <row r="49" spans="1:3">
      <c r="A49" s="73">
        <v>39722</v>
      </c>
      <c r="B49" s="67">
        <v>206.1</v>
      </c>
      <c r="C49" s="67">
        <v>360.3</v>
      </c>
    </row>
    <row r="50" spans="1:3">
      <c r="A50" s="73">
        <v>39753</v>
      </c>
      <c r="B50" s="67">
        <v>143.5</v>
      </c>
      <c r="C50" s="67">
        <v>267.10000000000002</v>
      </c>
    </row>
    <row r="51" spans="1:3">
      <c r="A51" s="73">
        <v>39783</v>
      </c>
      <c r="B51" s="67">
        <v>145.9</v>
      </c>
      <c r="C51" s="67">
        <v>269</v>
      </c>
    </row>
    <row r="52" spans="1:3">
      <c r="A52" s="73">
        <v>39814</v>
      </c>
      <c r="B52" s="67">
        <v>146.30000000000001</v>
      </c>
      <c r="C52" s="67">
        <v>250.7</v>
      </c>
    </row>
    <row r="53" spans="1:3">
      <c r="A53" s="73">
        <v>39845</v>
      </c>
      <c r="B53" s="67">
        <v>147.9</v>
      </c>
      <c r="C53" s="67">
        <v>193.7</v>
      </c>
    </row>
    <row r="54" spans="1:3">
      <c r="A54" s="73">
        <v>39873</v>
      </c>
      <c r="B54" s="67">
        <v>132.30000000000001</v>
      </c>
      <c r="C54" s="67">
        <v>167</v>
      </c>
    </row>
    <row r="55" spans="1:3">
      <c r="A55" s="73">
        <v>39904</v>
      </c>
      <c r="B55" s="67">
        <v>103.6</v>
      </c>
      <c r="C55" s="67">
        <v>136.5</v>
      </c>
    </row>
    <row r="56" spans="1:3">
      <c r="A56" s="73">
        <v>39934</v>
      </c>
      <c r="B56" s="67">
        <v>103.6</v>
      </c>
      <c r="C56" s="67">
        <v>120.6</v>
      </c>
    </row>
    <row r="57" spans="1:3">
      <c r="A57" s="73">
        <v>39965</v>
      </c>
      <c r="B57" s="67">
        <v>109.8</v>
      </c>
      <c r="C57" s="67">
        <v>91.8</v>
      </c>
    </row>
    <row r="58" spans="1:3">
      <c r="A58" s="73">
        <v>39995</v>
      </c>
      <c r="B58" s="67">
        <v>101.3</v>
      </c>
      <c r="C58" s="67">
        <v>91.3</v>
      </c>
    </row>
    <row r="59" spans="1:3">
      <c r="A59" s="73">
        <v>40026</v>
      </c>
      <c r="B59" s="67">
        <v>98.3</v>
      </c>
      <c r="C59" s="67">
        <v>96.7</v>
      </c>
    </row>
    <row r="60" spans="1:3">
      <c r="A60" s="73">
        <v>40057</v>
      </c>
      <c r="B60" s="67">
        <v>99.4</v>
      </c>
      <c r="C60" s="67">
        <v>93.4</v>
      </c>
    </row>
    <row r="61" spans="1:3">
      <c r="A61" s="73">
        <v>40087</v>
      </c>
      <c r="B61" s="67">
        <v>86.4</v>
      </c>
      <c r="C61" s="67">
        <v>110.4</v>
      </c>
    </row>
    <row r="62" spans="1:3">
      <c r="A62" s="73">
        <v>40118</v>
      </c>
      <c r="B62" s="67">
        <v>99.5</v>
      </c>
      <c r="C62" s="67">
        <v>127.6</v>
      </c>
    </row>
    <row r="63" spans="1:3">
      <c r="A63" s="73">
        <v>40148</v>
      </c>
      <c r="B63" s="67">
        <v>98.4</v>
      </c>
      <c r="C63" s="67">
        <v>102.3</v>
      </c>
    </row>
    <row r="64" spans="1:3">
      <c r="A64" s="73">
        <v>40179</v>
      </c>
      <c r="B64" s="67">
        <v>113.1</v>
      </c>
      <c r="C64" s="67">
        <v>118.8</v>
      </c>
    </row>
    <row r="65" spans="1:3">
      <c r="A65" s="73">
        <v>40210</v>
      </c>
      <c r="B65" s="67">
        <v>111.4</v>
      </c>
      <c r="C65" s="67">
        <v>97.1</v>
      </c>
    </row>
    <row r="66" spans="1:3">
      <c r="A66" s="73">
        <v>40238</v>
      </c>
      <c r="B66" s="67">
        <v>107.6</v>
      </c>
      <c r="C66" s="67">
        <v>142</v>
      </c>
    </row>
    <row r="67" spans="1:3">
      <c r="A67" s="73">
        <v>40269</v>
      </c>
      <c r="B67" s="67">
        <v>103.8</v>
      </c>
      <c r="C67" s="67">
        <v>103.9</v>
      </c>
    </row>
    <row r="68" spans="1:3">
      <c r="A68" s="73">
        <v>40299</v>
      </c>
      <c r="B68" s="67">
        <v>146.9</v>
      </c>
      <c r="C68" s="67">
        <v>143.4</v>
      </c>
    </row>
    <row r="69" spans="1:3">
      <c r="A69" s="73">
        <v>40330</v>
      </c>
      <c r="B69" s="67">
        <v>133.9</v>
      </c>
      <c r="C69" s="67">
        <v>139.4</v>
      </c>
    </row>
    <row r="70" spans="1:3">
      <c r="A70" s="73">
        <v>40360</v>
      </c>
      <c r="B70" s="67">
        <v>142</v>
      </c>
      <c r="C70" s="67">
        <v>153.9</v>
      </c>
    </row>
    <row r="71" spans="1:3">
      <c r="A71" s="73">
        <v>40391</v>
      </c>
      <c r="B71" s="67">
        <v>121.1</v>
      </c>
      <c r="C71" s="67">
        <v>144.80000000000001</v>
      </c>
    </row>
    <row r="72" spans="1:3">
      <c r="A72" s="73">
        <v>40422</v>
      </c>
      <c r="B72" s="67">
        <v>132.69999999999999</v>
      </c>
      <c r="C72" s="67">
        <v>202.2</v>
      </c>
    </row>
    <row r="73" spans="1:3">
      <c r="A73" s="73">
        <v>40452</v>
      </c>
      <c r="B73" s="67">
        <v>122.9</v>
      </c>
      <c r="C73" s="67">
        <v>211.8</v>
      </c>
    </row>
    <row r="74" spans="1:3">
      <c r="A74" s="73">
        <v>40483</v>
      </c>
      <c r="B74" s="67">
        <v>127.6</v>
      </c>
      <c r="C74" s="67">
        <v>182.6</v>
      </c>
    </row>
    <row r="75" spans="1:3">
      <c r="A75" s="73">
        <v>40513</v>
      </c>
      <c r="B75" s="67">
        <v>130.5</v>
      </c>
      <c r="C75" s="67">
        <v>142.30000000000001</v>
      </c>
    </row>
    <row r="76" spans="1:3">
      <c r="A76" s="73">
        <v>40544</v>
      </c>
      <c r="B76" s="67">
        <v>110.5</v>
      </c>
      <c r="C76" s="67">
        <v>128.4</v>
      </c>
    </row>
    <row r="77" spans="1:3">
      <c r="A77" s="73">
        <v>40575</v>
      </c>
      <c r="B77" s="67">
        <v>94</v>
      </c>
      <c r="C77" s="67">
        <v>180.8</v>
      </c>
    </row>
    <row r="78" spans="1:3">
      <c r="A78" s="73">
        <v>40603</v>
      </c>
      <c r="B78" s="67">
        <v>127.3</v>
      </c>
      <c r="C78" s="67">
        <v>172.5</v>
      </c>
    </row>
    <row r="79" spans="1:3">
      <c r="A79" s="73">
        <v>40634</v>
      </c>
      <c r="B79" s="67">
        <v>115.9</v>
      </c>
      <c r="C79" s="67">
        <v>142.30000000000001</v>
      </c>
    </row>
    <row r="80" spans="1:3">
      <c r="A80" s="73">
        <v>40664</v>
      </c>
      <c r="B80" s="67">
        <v>89.2</v>
      </c>
      <c r="C80" s="67">
        <v>171.9</v>
      </c>
    </row>
    <row r="81" spans="1:3">
      <c r="A81" s="73">
        <v>40695</v>
      </c>
      <c r="B81" s="67">
        <v>117.5</v>
      </c>
      <c r="C81" s="67">
        <v>161.5</v>
      </c>
    </row>
    <row r="82" spans="1:3">
      <c r="A82" s="73">
        <v>40725</v>
      </c>
      <c r="B82" s="67">
        <v>156.80000000000001</v>
      </c>
      <c r="C82" s="67">
        <v>203.4</v>
      </c>
    </row>
    <row r="83" spans="1:3">
      <c r="A83" s="73">
        <v>40756</v>
      </c>
      <c r="B83" s="67">
        <v>215</v>
      </c>
      <c r="C83" s="67">
        <v>337.3</v>
      </c>
    </row>
    <row r="84" spans="1:3">
      <c r="A84" s="73">
        <v>40787</v>
      </c>
      <c r="B84" s="67">
        <v>190.5</v>
      </c>
      <c r="C84" s="67">
        <v>280.7</v>
      </c>
    </row>
    <row r="85" spans="1:3">
      <c r="A85" s="73">
        <v>40817</v>
      </c>
      <c r="B85" s="67">
        <v>166.4</v>
      </c>
      <c r="C85" s="67">
        <v>300.8</v>
      </c>
    </row>
    <row r="86" spans="1:3">
      <c r="A86" s="73">
        <v>40848</v>
      </c>
      <c r="B86" s="67">
        <v>198.1</v>
      </c>
      <c r="C86" s="67">
        <v>399.8</v>
      </c>
    </row>
    <row r="87" spans="1:3">
      <c r="A87" s="73">
        <v>40878</v>
      </c>
      <c r="B87" s="67">
        <v>182.8</v>
      </c>
      <c r="C87" s="67">
        <v>309.39999999999998</v>
      </c>
    </row>
    <row r="88" spans="1:3">
      <c r="A88" s="73">
        <v>40909</v>
      </c>
      <c r="B88" s="67">
        <v>162</v>
      </c>
      <c r="C88" s="67">
        <v>235.5</v>
      </c>
    </row>
    <row r="89" spans="1:3">
      <c r="A89" s="73">
        <v>40940</v>
      </c>
      <c r="B89" s="67">
        <v>142.6</v>
      </c>
      <c r="C89" s="67">
        <v>184.3</v>
      </c>
    </row>
    <row r="90" spans="1:3">
      <c r="A90" s="73">
        <v>40969</v>
      </c>
      <c r="B90" s="67">
        <v>134.69999999999999</v>
      </c>
      <c r="C90" s="67">
        <v>187.8</v>
      </c>
    </row>
    <row r="91" spans="1:3">
      <c r="A91" s="73">
        <v>41000</v>
      </c>
      <c r="B91" s="67">
        <v>127.6</v>
      </c>
      <c r="C91" s="67">
        <v>173.9</v>
      </c>
    </row>
    <row r="92" spans="1:3">
      <c r="A92" s="73">
        <v>41030</v>
      </c>
      <c r="B92" s="67">
        <v>160.5</v>
      </c>
      <c r="C92" s="67">
        <v>258.2</v>
      </c>
    </row>
    <row r="93" spans="1:3">
      <c r="A93" s="73">
        <v>41061</v>
      </c>
      <c r="B93" s="67">
        <v>189.3</v>
      </c>
      <c r="C93" s="67">
        <v>249.1</v>
      </c>
    </row>
    <row r="94" spans="1:3">
      <c r="A94" s="73">
        <v>41091</v>
      </c>
      <c r="B94" s="67">
        <v>160.19999999999999</v>
      </c>
      <c r="C94" s="67">
        <v>187.7</v>
      </c>
    </row>
    <row r="95" spans="1:3">
      <c r="A95" s="73">
        <v>41122</v>
      </c>
      <c r="B95" s="67">
        <v>123</v>
      </c>
      <c r="C95" s="67">
        <v>177.3</v>
      </c>
    </row>
    <row r="96" spans="1:3">
      <c r="A96" s="73">
        <v>41153</v>
      </c>
      <c r="B96" s="67">
        <v>152.1</v>
      </c>
      <c r="C96" s="67">
        <v>211.2</v>
      </c>
    </row>
    <row r="97" spans="1:3">
      <c r="A97" s="73">
        <v>41183</v>
      </c>
      <c r="B97" s="67">
        <v>159.6</v>
      </c>
      <c r="C97" s="67">
        <v>218.5</v>
      </c>
    </row>
    <row r="98" spans="1:3">
      <c r="A98" s="73">
        <v>41214</v>
      </c>
      <c r="B98" s="67">
        <v>173.7</v>
      </c>
      <c r="C98" s="67">
        <v>382.5</v>
      </c>
    </row>
    <row r="99" spans="1:3">
      <c r="A99" s="73">
        <v>41244</v>
      </c>
      <c r="B99" s="67">
        <v>168.5</v>
      </c>
      <c r="C99" s="67">
        <v>238.7</v>
      </c>
    </row>
    <row r="100" spans="1:3">
      <c r="A100" s="73">
        <v>41275</v>
      </c>
      <c r="B100" s="67">
        <v>167.9</v>
      </c>
      <c r="C100" s="67">
        <v>223.5</v>
      </c>
    </row>
    <row r="101" spans="1:3">
      <c r="A101" s="73">
        <v>41306</v>
      </c>
      <c r="B101" s="67">
        <v>125.6</v>
      </c>
      <c r="C101" s="67">
        <v>174.4</v>
      </c>
    </row>
    <row r="102" spans="1:3">
      <c r="A102" s="73">
        <v>41334</v>
      </c>
      <c r="B102" s="67">
        <v>141.6</v>
      </c>
      <c r="C102" s="67">
        <v>258.2</v>
      </c>
    </row>
    <row r="103" spans="1:3">
      <c r="A103" s="73">
        <v>41365</v>
      </c>
      <c r="B103" s="67">
        <v>133.6</v>
      </c>
      <c r="C103" s="67">
        <v>206.5</v>
      </c>
    </row>
    <row r="104" spans="1:3">
      <c r="A104" s="73">
        <v>41395</v>
      </c>
      <c r="B104" s="67">
        <v>106.3</v>
      </c>
      <c r="C104" s="67">
        <v>220.8</v>
      </c>
    </row>
    <row r="105" spans="1:3">
      <c r="A105" s="73">
        <v>41426</v>
      </c>
      <c r="B105" s="67">
        <v>119.5</v>
      </c>
      <c r="C105" s="67">
        <v>144</v>
      </c>
    </row>
    <row r="106" spans="1:3">
      <c r="A106" s="73">
        <v>41456</v>
      </c>
      <c r="B106" s="67">
        <v>108.4</v>
      </c>
      <c r="C106" s="67">
        <v>135.80000000000001</v>
      </c>
    </row>
    <row r="107" spans="1:3">
      <c r="A107" s="73">
        <v>41487</v>
      </c>
      <c r="B107" s="67">
        <v>118.4</v>
      </c>
      <c r="C107" s="67">
        <v>143.1</v>
      </c>
    </row>
    <row r="108" spans="1:3">
      <c r="A108" s="73">
        <v>41518</v>
      </c>
      <c r="B108" s="67">
        <v>132.69999999999999</v>
      </c>
      <c r="C108" s="67">
        <v>133.1</v>
      </c>
    </row>
    <row r="109" spans="1:3">
      <c r="A109" s="73">
        <v>41548</v>
      </c>
      <c r="B109" s="67">
        <v>158.69999999999999</v>
      </c>
      <c r="C109" s="67">
        <v>264</v>
      </c>
    </row>
    <row r="110" spans="1:3">
      <c r="A110" s="73">
        <v>41579</v>
      </c>
      <c r="B110" s="67">
        <v>96.4</v>
      </c>
      <c r="C110" s="67">
        <v>135.19999999999999</v>
      </c>
    </row>
    <row r="111" spans="1:3">
      <c r="A111" s="73">
        <v>41609</v>
      </c>
      <c r="B111" s="67">
        <v>119.3</v>
      </c>
      <c r="C111" s="67">
        <v>133</v>
      </c>
    </row>
    <row r="112" spans="1:3">
      <c r="A112" s="73">
        <v>41640</v>
      </c>
      <c r="B112" s="67">
        <v>111</v>
      </c>
      <c r="C112" s="67">
        <v>132.80000000000001</v>
      </c>
    </row>
    <row r="113" spans="1:3">
      <c r="A113" s="73">
        <v>41671</v>
      </c>
      <c r="B113" s="67">
        <v>98.2</v>
      </c>
      <c r="C113" s="67">
        <v>165.5</v>
      </c>
    </row>
    <row r="114" spans="1:3">
      <c r="A114" s="73">
        <v>41699</v>
      </c>
      <c r="B114" s="67">
        <v>113.6</v>
      </c>
      <c r="C114" s="67">
        <v>199.5</v>
      </c>
    </row>
    <row r="115" spans="1:3">
      <c r="A115" s="73">
        <v>41730</v>
      </c>
      <c r="B115" s="67">
        <v>101.7</v>
      </c>
      <c r="C115" s="67">
        <v>123.9</v>
      </c>
    </row>
    <row r="116" spans="1:3">
      <c r="A116" s="73">
        <v>41760</v>
      </c>
      <c r="B116" s="67">
        <v>104.2</v>
      </c>
      <c r="C116" s="67">
        <v>126.1</v>
      </c>
    </row>
    <row r="117" spans="1:3">
      <c r="A117" s="73">
        <v>41791</v>
      </c>
      <c r="B117" s="67">
        <v>86.7</v>
      </c>
      <c r="C117" s="67">
        <v>111.2</v>
      </c>
    </row>
    <row r="118" spans="1:3">
      <c r="A118" s="73">
        <v>41821</v>
      </c>
      <c r="B118" s="67">
        <v>93.2</v>
      </c>
      <c r="C118" s="67">
        <v>143.1</v>
      </c>
    </row>
    <row r="119" spans="1:3">
      <c r="A119" s="73">
        <v>41852</v>
      </c>
      <c r="B119" s="67">
        <v>99.6</v>
      </c>
      <c r="C119" s="67">
        <v>155.5</v>
      </c>
    </row>
    <row r="120" spans="1:3">
      <c r="A120" s="73">
        <v>41883</v>
      </c>
      <c r="B120" s="67">
        <v>123.6</v>
      </c>
      <c r="C120" s="67">
        <v>140.30000000000001</v>
      </c>
    </row>
    <row r="121" spans="1:3">
      <c r="A121" s="73">
        <v>41913</v>
      </c>
      <c r="B121" s="67">
        <v>119.3</v>
      </c>
      <c r="C121" s="67">
        <v>159.80000000000001</v>
      </c>
    </row>
    <row r="122" spans="1:3">
      <c r="A122" s="73">
        <v>41944</v>
      </c>
      <c r="B122" s="67">
        <v>114.1</v>
      </c>
      <c r="C122" s="67">
        <v>216.5</v>
      </c>
    </row>
    <row r="123" spans="1:3">
      <c r="A123" s="73">
        <v>41974</v>
      </c>
      <c r="B123" s="67">
        <v>111.5</v>
      </c>
      <c r="C123" s="67">
        <v>147.5</v>
      </c>
    </row>
    <row r="124" spans="1:3">
      <c r="A124" s="73">
        <v>42005</v>
      </c>
      <c r="B124" s="67">
        <v>136.19999999999999</v>
      </c>
      <c r="C124" s="67">
        <v>286.10000000000002</v>
      </c>
    </row>
    <row r="125" spans="1:3">
      <c r="A125" s="73">
        <v>42036</v>
      </c>
      <c r="B125" s="67">
        <v>113.1</v>
      </c>
      <c r="C125" s="67">
        <v>240.6</v>
      </c>
    </row>
    <row r="126" spans="1:3">
      <c r="A126" s="73">
        <v>42064</v>
      </c>
      <c r="B126" s="67">
        <v>103.9</v>
      </c>
      <c r="C126" s="67">
        <v>131.6</v>
      </c>
    </row>
    <row r="127" spans="1:3">
      <c r="A127" s="73">
        <v>42095</v>
      </c>
      <c r="B127" s="67">
        <v>102.1</v>
      </c>
      <c r="C127" s="67">
        <v>177.4</v>
      </c>
    </row>
    <row r="128" spans="1:3">
      <c r="A128" s="73">
        <v>42125</v>
      </c>
      <c r="B128" s="67">
        <v>106.4</v>
      </c>
      <c r="C128" s="67">
        <v>214</v>
      </c>
    </row>
    <row r="129" spans="1:3">
      <c r="A129" s="73">
        <v>42156</v>
      </c>
      <c r="B129" s="67">
        <v>117.4</v>
      </c>
      <c r="C129" s="67">
        <v>174</v>
      </c>
    </row>
    <row r="130" spans="1:3">
      <c r="A130" s="73">
        <v>42186</v>
      </c>
      <c r="B130" s="67">
        <v>128.6</v>
      </c>
      <c r="C130" s="67">
        <v>179.1</v>
      </c>
    </row>
    <row r="131" spans="1:3">
      <c r="A131" s="73">
        <v>42217</v>
      </c>
      <c r="B131" s="67">
        <v>130.80000000000001</v>
      </c>
      <c r="C131" s="67">
        <v>176.8</v>
      </c>
    </row>
    <row r="132" spans="1:3">
      <c r="A132" s="73">
        <v>42248</v>
      </c>
      <c r="B132" s="67">
        <v>174.4</v>
      </c>
      <c r="C132" s="67">
        <v>205.4</v>
      </c>
    </row>
    <row r="133" spans="1:3">
      <c r="A133" s="73">
        <v>42278</v>
      </c>
      <c r="B133" s="67">
        <v>125.2</v>
      </c>
      <c r="C133" s="67">
        <v>199.6</v>
      </c>
    </row>
    <row r="134" spans="1:3">
      <c r="A134" s="73">
        <v>42309</v>
      </c>
      <c r="B134" s="67">
        <v>101.8</v>
      </c>
      <c r="C134" s="67">
        <v>142</v>
      </c>
    </row>
    <row r="135" spans="1:3">
      <c r="A135" s="73">
        <v>42339</v>
      </c>
      <c r="B135" s="67">
        <v>113.1</v>
      </c>
      <c r="C135" s="67">
        <v>128.4</v>
      </c>
    </row>
    <row r="136" spans="1:3">
      <c r="A136" s="73">
        <v>42370</v>
      </c>
      <c r="B136" s="67">
        <v>149.6</v>
      </c>
      <c r="C136" s="67">
        <v>156</v>
      </c>
    </row>
    <row r="137" spans="1:3">
      <c r="A137" s="73">
        <v>42401</v>
      </c>
      <c r="B137" s="67">
        <v>155.9</v>
      </c>
      <c r="C137" s="67">
        <v>186.6</v>
      </c>
    </row>
    <row r="138" spans="1:3">
      <c r="A138" s="73">
        <v>42430</v>
      </c>
      <c r="B138" s="67">
        <v>166.2</v>
      </c>
      <c r="C138" s="67">
        <v>218.5</v>
      </c>
    </row>
    <row r="139" spans="1:3">
      <c r="A139" s="73">
        <v>42461</v>
      </c>
      <c r="B139" s="67">
        <v>144.6</v>
      </c>
      <c r="C139" s="67">
        <v>156.80000000000001</v>
      </c>
    </row>
    <row r="140" spans="1:3">
      <c r="A140" s="73">
        <v>42491</v>
      </c>
      <c r="B140" s="67">
        <v>132.80000000000001</v>
      </c>
      <c r="C140" s="67">
        <v>151.5</v>
      </c>
    </row>
    <row r="141" spans="1:3">
      <c r="A141" s="73">
        <v>42522</v>
      </c>
      <c r="B141" s="67">
        <v>243.5</v>
      </c>
      <c r="C141" s="67">
        <v>276.7</v>
      </c>
    </row>
    <row r="142" spans="1:3">
      <c r="A142" s="73">
        <v>42552</v>
      </c>
      <c r="B142" s="67">
        <v>236.6</v>
      </c>
      <c r="C142" s="67">
        <v>260.10000000000002</v>
      </c>
    </row>
    <row r="143" spans="1:3">
      <c r="A143" s="73">
        <v>42583</v>
      </c>
      <c r="B143" s="67">
        <v>143.5</v>
      </c>
      <c r="C143" s="67">
        <v>237.6</v>
      </c>
    </row>
    <row r="144" spans="1:3">
      <c r="A144" s="73">
        <v>42614</v>
      </c>
      <c r="B144" s="67">
        <v>149.1</v>
      </c>
      <c r="C144" s="67">
        <v>164.5</v>
      </c>
    </row>
    <row r="145" spans="1:3">
      <c r="A145" s="73">
        <v>42644</v>
      </c>
      <c r="B145" s="67">
        <v>134.1</v>
      </c>
      <c r="C145" s="67">
        <v>243.6</v>
      </c>
    </row>
    <row r="146" spans="1:3">
      <c r="A146" s="73">
        <v>42675</v>
      </c>
      <c r="B146" s="67">
        <v>251.4</v>
      </c>
      <c r="C146" s="67">
        <v>442.4</v>
      </c>
    </row>
    <row r="147" spans="1:3">
      <c r="A147" s="73">
        <v>42705</v>
      </c>
      <c r="B147" s="67">
        <v>222.4</v>
      </c>
      <c r="C147" s="67">
        <v>298.60000000000002</v>
      </c>
    </row>
    <row r="148" spans="1:3">
      <c r="A148" s="73">
        <v>42736</v>
      </c>
      <c r="B148" s="67">
        <v>265.89999999999998</v>
      </c>
      <c r="C148" s="67">
        <v>338.2</v>
      </c>
    </row>
    <row r="149" spans="1:3">
      <c r="A149" s="73">
        <v>42767</v>
      </c>
      <c r="B149" s="67">
        <v>202.2</v>
      </c>
      <c r="C149" s="67">
        <v>257.5</v>
      </c>
    </row>
    <row r="150" spans="1:3">
      <c r="A150" s="73">
        <v>42795</v>
      </c>
      <c r="B150" s="67">
        <v>235.4</v>
      </c>
      <c r="C150" s="67">
        <v>262.10000000000002</v>
      </c>
    </row>
    <row r="151" spans="1:3">
      <c r="A151" s="73">
        <v>42826</v>
      </c>
      <c r="B151" s="67">
        <v>181.3</v>
      </c>
      <c r="C151" s="67">
        <v>199.7</v>
      </c>
    </row>
    <row r="152" spans="1:3">
      <c r="A152" s="73">
        <v>42856</v>
      </c>
      <c r="B152" s="67">
        <v>166</v>
      </c>
      <c r="C152" s="67">
        <v>262.10000000000002</v>
      </c>
    </row>
    <row r="153" spans="1:3">
      <c r="A153" s="73">
        <v>42887</v>
      </c>
      <c r="B153" s="67">
        <v>169.7</v>
      </c>
      <c r="C153" s="67">
        <v>206.4</v>
      </c>
    </row>
    <row r="154" spans="1:3">
      <c r="A154" s="73">
        <v>42917</v>
      </c>
      <c r="B154" s="67">
        <v>149.30000000000001</v>
      </c>
      <c r="C154" s="67">
        <v>233.2</v>
      </c>
    </row>
    <row r="155" spans="1:3">
      <c r="A155" s="73">
        <v>42948</v>
      </c>
      <c r="B155" s="67">
        <v>141</v>
      </c>
      <c r="C155" s="67">
        <v>241.8</v>
      </c>
    </row>
    <row r="156" spans="1:3">
      <c r="A156" s="73">
        <v>42979</v>
      </c>
      <c r="B156" s="67">
        <v>157.4</v>
      </c>
      <c r="C156" s="67">
        <v>277.8</v>
      </c>
    </row>
    <row r="157" spans="1:3">
      <c r="A157" s="73">
        <v>43009</v>
      </c>
      <c r="B157" s="67">
        <v>150.6</v>
      </c>
      <c r="C157" s="67">
        <v>221.3</v>
      </c>
    </row>
    <row r="158" spans="1:3">
      <c r="A158" s="73">
        <v>43040</v>
      </c>
      <c r="B158" s="67">
        <v>155.80000000000001</v>
      </c>
      <c r="C158" s="67">
        <v>233.1</v>
      </c>
    </row>
    <row r="159" spans="1:3">
      <c r="A159" s="73">
        <v>43070</v>
      </c>
      <c r="B159" s="67">
        <v>149.5</v>
      </c>
      <c r="C159" s="67">
        <v>190.3</v>
      </c>
    </row>
    <row r="160" spans="1:3">
      <c r="A160" s="73">
        <v>43101</v>
      </c>
      <c r="B160" s="67">
        <v>151.6</v>
      </c>
      <c r="C160" s="67">
        <v>343.8</v>
      </c>
    </row>
    <row r="161" spans="1:3">
      <c r="A161" s="73">
        <v>43132</v>
      </c>
      <c r="B161" s="67">
        <v>124.8</v>
      </c>
      <c r="C161" s="67">
        <v>365.3</v>
      </c>
    </row>
    <row r="162" spans="1:3">
      <c r="A162" s="73">
        <v>43160</v>
      </c>
      <c r="B162" s="67">
        <v>168.5</v>
      </c>
      <c r="C162" s="67">
        <v>449.6</v>
      </c>
    </row>
    <row r="163" spans="1:3">
      <c r="A163" s="73">
        <v>43191</v>
      </c>
      <c r="B163" s="67">
        <v>157.69999999999999</v>
      </c>
      <c r="C163" s="67">
        <v>303.5</v>
      </c>
    </row>
    <row r="164" spans="1:3">
      <c r="A164" s="73">
        <v>43221</v>
      </c>
      <c r="B164" s="67">
        <v>175.9</v>
      </c>
      <c r="C164" s="67">
        <v>257.3</v>
      </c>
    </row>
    <row r="165" spans="1:3">
      <c r="A165" s="73">
        <v>43252</v>
      </c>
      <c r="B165" s="67">
        <v>178.4</v>
      </c>
      <c r="C165" s="67">
        <v>428.1</v>
      </c>
    </row>
    <row r="166" spans="1:3">
      <c r="A166" s="73">
        <v>43282</v>
      </c>
      <c r="B166" s="67">
        <v>223.7</v>
      </c>
      <c r="C166" s="67">
        <v>292</v>
      </c>
    </row>
    <row r="167" spans="1:3">
      <c r="A167" s="73">
        <v>43313</v>
      </c>
      <c r="B167" s="67">
        <v>180</v>
      </c>
      <c r="C167" s="67">
        <v>359.6</v>
      </c>
    </row>
    <row r="168" spans="1:3">
      <c r="A168" s="73">
        <v>43344</v>
      </c>
      <c r="B168" s="67">
        <v>196</v>
      </c>
      <c r="C168" s="67">
        <v>271.8</v>
      </c>
    </row>
    <row r="169" spans="1:3">
      <c r="A169" s="73">
        <v>43374</v>
      </c>
      <c r="B169" s="67">
        <v>221.8</v>
      </c>
      <c r="C169" s="67">
        <v>296.2</v>
      </c>
    </row>
    <row r="170" spans="1:3">
      <c r="A170" s="73">
        <v>43405</v>
      </c>
      <c r="B170" s="67">
        <v>247.3</v>
      </c>
      <c r="C170" s="67">
        <v>322.5</v>
      </c>
    </row>
    <row r="171" spans="1:3">
      <c r="A171" s="73">
        <v>43435</v>
      </c>
      <c r="B171" s="67">
        <v>270.89999999999998</v>
      </c>
      <c r="C171" s="67">
        <v>290.39999999999998</v>
      </c>
    </row>
    <row r="172" spans="1:3">
      <c r="A172" s="73">
        <v>43466</v>
      </c>
      <c r="B172" s="67">
        <v>263.3</v>
      </c>
      <c r="C172" s="67">
        <v>301.89999999999998</v>
      </c>
    </row>
    <row r="173" spans="1:3">
      <c r="A173" s="73">
        <v>43497</v>
      </c>
      <c r="B173" s="67">
        <v>205.7</v>
      </c>
      <c r="C173" s="67">
        <v>266.60000000000002</v>
      </c>
    </row>
    <row r="174" spans="1:3">
      <c r="A174" s="73">
        <v>43525</v>
      </c>
      <c r="B174" s="67">
        <v>251</v>
      </c>
      <c r="C174" s="67">
        <v>250.5</v>
      </c>
    </row>
    <row r="175" spans="1:3">
      <c r="A175" s="73">
        <v>43556</v>
      </c>
      <c r="B175" s="67">
        <v>191.6</v>
      </c>
      <c r="C175" s="67">
        <v>297.60000000000002</v>
      </c>
    </row>
    <row r="176" spans="1:3">
      <c r="A176" s="73">
        <v>43586</v>
      </c>
      <c r="B176" s="67">
        <v>241.5</v>
      </c>
      <c r="C176" s="67">
        <v>275.60000000000002</v>
      </c>
    </row>
    <row r="177" spans="1:3">
      <c r="A177" s="73">
        <v>43617</v>
      </c>
      <c r="B177" s="67">
        <v>316.5</v>
      </c>
      <c r="C177" s="67">
        <v>339.1</v>
      </c>
    </row>
    <row r="178" spans="1:3">
      <c r="A178" s="73">
        <v>43647</v>
      </c>
      <c r="B178" s="67">
        <v>262.2</v>
      </c>
      <c r="C178" s="67">
        <v>333.2</v>
      </c>
    </row>
    <row r="179" spans="1:3">
      <c r="A179" s="73">
        <v>43678</v>
      </c>
      <c r="B179" s="67">
        <v>317.8</v>
      </c>
      <c r="C179" s="67">
        <v>400.9</v>
      </c>
    </row>
    <row r="180" spans="1:3">
      <c r="A180" s="73">
        <v>43709</v>
      </c>
      <c r="B180" s="67">
        <v>273.8</v>
      </c>
      <c r="C180" s="67">
        <v>358.1</v>
      </c>
    </row>
    <row r="181" spans="1:3">
      <c r="A181" s="73">
        <v>43739</v>
      </c>
      <c r="B181" s="67">
        <v>258.39999999999998</v>
      </c>
      <c r="C181" s="67">
        <v>495.9</v>
      </c>
    </row>
    <row r="182" spans="1:3">
      <c r="A182" s="73">
        <v>43770</v>
      </c>
      <c r="B182" s="67">
        <v>253.4</v>
      </c>
      <c r="C182" s="67">
        <v>364.9</v>
      </c>
    </row>
    <row r="183" spans="1:3">
      <c r="A183" s="73">
        <v>43800</v>
      </c>
      <c r="B183" s="67">
        <v>266.10000000000002</v>
      </c>
      <c r="C183" s="67">
        <v>316</v>
      </c>
    </row>
    <row r="184" spans="1:3">
      <c r="A184" s="73">
        <v>43831</v>
      </c>
      <c r="B184" s="67">
        <v>228</v>
      </c>
      <c r="C184" s="67">
        <v>275.7</v>
      </c>
    </row>
    <row r="185" spans="1:3">
      <c r="A185" s="73">
        <v>43862</v>
      </c>
      <c r="B185" s="67">
        <v>230.5</v>
      </c>
      <c r="C185" s="67">
        <v>380.2</v>
      </c>
    </row>
    <row r="186" spans="1:3">
      <c r="A186" s="73">
        <v>43891</v>
      </c>
      <c r="B186" s="67">
        <v>357</v>
      </c>
      <c r="C186" s="67">
        <v>569.70000000000005</v>
      </c>
    </row>
    <row r="187" spans="1:3">
      <c r="A187" s="73">
        <v>43922</v>
      </c>
      <c r="B187" s="67">
        <v>359</v>
      </c>
      <c r="C187" s="67">
        <v>448.4</v>
      </c>
    </row>
    <row r="188" spans="1:3">
      <c r="A188" s="73">
        <v>43952</v>
      </c>
      <c r="B188" s="67">
        <v>431.8</v>
      </c>
      <c r="C188" s="67">
        <v>678.8</v>
      </c>
    </row>
    <row r="189" spans="1:3">
      <c r="A189" s="73">
        <v>43983</v>
      </c>
      <c r="B189" s="67">
        <v>328.8</v>
      </c>
      <c r="C189" s="67">
        <v>504.9</v>
      </c>
    </row>
    <row r="190" spans="1:3">
      <c r="A190" s="73">
        <v>44013</v>
      </c>
      <c r="B190" s="67">
        <v>352.3</v>
      </c>
      <c r="C190" s="67">
        <v>551.5</v>
      </c>
    </row>
    <row r="191" spans="1:3">
      <c r="A191" s="73">
        <v>44044</v>
      </c>
      <c r="B191" s="67">
        <v>301.7</v>
      </c>
      <c r="C191" s="67">
        <v>415.3</v>
      </c>
    </row>
    <row r="192" spans="1:3">
      <c r="A192" s="73">
        <v>44075</v>
      </c>
      <c r="B192" s="67">
        <v>290</v>
      </c>
      <c r="C192" s="67">
        <v>422.5</v>
      </c>
    </row>
    <row r="193" spans="1:3">
      <c r="A193" s="73">
        <v>44105</v>
      </c>
      <c r="B193" s="67">
        <v>307.7</v>
      </c>
      <c r="C193" s="67">
        <v>497.6</v>
      </c>
    </row>
    <row r="194" spans="1:3">
      <c r="A194" s="73">
        <v>44136</v>
      </c>
      <c r="B194" s="67">
        <v>368.3</v>
      </c>
      <c r="C194" s="67">
        <v>455</v>
      </c>
    </row>
    <row r="195" spans="1:3">
      <c r="A195" s="73">
        <v>44166</v>
      </c>
      <c r="B195" s="67">
        <v>295.60000000000002</v>
      </c>
      <c r="C195" s="67">
        <v>371.2</v>
      </c>
    </row>
    <row r="196" spans="1:3">
      <c r="A196" s="73">
        <v>44197</v>
      </c>
      <c r="B196" s="67">
        <v>280.60000000000002</v>
      </c>
      <c r="C196" s="67">
        <v>290.39999999999998</v>
      </c>
    </row>
    <row r="197" spans="1:3">
      <c r="A197" s="73">
        <v>44228</v>
      </c>
      <c r="B197" s="67">
        <v>215.4</v>
      </c>
      <c r="C197" s="67">
        <v>323.2</v>
      </c>
    </row>
    <row r="198" spans="1:3">
      <c r="A198" s="73">
        <v>44256</v>
      </c>
      <c r="B198" s="67">
        <v>215.3</v>
      </c>
      <c r="C198" s="67">
        <v>344.2</v>
      </c>
    </row>
    <row r="199" spans="1:3">
      <c r="A199" s="73">
        <v>44287</v>
      </c>
      <c r="B199" s="67">
        <v>199.4</v>
      </c>
      <c r="C199" s="67">
        <v>267.89999999999998</v>
      </c>
    </row>
    <row r="200" spans="1:3">
      <c r="A200" s="73">
        <v>44317</v>
      </c>
      <c r="B200" s="67">
        <v>190.3</v>
      </c>
      <c r="C200" s="67">
        <v>194.6</v>
      </c>
    </row>
    <row r="201" spans="1:3">
      <c r="A201" s="73">
        <v>44348</v>
      </c>
      <c r="B201" s="67">
        <v>178.9</v>
      </c>
      <c r="C201" s="67">
        <v>172.4</v>
      </c>
    </row>
    <row r="202" spans="1:3">
      <c r="A202" s="73">
        <v>44378</v>
      </c>
      <c r="B202" s="67">
        <v>205.6</v>
      </c>
      <c r="C202" s="67">
        <v>325.60000000000002</v>
      </c>
    </row>
    <row r="203" spans="1:3">
      <c r="A203" s="73">
        <v>44409</v>
      </c>
      <c r="B203" s="67">
        <v>216.4</v>
      </c>
      <c r="C203" s="67">
        <v>210.1</v>
      </c>
    </row>
    <row r="204" spans="1:3">
      <c r="A204" s="73">
        <v>44440</v>
      </c>
      <c r="B204" s="67">
        <v>205.4</v>
      </c>
      <c r="C204" s="67">
        <v>392</v>
      </c>
    </row>
    <row r="205" spans="1:3">
      <c r="A205" s="73">
        <v>44470</v>
      </c>
      <c r="B205" s="67">
        <v>195.2</v>
      </c>
      <c r="C205" s="67">
        <v>210.5</v>
      </c>
    </row>
    <row r="206" spans="1:3">
      <c r="A206" s="73">
        <v>44501</v>
      </c>
      <c r="B206" s="67">
        <v>227.9</v>
      </c>
      <c r="C206" s="67">
        <v>258.60000000000002</v>
      </c>
    </row>
    <row r="207" spans="1:3">
      <c r="A207" s="73">
        <v>44531</v>
      </c>
      <c r="B207" s="67">
        <v>266.10000000000002</v>
      </c>
      <c r="C207" s="67">
        <v>336.6</v>
      </c>
    </row>
    <row r="208" spans="1:3">
      <c r="A208" s="73">
        <v>44562</v>
      </c>
      <c r="B208" s="67">
        <v>232</v>
      </c>
      <c r="C208" s="67">
        <v>213.9</v>
      </c>
    </row>
    <row r="209" spans="1:3">
      <c r="A209" s="73">
        <v>44593</v>
      </c>
      <c r="B209" s="67">
        <v>191.9</v>
      </c>
      <c r="C209" s="67">
        <v>218.4</v>
      </c>
    </row>
    <row r="210" spans="1:3">
      <c r="A210" s="73">
        <v>44621</v>
      </c>
      <c r="B210" s="67">
        <v>330.1</v>
      </c>
      <c r="C210" s="67">
        <v>404.5</v>
      </c>
    </row>
    <row r="211" spans="1:3">
      <c r="A211" s="73">
        <v>44652</v>
      </c>
      <c r="B211" s="67">
        <v>303</v>
      </c>
      <c r="C211" s="67">
        <v>300.60000000000002</v>
      </c>
    </row>
    <row r="212" spans="1:3">
      <c r="A212" s="73">
        <v>44682</v>
      </c>
      <c r="B212" s="67">
        <v>291.3</v>
      </c>
      <c r="C212" s="67">
        <v>303.7</v>
      </c>
    </row>
    <row r="213" spans="1:3">
      <c r="A213" s="73">
        <v>44713</v>
      </c>
      <c r="B213" s="67">
        <v>275.39999999999998</v>
      </c>
      <c r="C213" s="67">
        <v>143.69999999999999</v>
      </c>
    </row>
    <row r="214" spans="1:3">
      <c r="A214" s="73">
        <v>44743</v>
      </c>
      <c r="B214" s="67">
        <v>317.3</v>
      </c>
      <c r="C214" s="67">
        <v>212.4</v>
      </c>
    </row>
    <row r="215" spans="1:3">
      <c r="A215" s="73">
        <v>44774</v>
      </c>
      <c r="B215" s="67">
        <v>257.10000000000002</v>
      </c>
      <c r="C215" s="67">
        <v>379</v>
      </c>
    </row>
    <row r="216" spans="1:3">
      <c r="A216" s="73">
        <v>44805</v>
      </c>
      <c r="B216" s="67">
        <v>281.89999999999998</v>
      </c>
      <c r="C216" s="67">
        <v>257.10000000000002</v>
      </c>
    </row>
    <row r="217" spans="1:3">
      <c r="A217" s="73">
        <v>44835</v>
      </c>
      <c r="B217" s="67">
        <v>301.2</v>
      </c>
      <c r="C217" s="67">
        <v>320</v>
      </c>
    </row>
    <row r="218" spans="1:3">
      <c r="A218" s="73">
        <v>44866</v>
      </c>
      <c r="B218" s="67">
        <v>332.3</v>
      </c>
      <c r="C218" s="67">
        <v>271.5</v>
      </c>
    </row>
    <row r="219" spans="1:3">
      <c r="A219" s="73">
        <v>44896</v>
      </c>
      <c r="B219" s="67">
        <v>263.39999999999998</v>
      </c>
      <c r="C219" s="67">
        <v>310.10000000000002</v>
      </c>
    </row>
    <row r="220" spans="1:3">
      <c r="A220" s="73">
        <v>44927</v>
      </c>
      <c r="B220" s="67">
        <v>247.3</v>
      </c>
      <c r="C220" s="67">
        <v>232.5</v>
      </c>
    </row>
    <row r="221" spans="1:3">
      <c r="A221" s="73">
        <v>44958</v>
      </c>
      <c r="B221" s="67">
        <v>243.4</v>
      </c>
      <c r="C221" s="67">
        <v>254.6</v>
      </c>
    </row>
    <row r="222" spans="1:3">
      <c r="A222" s="73">
        <v>44986</v>
      </c>
      <c r="B222" s="67">
        <v>310.7</v>
      </c>
      <c r="C222" s="67">
        <v>339.5</v>
      </c>
    </row>
    <row r="223" spans="1:3">
      <c r="A223" s="73">
        <v>45017</v>
      </c>
      <c r="B223" s="67">
        <v>231.7</v>
      </c>
      <c r="C223" s="67">
        <v>190.4</v>
      </c>
    </row>
    <row r="224" spans="1:3">
      <c r="A224" s="73">
        <v>45047</v>
      </c>
      <c r="B224" s="67">
        <v>228.5</v>
      </c>
      <c r="C224" s="67">
        <v>219.6</v>
      </c>
    </row>
    <row r="225" spans="1:3">
      <c r="A225" s="73">
        <v>45078</v>
      </c>
      <c r="B225" s="67">
        <v>229.8</v>
      </c>
      <c r="C225" s="67">
        <v>158.6</v>
      </c>
    </row>
    <row r="226" spans="1:3">
      <c r="A226" s="73">
        <v>45108</v>
      </c>
      <c r="B226" s="67">
        <v>226.4</v>
      </c>
      <c r="C226" s="67">
        <v>262</v>
      </c>
    </row>
    <row r="227" spans="1:3">
      <c r="A227" s="73">
        <v>45139</v>
      </c>
      <c r="B227" s="67">
        <v>211</v>
      </c>
      <c r="C227" s="67">
        <v>300.7</v>
      </c>
    </row>
    <row r="228" spans="1:3">
      <c r="A228" s="73">
        <v>45170</v>
      </c>
      <c r="B228" s="67">
        <v>244</v>
      </c>
      <c r="C228" s="67">
        <v>202</v>
      </c>
    </row>
    <row r="229" spans="1:3">
      <c r="A229" s="73">
        <v>45200</v>
      </c>
      <c r="B229" s="67">
        <v>226</v>
      </c>
      <c r="C229" s="67">
        <v>389.1</v>
      </c>
    </row>
    <row r="230" spans="1:3">
      <c r="A230" s="73">
        <v>45231</v>
      </c>
      <c r="B230" s="67">
        <v>246.6</v>
      </c>
      <c r="C230" s="67">
        <v>317.7</v>
      </c>
    </row>
    <row r="231" spans="1:3">
      <c r="A231" s="73">
        <v>45261</v>
      </c>
      <c r="B231" s="67">
        <v>255.8</v>
      </c>
      <c r="C231" s="67">
        <v>361.6</v>
      </c>
    </row>
    <row r="232" spans="1:3">
      <c r="A232" s="73">
        <v>45292</v>
      </c>
      <c r="B232" s="67">
        <v>229.7</v>
      </c>
      <c r="C232" s="67">
        <v>247.1</v>
      </c>
    </row>
    <row r="233" spans="1:3">
      <c r="A233" s="73">
        <v>45323</v>
      </c>
      <c r="B233" s="67">
        <v>197.4</v>
      </c>
      <c r="C233" s="67">
        <v>198.4</v>
      </c>
    </row>
    <row r="234" spans="1:3">
      <c r="A234" s="73">
        <v>45352</v>
      </c>
      <c r="B234" s="67">
        <v>177</v>
      </c>
      <c r="C234" s="67">
        <v>283.3</v>
      </c>
    </row>
    <row r="235" spans="1:3">
      <c r="A235" s="73">
        <v>45383</v>
      </c>
      <c r="B235" s="67">
        <v>185.7</v>
      </c>
      <c r="C235" s="67">
        <v>164.4</v>
      </c>
    </row>
    <row r="236" spans="1:3">
      <c r="A236" s="73">
        <v>45413</v>
      </c>
      <c r="B236" s="67">
        <v>203.1</v>
      </c>
      <c r="C236" s="67">
        <v>248.9</v>
      </c>
    </row>
    <row r="237" spans="1:3">
      <c r="A237" s="73">
        <v>45444</v>
      </c>
      <c r="B237" s="67">
        <v>214.8</v>
      </c>
      <c r="C237" s="67">
        <v>198.1</v>
      </c>
    </row>
    <row r="238" spans="1:3">
      <c r="A238" s="73">
        <v>45474</v>
      </c>
      <c r="B238" s="67">
        <v>235.2</v>
      </c>
      <c r="C238" s="67">
        <v>223.1</v>
      </c>
    </row>
    <row r="239" spans="1:3">
      <c r="A239" s="73">
        <v>45505</v>
      </c>
      <c r="B239" s="67">
        <v>226.7</v>
      </c>
      <c r="C239" s="67">
        <v>295.2</v>
      </c>
    </row>
    <row r="240" spans="1:3">
      <c r="A240" s="73">
        <v>45536</v>
      </c>
      <c r="B240" s="67">
        <v>225</v>
      </c>
      <c r="C240" s="67">
        <v>249.5</v>
      </c>
    </row>
    <row r="241" spans="1:3">
      <c r="A241" s="73">
        <v>45566</v>
      </c>
      <c r="B241" s="67">
        <v>225.2</v>
      </c>
      <c r="C241" s="67">
        <v>236.3</v>
      </c>
    </row>
    <row r="242" spans="1:3">
      <c r="A242" s="73">
        <v>45597</v>
      </c>
      <c r="B242" s="67">
        <v>365.6</v>
      </c>
      <c r="C242" s="67">
        <v>415.6</v>
      </c>
    </row>
    <row r="243" spans="1:3">
      <c r="A243" s="73">
        <v>45627</v>
      </c>
      <c r="B243" s="67">
        <v>374.9</v>
      </c>
      <c r="C243" s="67">
        <v>654.6</v>
      </c>
    </row>
    <row r="244" spans="1:3">
      <c r="A244" s="73">
        <v>45658</v>
      </c>
      <c r="B244" s="67"/>
      <c r="C244" s="67">
        <v>868</v>
      </c>
    </row>
    <row r="245" spans="1:3">
      <c r="A245" s="73"/>
      <c r="B245" s="74"/>
    </row>
    <row r="246" spans="1:3">
      <c r="A246" s="73"/>
      <c r="B246" s="74"/>
    </row>
    <row r="247" spans="1:3">
      <c r="A247" s="73"/>
      <c r="B247" s="74"/>
    </row>
    <row r="248" spans="1:3">
      <c r="A248" s="73"/>
      <c r="B248" s="74"/>
    </row>
    <row r="249" spans="1:3">
      <c r="A249" s="73"/>
      <c r="B249" s="74"/>
    </row>
    <row r="250" spans="1:3">
      <c r="A250" s="73" t="s">
        <v>136</v>
      </c>
      <c r="B250" s="74"/>
    </row>
    <row r="251" spans="1:3">
      <c r="A251" s="73"/>
      <c r="B251" s="74"/>
    </row>
    <row r="252" spans="1:3">
      <c r="A252" s="73"/>
      <c r="B252" s="74"/>
    </row>
    <row r="253" spans="1:3">
      <c r="A253" s="73"/>
      <c r="B253" s="74"/>
    </row>
    <row r="254" spans="1:3">
      <c r="A254" s="73"/>
      <c r="B254" s="74"/>
    </row>
    <row r="255" spans="1:3">
      <c r="A255" s="73"/>
      <c r="B255" s="74"/>
    </row>
    <row r="256" spans="1:3">
      <c r="A256" s="73"/>
      <c r="B256" s="74"/>
    </row>
    <row r="257" spans="1:2">
      <c r="A257" s="73"/>
      <c r="B257" s="74"/>
    </row>
    <row r="258" spans="1:2">
      <c r="A258" s="73"/>
      <c r="B258" s="74"/>
    </row>
    <row r="259" spans="1:2">
      <c r="A259" s="73"/>
      <c r="B259" s="74"/>
    </row>
    <row r="260" spans="1:2">
      <c r="A260" s="73"/>
      <c r="B260" s="74"/>
    </row>
    <row r="261" spans="1:2">
      <c r="A261" s="73"/>
      <c r="B261" s="74"/>
    </row>
    <row r="262" spans="1:2">
      <c r="A262" s="73"/>
      <c r="B262" s="74"/>
    </row>
    <row r="263" spans="1:2">
      <c r="A263" s="73"/>
      <c r="B263" s="74"/>
    </row>
    <row r="264" spans="1:2">
      <c r="A264" s="73"/>
      <c r="B264" s="74"/>
    </row>
    <row r="265" spans="1:2">
      <c r="A265" s="73"/>
      <c r="B265" s="74"/>
    </row>
    <row r="266" spans="1:2">
      <c r="A266" s="73"/>
      <c r="B266" s="74"/>
    </row>
    <row r="267" spans="1:2">
      <c r="A267" s="73"/>
      <c r="B267" s="74"/>
    </row>
    <row r="268" spans="1:2">
      <c r="A268" s="73"/>
      <c r="B268" s="74"/>
    </row>
    <row r="269" spans="1:2">
      <c r="A269" s="73"/>
      <c r="B269" s="74"/>
    </row>
    <row r="270" spans="1:2">
      <c r="A270" s="73"/>
      <c r="B270" s="74"/>
    </row>
    <row r="271" spans="1:2">
      <c r="A271" s="73"/>
      <c r="B271" s="74"/>
    </row>
    <row r="272" spans="1:2">
      <c r="A272" s="73"/>
      <c r="B272" s="74"/>
    </row>
    <row r="273" spans="1:2">
      <c r="A273" s="73"/>
      <c r="B273" s="74"/>
    </row>
    <row r="274" spans="1:2">
      <c r="A274" s="73"/>
      <c r="B274" s="74"/>
    </row>
    <row r="275" spans="1:2">
      <c r="A275" s="73"/>
      <c r="B275" s="74"/>
    </row>
    <row r="276" spans="1:2">
      <c r="A276" s="73"/>
      <c r="B276" s="74"/>
    </row>
    <row r="277" spans="1:2">
      <c r="A277" s="73"/>
      <c r="B277" s="74"/>
    </row>
    <row r="278" spans="1:2">
      <c r="A278" s="73"/>
      <c r="B278" s="74"/>
    </row>
    <row r="279" spans="1:2">
      <c r="A279" s="73"/>
      <c r="B279" s="74"/>
    </row>
    <row r="280" spans="1:2">
      <c r="A280" s="73"/>
      <c r="B280" s="74"/>
    </row>
    <row r="281" spans="1:2">
      <c r="A281" s="73"/>
      <c r="B281" s="74"/>
    </row>
    <row r="282" spans="1:2">
      <c r="A282" s="73"/>
      <c r="B282" s="74"/>
    </row>
    <row r="283" spans="1:2">
      <c r="A283" s="73"/>
      <c r="B283" s="74"/>
    </row>
    <row r="284" spans="1:2">
      <c r="A284" s="73"/>
      <c r="B284" s="74"/>
    </row>
    <row r="285" spans="1:2">
      <c r="A285" s="73"/>
      <c r="B285" s="74"/>
    </row>
    <row r="286" spans="1:2">
      <c r="A286" s="73"/>
      <c r="B286" s="74"/>
    </row>
    <row r="287" spans="1:2">
      <c r="A287" s="73"/>
      <c r="B287" s="74"/>
    </row>
    <row r="288" spans="1:2">
      <c r="A288" s="73"/>
      <c r="B288" s="74"/>
    </row>
    <row r="289" spans="1:2">
      <c r="A289" s="73"/>
      <c r="B289" s="74"/>
    </row>
    <row r="290" spans="1:2">
      <c r="A290" s="73"/>
      <c r="B290" s="74"/>
    </row>
    <row r="291" spans="1:2">
      <c r="A291" s="73"/>
      <c r="B291" s="74"/>
    </row>
    <row r="292" spans="1:2">
      <c r="A292" s="73"/>
      <c r="B292" s="74"/>
    </row>
    <row r="293" spans="1:2">
      <c r="A293" s="73"/>
      <c r="B293" s="74"/>
    </row>
    <row r="294" spans="1:2">
      <c r="A294" s="73"/>
      <c r="B294" s="74"/>
    </row>
    <row r="295" spans="1:2">
      <c r="A295" s="73"/>
      <c r="B295" s="74"/>
    </row>
    <row r="296" spans="1:2">
      <c r="A296" s="73"/>
      <c r="B296" s="74"/>
    </row>
    <row r="297" spans="1:2">
      <c r="A297" s="73"/>
      <c r="B297" s="74"/>
    </row>
    <row r="298" spans="1:2">
      <c r="A298" s="73"/>
      <c r="B298" s="74"/>
    </row>
    <row r="299" spans="1:2">
      <c r="A299" s="73"/>
      <c r="B299" s="74"/>
    </row>
    <row r="300" spans="1:2">
      <c r="A300" s="73"/>
      <c r="B300" s="74"/>
    </row>
    <row r="301" spans="1:2">
      <c r="A301" s="73"/>
      <c r="B301" s="74"/>
    </row>
    <row r="302" spans="1:2">
      <c r="A302" s="73"/>
      <c r="B302" s="74"/>
    </row>
    <row r="303" spans="1:2">
      <c r="A303" s="73"/>
      <c r="B303" s="74"/>
    </row>
    <row r="304" spans="1:2">
      <c r="A304" s="73"/>
      <c r="B304" s="74"/>
    </row>
    <row r="305" spans="1:2">
      <c r="A305" s="73"/>
      <c r="B305" s="74"/>
    </row>
    <row r="306" spans="1:2">
      <c r="A306" s="73"/>
      <c r="B306" s="74"/>
    </row>
    <row r="307" spans="1:2">
      <c r="A307" s="73"/>
      <c r="B307" s="74"/>
    </row>
    <row r="308" spans="1:2">
      <c r="A308" s="73"/>
      <c r="B308" s="74"/>
    </row>
    <row r="309" spans="1:2">
      <c r="A309" s="73"/>
      <c r="B309" s="74"/>
    </row>
    <row r="310" spans="1:2">
      <c r="A310" s="73"/>
      <c r="B310" s="74"/>
    </row>
    <row r="311" spans="1:2">
      <c r="A311" s="73"/>
      <c r="B311" s="74"/>
    </row>
    <row r="312" spans="1:2">
      <c r="A312" s="73"/>
      <c r="B312" s="74"/>
    </row>
    <row r="313" spans="1:2">
      <c r="A313" s="73"/>
      <c r="B313" s="74"/>
    </row>
    <row r="314" spans="1:2">
      <c r="A314" s="73"/>
      <c r="B314" s="74"/>
    </row>
    <row r="315" spans="1:2">
      <c r="A315" s="73"/>
      <c r="B315" s="74"/>
    </row>
    <row r="316" spans="1:2">
      <c r="A316" s="73"/>
      <c r="B316" s="74"/>
    </row>
    <row r="317" spans="1:2">
      <c r="A317" s="73"/>
      <c r="B317" s="74"/>
    </row>
    <row r="318" spans="1:2">
      <c r="A318" s="73"/>
      <c r="B318" s="74"/>
    </row>
    <row r="319" spans="1:2">
      <c r="A319" s="73"/>
      <c r="B319" s="74"/>
    </row>
    <row r="320" spans="1:2">
      <c r="A320" s="73"/>
      <c r="B320" s="74"/>
    </row>
    <row r="321" spans="1:2">
      <c r="A321" s="73"/>
      <c r="B321" s="74"/>
    </row>
    <row r="322" spans="1:2">
      <c r="A322" s="73"/>
      <c r="B322" s="74"/>
    </row>
  </sheetData>
  <pageMargins left="0.7" right="0.7" top="0.75" bottom="0.75" header="0.3" footer="0.3"/>
  <headerFooter>
    <oddFooter>&amp;L_x000D_&amp;1#&amp;"Calibri"&amp;11&amp;K000000 Classification: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0738B-9365-4BF1-91D3-59331CC56085}">
  <sheetPr>
    <tabColor rgb="FF92D050"/>
  </sheetPr>
  <dimension ref="A1:E68"/>
  <sheetViews>
    <sheetView topLeftCell="A41" zoomScaleNormal="100" workbookViewId="0">
      <selection activeCell="A68" sqref="A68"/>
    </sheetView>
  </sheetViews>
  <sheetFormatPr defaultColWidth="9.140625" defaultRowHeight="15.75"/>
  <cols>
    <col min="1" max="5" width="12.7109375" style="63" customWidth="1"/>
    <col min="6" max="16384" width="9.140625" style="63"/>
  </cols>
  <sheetData>
    <row r="1" spans="1:5">
      <c r="A1" s="1" t="s">
        <v>139</v>
      </c>
    </row>
    <row r="3" spans="1:5" ht="31.5">
      <c r="A3" s="69" t="s">
        <v>25</v>
      </c>
      <c r="B3" s="223" t="s">
        <v>336</v>
      </c>
      <c r="C3" s="223" t="s">
        <v>337</v>
      </c>
      <c r="D3" s="223" t="s">
        <v>338</v>
      </c>
      <c r="E3" s="223" t="s">
        <v>339</v>
      </c>
    </row>
    <row r="4" spans="1:5">
      <c r="A4" s="76" t="s">
        <v>141</v>
      </c>
      <c r="B4" s="74">
        <v>0.125</v>
      </c>
      <c r="C4" s="74">
        <v>0.1</v>
      </c>
      <c r="D4" s="77">
        <v>0</v>
      </c>
      <c r="E4" s="77">
        <v>0.25</v>
      </c>
    </row>
    <row r="5" spans="1:5">
      <c r="A5" s="76" t="s">
        <v>142</v>
      </c>
      <c r="B5" s="74">
        <v>0.125</v>
      </c>
      <c r="C5" s="74">
        <v>0.1</v>
      </c>
      <c r="D5" s="77">
        <v>0</v>
      </c>
      <c r="E5" s="77">
        <v>0.25</v>
      </c>
    </row>
    <row r="6" spans="1:5">
      <c r="A6" s="76" t="s">
        <v>143</v>
      </c>
      <c r="B6" s="74">
        <v>0.125</v>
      </c>
      <c r="C6" s="74">
        <v>0.1</v>
      </c>
      <c r="D6" s="77">
        <v>0</v>
      </c>
      <c r="E6" s="77">
        <v>0.25</v>
      </c>
    </row>
    <row r="7" spans="1:5">
      <c r="A7" s="76" t="s">
        <v>144</v>
      </c>
      <c r="B7" s="74">
        <v>0.125</v>
      </c>
      <c r="C7" s="74">
        <v>0.1</v>
      </c>
      <c r="D7" s="77">
        <v>0</v>
      </c>
      <c r="E7" s="77">
        <v>0.25</v>
      </c>
    </row>
    <row r="8" spans="1:5">
      <c r="A8" s="76" t="s">
        <v>145</v>
      </c>
      <c r="B8" s="74">
        <v>0.125</v>
      </c>
      <c r="C8" s="74">
        <v>0.1</v>
      </c>
      <c r="D8" s="77">
        <v>0</v>
      </c>
      <c r="E8" s="77">
        <v>0.25</v>
      </c>
    </row>
    <row r="9" spans="1:5">
      <c r="A9" s="76" t="s">
        <v>146</v>
      </c>
      <c r="B9" s="74">
        <v>0.125</v>
      </c>
      <c r="C9" s="74">
        <v>0.1</v>
      </c>
      <c r="D9" s="77">
        <v>0</v>
      </c>
      <c r="E9" s="77">
        <v>0.25</v>
      </c>
    </row>
    <row r="10" spans="1:5">
      <c r="A10" s="76" t="s">
        <v>147</v>
      </c>
      <c r="B10" s="74">
        <v>0.125</v>
      </c>
      <c r="C10" s="74">
        <v>0.1</v>
      </c>
      <c r="D10" s="77">
        <v>0</v>
      </c>
      <c r="E10" s="77">
        <v>0.25</v>
      </c>
    </row>
    <row r="11" spans="1:5">
      <c r="A11" s="76" t="s">
        <v>148</v>
      </c>
      <c r="B11" s="74">
        <v>0.125</v>
      </c>
      <c r="C11" s="74">
        <v>0.1</v>
      </c>
      <c r="D11" s="77">
        <v>0</v>
      </c>
      <c r="E11" s="77">
        <v>0.25</v>
      </c>
    </row>
    <row r="12" spans="1:5">
      <c r="A12" s="76" t="s">
        <v>149</v>
      </c>
      <c r="B12" s="74">
        <v>0.125</v>
      </c>
      <c r="C12" s="74">
        <v>0.1</v>
      </c>
      <c r="D12" s="77">
        <v>0</v>
      </c>
      <c r="E12" s="77">
        <v>0.25</v>
      </c>
    </row>
    <row r="13" spans="1:5">
      <c r="A13" s="76" t="s">
        <v>150</v>
      </c>
      <c r="B13" s="74">
        <v>0.125</v>
      </c>
      <c r="C13" s="74">
        <v>0.1</v>
      </c>
      <c r="D13" s="77">
        <v>0</v>
      </c>
      <c r="E13" s="77">
        <v>0.25</v>
      </c>
    </row>
    <row r="14" spans="1:5">
      <c r="A14" s="76" t="s">
        <v>151</v>
      </c>
      <c r="B14" s="74">
        <v>0.125</v>
      </c>
      <c r="C14" s="74">
        <v>0.1</v>
      </c>
      <c r="D14" s="77">
        <v>0</v>
      </c>
      <c r="E14" s="77">
        <v>0.25</v>
      </c>
    </row>
    <row r="15" spans="1:5">
      <c r="A15" s="76" t="s">
        <v>152</v>
      </c>
      <c r="B15" s="74">
        <v>0.125</v>
      </c>
      <c r="C15" s="74">
        <v>0.1</v>
      </c>
      <c r="D15" s="77">
        <v>0</v>
      </c>
      <c r="E15" s="77">
        <v>0.25</v>
      </c>
    </row>
    <row r="16" spans="1:5">
      <c r="A16" s="76" t="s">
        <v>153</v>
      </c>
      <c r="B16" s="74">
        <v>0.125</v>
      </c>
      <c r="C16" s="74">
        <v>0.25</v>
      </c>
      <c r="D16" s="77">
        <v>0</v>
      </c>
      <c r="E16" s="77">
        <v>0.25</v>
      </c>
    </row>
    <row r="17" spans="1:5">
      <c r="A17" s="76" t="s">
        <v>154</v>
      </c>
      <c r="B17" s="74">
        <v>0.125</v>
      </c>
      <c r="C17" s="74">
        <v>0.25</v>
      </c>
      <c r="D17" s="77">
        <v>0</v>
      </c>
      <c r="E17" s="77">
        <v>0.25</v>
      </c>
    </row>
    <row r="18" spans="1:5">
      <c r="A18" s="76" t="s">
        <v>155</v>
      </c>
      <c r="B18" s="74">
        <v>0.125</v>
      </c>
      <c r="C18" s="74">
        <v>0.5</v>
      </c>
      <c r="D18" s="77">
        <v>0</v>
      </c>
      <c r="E18" s="77">
        <v>0.25</v>
      </c>
    </row>
    <row r="19" spans="1:5">
      <c r="A19" s="76" t="s">
        <v>156</v>
      </c>
      <c r="B19" s="74">
        <v>0.375</v>
      </c>
      <c r="C19" s="74">
        <v>0.75</v>
      </c>
      <c r="D19" s="77">
        <v>0</v>
      </c>
      <c r="E19" s="77">
        <v>0.5</v>
      </c>
    </row>
    <row r="20" spans="1:5">
      <c r="A20" s="76" t="s">
        <v>157</v>
      </c>
      <c r="B20" s="74">
        <v>0.375</v>
      </c>
      <c r="C20" s="74">
        <v>0.75</v>
      </c>
      <c r="D20" s="77">
        <v>0</v>
      </c>
      <c r="E20" s="77">
        <v>1</v>
      </c>
    </row>
    <row r="21" spans="1:5">
      <c r="A21" s="76" t="s">
        <v>158</v>
      </c>
      <c r="B21" s="74">
        <v>0.875</v>
      </c>
      <c r="C21" s="74">
        <v>1</v>
      </c>
      <c r="D21" s="77">
        <v>0</v>
      </c>
      <c r="E21" s="77">
        <v>1</v>
      </c>
    </row>
    <row r="22" spans="1:5">
      <c r="A22" s="76" t="s">
        <v>159</v>
      </c>
      <c r="B22" s="74">
        <v>1.625</v>
      </c>
      <c r="C22" s="74">
        <v>1.25</v>
      </c>
      <c r="D22" s="77">
        <v>0</v>
      </c>
      <c r="E22" s="77">
        <v>1.5</v>
      </c>
    </row>
    <row r="23" spans="1:5">
      <c r="A23" s="76" t="s">
        <v>160</v>
      </c>
      <c r="B23" s="74">
        <v>2.375</v>
      </c>
      <c r="C23" s="74">
        <v>1.25</v>
      </c>
      <c r="D23" s="77">
        <v>0.5</v>
      </c>
      <c r="E23" s="77">
        <v>2.5</v>
      </c>
    </row>
    <row r="24" spans="1:5">
      <c r="A24" s="76" t="s">
        <v>161</v>
      </c>
      <c r="B24" s="74">
        <v>2.375</v>
      </c>
      <c r="C24" s="74">
        <v>1.75</v>
      </c>
      <c r="D24" s="77">
        <v>0.5</v>
      </c>
      <c r="E24" s="77">
        <v>2.5</v>
      </c>
    </row>
    <row r="25" spans="1:5">
      <c r="A25" s="76" t="s">
        <v>162</v>
      </c>
      <c r="B25" s="74">
        <v>3.125</v>
      </c>
      <c r="C25" s="74">
        <v>2.25</v>
      </c>
      <c r="D25" s="77">
        <v>1.25</v>
      </c>
      <c r="E25" s="77">
        <v>3.25</v>
      </c>
    </row>
    <row r="26" spans="1:5">
      <c r="A26" s="76" t="s">
        <v>163</v>
      </c>
      <c r="B26" s="74">
        <v>3.125</v>
      </c>
      <c r="C26" s="74">
        <v>2.25</v>
      </c>
      <c r="D26" s="77">
        <v>2</v>
      </c>
      <c r="E26" s="77">
        <v>3.75</v>
      </c>
    </row>
    <row r="27" spans="1:5">
      <c r="A27" s="76" t="s">
        <v>164</v>
      </c>
      <c r="B27" s="74">
        <v>3.875</v>
      </c>
      <c r="C27" s="74">
        <v>3</v>
      </c>
      <c r="D27" s="77">
        <v>2</v>
      </c>
      <c r="E27" s="77">
        <v>3.75</v>
      </c>
    </row>
    <row r="28" spans="1:5">
      <c r="A28" s="76" t="s">
        <v>165</v>
      </c>
      <c r="B28" s="74">
        <v>4.375</v>
      </c>
      <c r="C28" s="74">
        <v>3.5</v>
      </c>
      <c r="D28" s="77">
        <v>2.5</v>
      </c>
      <c r="E28" s="77">
        <v>4.25</v>
      </c>
    </row>
    <row r="29" spans="1:5">
      <c r="A29" s="76" t="s">
        <v>166</v>
      </c>
      <c r="B29" s="74">
        <v>4.375</v>
      </c>
      <c r="C29" s="74">
        <v>3.5</v>
      </c>
      <c r="D29" s="77">
        <v>2.5</v>
      </c>
      <c r="E29" s="77">
        <v>4.5</v>
      </c>
    </row>
    <row r="30" spans="1:5">
      <c r="A30" s="76" t="s">
        <v>167</v>
      </c>
      <c r="B30" s="74">
        <v>4.625</v>
      </c>
      <c r="C30" s="74">
        <v>4</v>
      </c>
      <c r="D30" s="77">
        <v>3</v>
      </c>
      <c r="E30" s="77">
        <v>4.5</v>
      </c>
    </row>
    <row r="31" spans="1:5">
      <c r="A31" s="76" t="s">
        <v>168</v>
      </c>
      <c r="B31" s="74">
        <v>4.875</v>
      </c>
      <c r="C31" s="74">
        <v>4.25</v>
      </c>
      <c r="D31" s="77">
        <v>3.5</v>
      </c>
      <c r="E31" s="77">
        <v>4.5</v>
      </c>
    </row>
    <row r="32" spans="1:5">
      <c r="A32" s="76" t="s">
        <v>169</v>
      </c>
      <c r="B32" s="74">
        <v>4.875</v>
      </c>
      <c r="C32" s="74">
        <v>4.25</v>
      </c>
      <c r="D32" s="77">
        <v>3.5</v>
      </c>
      <c r="E32" s="77">
        <v>4.5</v>
      </c>
    </row>
    <row r="33" spans="1:5">
      <c r="A33" s="76" t="s">
        <v>170</v>
      </c>
      <c r="B33" s="74">
        <v>5.125</v>
      </c>
      <c r="C33" s="74">
        <v>4.5</v>
      </c>
      <c r="D33" s="77">
        <v>3.75</v>
      </c>
      <c r="E33" s="77">
        <v>4.5</v>
      </c>
    </row>
    <row r="34" spans="1:5">
      <c r="A34" s="76" t="s">
        <v>171</v>
      </c>
      <c r="B34" s="74">
        <v>5.125</v>
      </c>
      <c r="C34" s="74">
        <v>5</v>
      </c>
      <c r="D34" s="77">
        <v>4</v>
      </c>
      <c r="E34" s="77">
        <v>4.75</v>
      </c>
    </row>
    <row r="35" spans="1:5">
      <c r="A35" s="76" t="s">
        <v>172</v>
      </c>
      <c r="B35" s="74">
        <v>5.375</v>
      </c>
      <c r="C35" s="74">
        <v>5</v>
      </c>
      <c r="D35" s="77">
        <v>4.25</v>
      </c>
      <c r="E35" s="77">
        <v>5</v>
      </c>
    </row>
    <row r="36" spans="1:5">
      <c r="A36" s="76" t="s">
        <v>173</v>
      </c>
      <c r="B36" s="74">
        <v>5.375</v>
      </c>
      <c r="C36" s="74">
        <v>5.25</v>
      </c>
      <c r="D36" s="77">
        <v>4.25</v>
      </c>
      <c r="E36" s="77">
        <v>5</v>
      </c>
    </row>
    <row r="37" spans="1:5">
      <c r="A37" s="76" t="s">
        <v>174</v>
      </c>
      <c r="B37" s="74">
        <v>5.375</v>
      </c>
      <c r="C37" s="74">
        <v>5.25</v>
      </c>
      <c r="D37" s="77">
        <v>4.5</v>
      </c>
      <c r="E37" s="77">
        <v>5</v>
      </c>
    </row>
    <row r="38" spans="1:5">
      <c r="A38" s="76" t="s">
        <v>175</v>
      </c>
      <c r="B38" s="74">
        <v>5.375</v>
      </c>
      <c r="C38" s="74">
        <v>5.25</v>
      </c>
      <c r="D38" s="77">
        <v>4.5</v>
      </c>
      <c r="E38" s="77">
        <v>5</v>
      </c>
    </row>
    <row r="39" spans="1:5">
      <c r="A39" s="76" t="s">
        <v>176</v>
      </c>
      <c r="B39" s="74">
        <v>5.375</v>
      </c>
      <c r="C39" s="74">
        <v>5.25</v>
      </c>
      <c r="D39" s="77">
        <v>4.5</v>
      </c>
      <c r="E39" s="77">
        <v>5</v>
      </c>
    </row>
    <row r="40" spans="1:5">
      <c r="A40" s="76" t="s">
        <v>177</v>
      </c>
      <c r="B40" s="74">
        <v>5.375</v>
      </c>
      <c r="C40" s="74">
        <v>5.25</v>
      </c>
      <c r="D40" s="77">
        <v>4.5</v>
      </c>
      <c r="E40" s="77">
        <v>5</v>
      </c>
    </row>
    <row r="41" spans="1:5">
      <c r="A41" s="76" t="s">
        <v>178</v>
      </c>
      <c r="B41" s="74">
        <v>5.375</v>
      </c>
      <c r="C41" s="74">
        <v>5.25</v>
      </c>
      <c r="D41" s="77">
        <v>4.5</v>
      </c>
      <c r="E41" s="77">
        <v>5</v>
      </c>
    </row>
    <row r="42" spans="1:5">
      <c r="A42" s="76" t="s">
        <v>179</v>
      </c>
      <c r="B42" s="74">
        <v>5.375</v>
      </c>
      <c r="C42" s="74">
        <v>5.25</v>
      </c>
      <c r="D42" s="77">
        <v>4.5</v>
      </c>
      <c r="E42" s="77">
        <v>5</v>
      </c>
    </row>
    <row r="43" spans="1:5">
      <c r="A43" s="76" t="s">
        <v>180</v>
      </c>
      <c r="B43" s="74">
        <v>5.375</v>
      </c>
      <c r="C43" s="74">
        <v>5.25</v>
      </c>
      <c r="D43" s="77">
        <v>4.5</v>
      </c>
      <c r="E43" s="77">
        <v>5</v>
      </c>
    </row>
    <row r="44" spans="1:5">
      <c r="A44" s="76" t="s">
        <v>181</v>
      </c>
      <c r="B44" s="74">
        <v>5.375</v>
      </c>
      <c r="C44" s="74">
        <v>5.25</v>
      </c>
      <c r="D44" s="77">
        <v>4.5</v>
      </c>
      <c r="E44" s="77">
        <v>5</v>
      </c>
    </row>
    <row r="45" spans="1:5">
      <c r="A45" s="76" t="s">
        <v>182</v>
      </c>
      <c r="B45" s="74">
        <v>5.375</v>
      </c>
      <c r="C45" s="74">
        <v>5.25</v>
      </c>
      <c r="D45" s="77">
        <v>4.5</v>
      </c>
      <c r="E45" s="77">
        <v>5</v>
      </c>
    </row>
    <row r="46" spans="1:5">
      <c r="A46" s="76" t="s">
        <v>183</v>
      </c>
      <c r="B46" s="74">
        <v>5.375</v>
      </c>
      <c r="C46" s="74">
        <v>5.25</v>
      </c>
      <c r="D46" s="77">
        <v>4.25</v>
      </c>
      <c r="E46" s="77">
        <v>4.75</v>
      </c>
    </row>
    <row r="47" spans="1:5">
      <c r="A47" s="76" t="s">
        <v>184</v>
      </c>
      <c r="B47" s="74">
        <v>5.375</v>
      </c>
      <c r="C47" s="74">
        <v>5.25</v>
      </c>
      <c r="D47" s="77">
        <v>4.25</v>
      </c>
      <c r="E47" s="77">
        <v>4.5</v>
      </c>
    </row>
    <row r="48" spans="1:5">
      <c r="A48" s="76" t="s">
        <v>185</v>
      </c>
      <c r="B48" s="74">
        <v>5.375</v>
      </c>
      <c r="C48" s="74">
        <v>5</v>
      </c>
      <c r="D48" s="77">
        <v>4.25</v>
      </c>
      <c r="E48" s="77">
        <v>4.5</v>
      </c>
    </row>
    <row r="49" spans="1:5">
      <c r="A49" s="76" t="s">
        <v>186</v>
      </c>
      <c r="B49" s="74">
        <v>4.875</v>
      </c>
      <c r="C49" s="74">
        <v>5</v>
      </c>
      <c r="D49" s="77">
        <v>3.65</v>
      </c>
      <c r="E49" s="77">
        <v>4.25</v>
      </c>
    </row>
    <row r="50" spans="1:5">
      <c r="A50" s="76" t="s">
        <v>187</v>
      </c>
      <c r="B50" s="74">
        <v>4.875</v>
      </c>
      <c r="C50" s="74">
        <v>5</v>
      </c>
      <c r="D50" s="77">
        <v>3.4</v>
      </c>
      <c r="E50" s="77">
        <v>3.75</v>
      </c>
    </row>
    <row r="51" spans="1:5">
      <c r="A51" s="76" t="s">
        <v>188</v>
      </c>
      <c r="B51" s="74">
        <v>4.625</v>
      </c>
      <c r="C51" s="74">
        <v>4.75</v>
      </c>
      <c r="D51" s="77">
        <v>3.4</v>
      </c>
      <c r="E51" s="77">
        <v>3.75</v>
      </c>
    </row>
    <row r="52" spans="1:5">
      <c r="A52" s="76" t="s">
        <v>189</v>
      </c>
      <c r="B52" s="74">
        <v>4.375</v>
      </c>
      <c r="C52" s="74">
        <v>4.75</v>
      </c>
      <c r="D52" s="77">
        <v>3.15</v>
      </c>
      <c r="E52" s="77">
        <v>3.25</v>
      </c>
    </row>
    <row r="53" spans="1:5">
      <c r="A53" s="76" t="s">
        <v>190</v>
      </c>
      <c r="B53" s="74">
        <v>4.375</v>
      </c>
      <c r="C53" s="74">
        <v>4.75</v>
      </c>
      <c r="D53" s="77">
        <v>2.9</v>
      </c>
      <c r="E53" s="77">
        <v>3</v>
      </c>
    </row>
    <row r="54" spans="1:5">
      <c r="A54" s="76" t="s">
        <v>191</v>
      </c>
      <c r="B54" s="74"/>
      <c r="C54" s="74">
        <v>4.5</v>
      </c>
      <c r="D54" s="77"/>
      <c r="E54" s="77">
        <v>3</v>
      </c>
    </row>
    <row r="55" spans="1:5">
      <c r="A55" s="76" t="s">
        <v>192</v>
      </c>
      <c r="E55" s="77">
        <v>2.75</v>
      </c>
    </row>
    <row r="56" spans="1:5">
      <c r="A56" s="76" t="s">
        <v>193</v>
      </c>
      <c r="E56" s="77">
        <v>2.75</v>
      </c>
    </row>
    <row r="57" spans="1:5">
      <c r="A57" s="76" t="s">
        <v>194</v>
      </c>
      <c r="E57" s="77">
        <v>2.5</v>
      </c>
    </row>
    <row r="58" spans="1:5">
      <c r="A58" s="76" t="s">
        <v>195</v>
      </c>
      <c r="E58" s="77">
        <v>2.5</v>
      </c>
    </row>
    <row r="59" spans="1:5">
      <c r="A59" s="76" t="s">
        <v>196</v>
      </c>
      <c r="E59" s="77">
        <v>2.5</v>
      </c>
    </row>
    <row r="60" spans="1:5">
      <c r="A60" s="76" t="s">
        <v>197</v>
      </c>
      <c r="E60" s="77">
        <v>2.25</v>
      </c>
    </row>
    <row r="61" spans="1:5">
      <c r="A61" s="76" t="s">
        <v>198</v>
      </c>
      <c r="E61" s="77">
        <v>2.25</v>
      </c>
    </row>
    <row r="62" spans="1:5">
      <c r="A62" s="76" t="s">
        <v>199</v>
      </c>
      <c r="E62" s="77">
        <v>2.25</v>
      </c>
    </row>
    <row r="63" spans="1:5">
      <c r="A63" s="76" t="s">
        <v>200</v>
      </c>
      <c r="E63" s="77">
        <v>2</v>
      </c>
    </row>
    <row r="64" spans="1:5">
      <c r="A64" s="76" t="s">
        <v>201</v>
      </c>
      <c r="E64" s="77">
        <v>2</v>
      </c>
    </row>
    <row r="68" spans="1:1">
      <c r="A68" s="63" t="s">
        <v>33</v>
      </c>
    </row>
  </sheetData>
  <pageMargins left="0.7" right="0.7" top="0.75" bottom="0.75" header="0.3" footer="0.3"/>
  <headerFooter>
    <oddFooter>&amp;L_x000D_&amp;1#&amp;"Calibri"&amp;11&amp;K000000 Classification: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88F92-3796-48C6-B2EC-51AC89840DA5}">
  <sheetPr>
    <tabColor rgb="FF92D050"/>
  </sheetPr>
  <dimension ref="A1:B345"/>
  <sheetViews>
    <sheetView topLeftCell="A312" zoomScaleNormal="100" workbookViewId="0">
      <selection activeCell="B337" sqref="B337"/>
    </sheetView>
  </sheetViews>
  <sheetFormatPr defaultColWidth="9.140625" defaultRowHeight="15.75"/>
  <cols>
    <col min="1" max="1" width="12.7109375" style="75" customWidth="1"/>
    <col min="2" max="2" width="12.7109375" style="63" customWidth="1"/>
    <col min="3" max="16384" width="9.140625" style="63"/>
  </cols>
  <sheetData>
    <row r="1" spans="1:2">
      <c r="A1" s="1" t="s">
        <v>202</v>
      </c>
    </row>
    <row r="3" spans="1:2" ht="31.5">
      <c r="A3" s="69" t="s">
        <v>203</v>
      </c>
      <c r="B3" s="223" t="s">
        <v>340</v>
      </c>
    </row>
    <row r="4" spans="1:2">
      <c r="A4" s="73">
        <v>45231</v>
      </c>
      <c r="B4" s="77">
        <v>72.069999999999993</v>
      </c>
    </row>
    <row r="5" spans="1:2">
      <c r="A5" s="73">
        <v>45232</v>
      </c>
      <c r="B5" s="77">
        <v>72.58</v>
      </c>
    </row>
    <row r="6" spans="1:2">
      <c r="A6" s="73">
        <v>45233</v>
      </c>
      <c r="B6" s="77">
        <v>73.08</v>
      </c>
    </row>
    <row r="7" spans="1:2">
      <c r="A7" s="73">
        <v>45236</v>
      </c>
      <c r="B7" s="77">
        <v>73.12</v>
      </c>
    </row>
    <row r="8" spans="1:2">
      <c r="A8" s="73">
        <v>45237</v>
      </c>
      <c r="B8" s="77">
        <v>72.67</v>
      </c>
    </row>
    <row r="9" spans="1:2">
      <c r="A9" s="73">
        <v>45238</v>
      </c>
      <c r="B9" s="77">
        <v>72.48</v>
      </c>
    </row>
    <row r="10" spans="1:2">
      <c r="A10" s="73">
        <v>45239</v>
      </c>
      <c r="B10" s="77">
        <v>72.56</v>
      </c>
    </row>
    <row r="11" spans="1:2">
      <c r="A11" s="73">
        <v>45240</v>
      </c>
      <c r="B11" s="77">
        <v>72.36</v>
      </c>
    </row>
    <row r="12" spans="1:2">
      <c r="A12" s="73">
        <v>45243</v>
      </c>
      <c r="B12" s="77" t="e">
        <v>#N/A</v>
      </c>
    </row>
    <row r="13" spans="1:2">
      <c r="A13" s="73">
        <v>45244</v>
      </c>
      <c r="B13" s="77">
        <v>72.86</v>
      </c>
    </row>
    <row r="14" spans="1:2">
      <c r="A14" s="73">
        <v>45245</v>
      </c>
      <c r="B14" s="77">
        <v>73.13</v>
      </c>
    </row>
    <row r="15" spans="1:2">
      <c r="A15" s="73">
        <v>45246</v>
      </c>
      <c r="B15" s="77">
        <v>72.73</v>
      </c>
    </row>
    <row r="16" spans="1:2">
      <c r="A16" s="73">
        <v>45247</v>
      </c>
      <c r="B16" s="77">
        <v>72.88</v>
      </c>
    </row>
    <row r="17" spans="1:2">
      <c r="A17" s="73">
        <v>45250</v>
      </c>
      <c r="B17" s="77">
        <v>72.849999999999994</v>
      </c>
    </row>
    <row r="18" spans="1:2">
      <c r="A18" s="73">
        <v>45251</v>
      </c>
      <c r="B18" s="77">
        <v>73</v>
      </c>
    </row>
    <row r="19" spans="1:2">
      <c r="A19" s="73">
        <v>45252</v>
      </c>
      <c r="B19" s="77">
        <v>72.87</v>
      </c>
    </row>
    <row r="20" spans="1:2">
      <c r="A20" s="73">
        <v>45253</v>
      </c>
      <c r="B20" s="77">
        <v>73</v>
      </c>
    </row>
    <row r="21" spans="1:2">
      <c r="A21" s="73">
        <v>45254</v>
      </c>
      <c r="B21" s="77">
        <v>73.41</v>
      </c>
    </row>
    <row r="22" spans="1:2">
      <c r="A22" s="73">
        <v>45257</v>
      </c>
      <c r="B22" s="77">
        <v>73.34</v>
      </c>
    </row>
    <row r="23" spans="1:2">
      <c r="A23" s="73">
        <v>45258</v>
      </c>
      <c r="B23" s="77">
        <v>73.63</v>
      </c>
    </row>
    <row r="24" spans="1:2">
      <c r="A24" s="73">
        <v>45259</v>
      </c>
      <c r="B24" s="77">
        <v>73.58</v>
      </c>
    </row>
    <row r="25" spans="1:2">
      <c r="A25" s="73">
        <v>45260</v>
      </c>
      <c r="B25" s="77">
        <v>73.63</v>
      </c>
    </row>
    <row r="26" spans="1:2">
      <c r="A26" s="73">
        <v>45261</v>
      </c>
      <c r="B26" s="77">
        <v>74.040000000000006</v>
      </c>
    </row>
    <row r="27" spans="1:2">
      <c r="A27" s="73">
        <v>45264</v>
      </c>
      <c r="B27" s="77">
        <v>73.849999999999994</v>
      </c>
    </row>
    <row r="28" spans="1:2">
      <c r="A28" s="73">
        <v>45265</v>
      </c>
      <c r="B28" s="77">
        <v>73.64</v>
      </c>
    </row>
    <row r="29" spans="1:2">
      <c r="A29" s="73">
        <v>45266</v>
      </c>
      <c r="B29" s="77">
        <v>73.67</v>
      </c>
    </row>
    <row r="30" spans="1:2">
      <c r="A30" s="73">
        <v>45267</v>
      </c>
      <c r="B30" s="77">
        <v>73.55</v>
      </c>
    </row>
    <row r="31" spans="1:2">
      <c r="A31" s="73">
        <v>45268</v>
      </c>
      <c r="B31" s="77">
        <v>73.59</v>
      </c>
    </row>
    <row r="32" spans="1:2">
      <c r="A32" s="73">
        <v>45271</v>
      </c>
      <c r="B32" s="77">
        <v>73.69</v>
      </c>
    </row>
    <row r="33" spans="1:2">
      <c r="A33" s="73">
        <v>45272</v>
      </c>
      <c r="B33" s="77">
        <v>73.53</v>
      </c>
    </row>
    <row r="34" spans="1:2">
      <c r="A34" s="73">
        <v>45273</v>
      </c>
      <c r="B34" s="77">
        <v>73.739999999999995</v>
      </c>
    </row>
    <row r="35" spans="1:2">
      <c r="A35" s="73">
        <v>45274</v>
      </c>
      <c r="B35" s="77">
        <v>74.52</v>
      </c>
    </row>
    <row r="36" spans="1:2">
      <c r="A36" s="73">
        <v>45275</v>
      </c>
      <c r="B36" s="77">
        <v>74.75</v>
      </c>
    </row>
    <row r="37" spans="1:2">
      <c r="A37" s="73">
        <v>45278</v>
      </c>
      <c r="B37" s="77">
        <v>74.7</v>
      </c>
    </row>
    <row r="38" spans="1:2">
      <c r="A38" s="73">
        <v>45279</v>
      </c>
      <c r="B38" s="77">
        <v>74.94</v>
      </c>
    </row>
    <row r="39" spans="1:2">
      <c r="A39" s="73">
        <v>45280</v>
      </c>
      <c r="B39" s="77">
        <v>75.010000000000005</v>
      </c>
    </row>
    <row r="40" spans="1:2">
      <c r="A40" s="73">
        <v>45281</v>
      </c>
      <c r="B40" s="77">
        <v>75.13</v>
      </c>
    </row>
    <row r="41" spans="1:2">
      <c r="A41" s="73">
        <v>45282</v>
      </c>
      <c r="B41" s="77">
        <v>75.430000000000007</v>
      </c>
    </row>
    <row r="42" spans="1:2">
      <c r="A42" s="73">
        <v>45285</v>
      </c>
      <c r="B42" s="77" t="e">
        <v>#N/A</v>
      </c>
    </row>
    <row r="43" spans="1:2">
      <c r="A43" s="73">
        <v>45286</v>
      </c>
      <c r="B43" s="77" t="e">
        <v>#N/A</v>
      </c>
    </row>
    <row r="44" spans="1:2">
      <c r="A44" s="73">
        <v>45287</v>
      </c>
      <c r="B44" s="77">
        <v>75.73</v>
      </c>
    </row>
    <row r="45" spans="1:2">
      <c r="A45" s="73">
        <v>45288</v>
      </c>
      <c r="B45" s="77">
        <v>75.69</v>
      </c>
    </row>
    <row r="46" spans="1:2">
      <c r="A46" s="73">
        <v>45289</v>
      </c>
      <c r="B46" s="77">
        <v>75.61</v>
      </c>
    </row>
    <row r="47" spans="1:2">
      <c r="A47" s="73">
        <v>45292</v>
      </c>
      <c r="B47" s="77" t="e">
        <v>#N/A</v>
      </c>
    </row>
    <row r="48" spans="1:2">
      <c r="A48" s="73">
        <v>45293</v>
      </c>
      <c r="B48" s="77">
        <v>75.099999999999994</v>
      </c>
    </row>
    <row r="49" spans="1:2">
      <c r="A49" s="73">
        <v>45294</v>
      </c>
      <c r="B49" s="77">
        <v>74.87</v>
      </c>
    </row>
    <row r="50" spans="1:2">
      <c r="A50" s="73">
        <v>45295</v>
      </c>
      <c r="B50" s="77">
        <v>74.88</v>
      </c>
    </row>
    <row r="51" spans="1:2">
      <c r="A51" s="73">
        <v>45296</v>
      </c>
      <c r="B51" s="77">
        <v>74.92</v>
      </c>
    </row>
    <row r="52" spans="1:2">
      <c r="A52" s="73">
        <v>45299</v>
      </c>
      <c r="B52" s="77">
        <v>74.78</v>
      </c>
    </row>
    <row r="53" spans="1:2">
      <c r="A53" s="73">
        <v>45300</v>
      </c>
      <c r="B53" s="77">
        <v>74.680000000000007</v>
      </c>
    </row>
    <row r="54" spans="1:2">
      <c r="A54" s="73">
        <v>45301</v>
      </c>
      <c r="B54" s="77">
        <v>74.73</v>
      </c>
    </row>
    <row r="55" spans="1:2">
      <c r="A55" s="73">
        <v>45302</v>
      </c>
      <c r="B55" s="77">
        <v>74.58</v>
      </c>
    </row>
    <row r="56" spans="1:2">
      <c r="A56" s="73">
        <v>45303</v>
      </c>
      <c r="B56" s="77">
        <v>74.7</v>
      </c>
    </row>
    <row r="57" spans="1:2">
      <c r="A57" s="73">
        <v>45306</v>
      </c>
      <c r="B57" s="77">
        <v>74.430000000000007</v>
      </c>
    </row>
    <row r="58" spans="1:2">
      <c r="A58" s="73">
        <v>45307</v>
      </c>
      <c r="B58" s="77">
        <v>74.17</v>
      </c>
    </row>
    <row r="59" spans="1:2">
      <c r="A59" s="73">
        <v>45308</v>
      </c>
      <c r="B59" s="77">
        <v>73.95</v>
      </c>
    </row>
    <row r="60" spans="1:2">
      <c r="A60" s="73">
        <v>45309</v>
      </c>
      <c r="B60" s="77">
        <v>74.05</v>
      </c>
    </row>
    <row r="61" spans="1:2">
      <c r="A61" s="73">
        <v>45310</v>
      </c>
      <c r="B61" s="77">
        <v>74.28</v>
      </c>
    </row>
    <row r="62" spans="1:2">
      <c r="A62" s="73">
        <v>45313</v>
      </c>
      <c r="B62" s="77">
        <v>74.33</v>
      </c>
    </row>
    <row r="63" spans="1:2">
      <c r="A63" s="73">
        <v>45314</v>
      </c>
      <c r="B63" s="77">
        <v>74.19</v>
      </c>
    </row>
    <row r="64" spans="1:2">
      <c r="A64" s="73">
        <v>45315</v>
      </c>
      <c r="B64" s="77">
        <v>74.16</v>
      </c>
    </row>
    <row r="65" spans="1:2">
      <c r="A65" s="73">
        <v>45316</v>
      </c>
      <c r="B65" s="77">
        <v>74.099999999999994</v>
      </c>
    </row>
    <row r="66" spans="1:2">
      <c r="A66" s="73">
        <v>45317</v>
      </c>
      <c r="B66" s="77">
        <v>74.349999999999994</v>
      </c>
    </row>
    <row r="67" spans="1:2">
      <c r="A67" s="73">
        <v>45320</v>
      </c>
      <c r="B67" s="77">
        <v>74.39</v>
      </c>
    </row>
    <row r="68" spans="1:2">
      <c r="A68" s="73">
        <v>45321</v>
      </c>
      <c r="B68" s="77">
        <v>74.53</v>
      </c>
    </row>
    <row r="69" spans="1:2">
      <c r="A69" s="73">
        <v>45322</v>
      </c>
      <c r="B69" s="77">
        <v>74.64</v>
      </c>
    </row>
    <row r="70" spans="1:2">
      <c r="A70" s="73">
        <v>45323</v>
      </c>
      <c r="B70" s="77">
        <v>74.599999999999994</v>
      </c>
    </row>
    <row r="71" spans="1:2">
      <c r="A71" s="73">
        <v>45324</v>
      </c>
      <c r="B71" s="77">
        <v>74.33</v>
      </c>
    </row>
    <row r="72" spans="1:2">
      <c r="A72" s="73">
        <v>45327</v>
      </c>
      <c r="B72" s="77">
        <v>73.930000000000007</v>
      </c>
    </row>
    <row r="73" spans="1:2">
      <c r="A73" s="73">
        <v>45328</v>
      </c>
      <c r="B73" s="77">
        <v>74.040000000000006</v>
      </c>
    </row>
    <row r="74" spans="1:2">
      <c r="A74" s="73">
        <v>45329</v>
      </c>
      <c r="B74" s="77">
        <v>74.239999999999995</v>
      </c>
    </row>
    <row r="75" spans="1:2">
      <c r="A75" s="73">
        <v>45330</v>
      </c>
      <c r="B75" s="77">
        <v>74.260000000000005</v>
      </c>
    </row>
    <row r="76" spans="1:2">
      <c r="A76" s="73">
        <v>45331</v>
      </c>
      <c r="B76" s="77">
        <v>74.31</v>
      </c>
    </row>
    <row r="77" spans="1:2">
      <c r="A77" s="73">
        <v>45334</v>
      </c>
      <c r="B77" s="77">
        <v>74.349999999999994</v>
      </c>
    </row>
    <row r="78" spans="1:2">
      <c r="A78" s="73">
        <v>45335</v>
      </c>
      <c r="B78" s="77">
        <v>73.77</v>
      </c>
    </row>
    <row r="79" spans="1:2">
      <c r="A79" s="73">
        <v>45336</v>
      </c>
      <c r="B79" s="77">
        <v>73.8</v>
      </c>
    </row>
    <row r="80" spans="1:2">
      <c r="A80" s="73">
        <v>45337</v>
      </c>
      <c r="B80" s="77">
        <v>74.11</v>
      </c>
    </row>
    <row r="81" spans="1:2">
      <c r="A81" s="73">
        <v>45338</v>
      </c>
      <c r="B81" s="77">
        <v>74.16</v>
      </c>
    </row>
    <row r="82" spans="1:2">
      <c r="A82" s="73">
        <v>45341</v>
      </c>
      <c r="B82" s="77" t="e">
        <v>#N/A</v>
      </c>
    </row>
    <row r="83" spans="1:2">
      <c r="A83" s="73">
        <v>45342</v>
      </c>
      <c r="B83" s="77">
        <v>73.98</v>
      </c>
    </row>
    <row r="84" spans="1:2">
      <c r="A84" s="73">
        <v>45343</v>
      </c>
      <c r="B84" s="77">
        <v>74.010000000000005</v>
      </c>
    </row>
    <row r="85" spans="1:2">
      <c r="A85" s="73">
        <v>45344</v>
      </c>
      <c r="B85" s="77">
        <v>74.11</v>
      </c>
    </row>
    <row r="86" spans="1:2">
      <c r="A86" s="73">
        <v>45345</v>
      </c>
      <c r="B86" s="77">
        <v>74.11</v>
      </c>
    </row>
    <row r="87" spans="1:2">
      <c r="A87" s="73">
        <v>45348</v>
      </c>
      <c r="B87" s="77">
        <v>73.989999999999995</v>
      </c>
    </row>
    <row r="88" spans="1:2">
      <c r="A88" s="73">
        <v>45349</v>
      </c>
      <c r="B88" s="77">
        <v>73.959999999999994</v>
      </c>
    </row>
    <row r="89" spans="1:2">
      <c r="A89" s="73">
        <v>45350</v>
      </c>
      <c r="B89" s="77">
        <v>73.67</v>
      </c>
    </row>
    <row r="90" spans="1:2">
      <c r="A90" s="73">
        <v>45351</v>
      </c>
      <c r="B90" s="77">
        <v>73.69</v>
      </c>
    </row>
    <row r="91" spans="1:2">
      <c r="A91" s="73">
        <v>45352</v>
      </c>
      <c r="B91" s="77">
        <v>73.72</v>
      </c>
    </row>
    <row r="92" spans="1:2">
      <c r="A92" s="73">
        <v>45355</v>
      </c>
      <c r="B92" s="77">
        <v>73.680000000000007</v>
      </c>
    </row>
    <row r="93" spans="1:2">
      <c r="A93" s="73">
        <v>45356</v>
      </c>
      <c r="B93" s="77">
        <v>73.63</v>
      </c>
    </row>
    <row r="94" spans="1:2">
      <c r="A94" s="73">
        <v>45357</v>
      </c>
      <c r="B94" s="77">
        <v>73.92</v>
      </c>
    </row>
    <row r="95" spans="1:2">
      <c r="A95" s="73">
        <v>45358</v>
      </c>
      <c r="B95" s="77">
        <v>74.22</v>
      </c>
    </row>
    <row r="96" spans="1:2">
      <c r="A96" s="73">
        <v>45359</v>
      </c>
      <c r="B96" s="77">
        <v>74.23</v>
      </c>
    </row>
    <row r="97" spans="1:2">
      <c r="A97" s="73">
        <v>45362</v>
      </c>
      <c r="B97" s="77">
        <v>74.12</v>
      </c>
    </row>
    <row r="98" spans="1:2">
      <c r="A98" s="73">
        <v>45363</v>
      </c>
      <c r="B98" s="77">
        <v>74.08</v>
      </c>
    </row>
    <row r="99" spans="1:2">
      <c r="A99" s="73">
        <v>45364</v>
      </c>
      <c r="B99" s="77">
        <v>74.23</v>
      </c>
    </row>
    <row r="100" spans="1:2">
      <c r="A100" s="73">
        <v>45365</v>
      </c>
      <c r="B100" s="77">
        <v>74.010000000000005</v>
      </c>
    </row>
    <row r="101" spans="1:2">
      <c r="A101" s="73">
        <v>45366</v>
      </c>
      <c r="B101" s="77">
        <v>73.89</v>
      </c>
    </row>
    <row r="102" spans="1:2">
      <c r="A102" s="73">
        <v>45369</v>
      </c>
      <c r="B102" s="77">
        <v>73.849999999999994</v>
      </c>
    </row>
    <row r="103" spans="1:2">
      <c r="A103" s="73">
        <v>45370</v>
      </c>
      <c r="B103" s="77">
        <v>73.63</v>
      </c>
    </row>
    <row r="104" spans="1:2">
      <c r="A104" s="73">
        <v>45371</v>
      </c>
      <c r="B104" s="77">
        <v>73.75</v>
      </c>
    </row>
    <row r="105" spans="1:2">
      <c r="A105" s="73">
        <v>45372</v>
      </c>
      <c r="B105" s="77">
        <v>73.94</v>
      </c>
    </row>
    <row r="106" spans="1:2">
      <c r="A106" s="73">
        <v>45373</v>
      </c>
      <c r="B106" s="77">
        <v>73.569999999999993</v>
      </c>
    </row>
    <row r="107" spans="1:2">
      <c r="A107" s="73">
        <v>45376</v>
      </c>
      <c r="B107" s="77">
        <v>73.62</v>
      </c>
    </row>
    <row r="108" spans="1:2">
      <c r="A108" s="73">
        <v>45377</v>
      </c>
      <c r="B108" s="77">
        <v>73.680000000000007</v>
      </c>
    </row>
    <row r="109" spans="1:2">
      <c r="A109" s="73">
        <v>45378</v>
      </c>
      <c r="B109" s="77">
        <v>73.599999999999994</v>
      </c>
    </row>
    <row r="110" spans="1:2">
      <c r="A110" s="73">
        <v>45379</v>
      </c>
      <c r="B110" s="77">
        <v>73.8</v>
      </c>
    </row>
    <row r="111" spans="1:2">
      <c r="A111" s="73">
        <v>45380</v>
      </c>
      <c r="B111" s="77" t="e">
        <v>#N/A</v>
      </c>
    </row>
    <row r="112" spans="1:2">
      <c r="A112" s="73">
        <v>45383</v>
      </c>
      <c r="B112" s="77">
        <v>73.67</v>
      </c>
    </row>
    <row r="113" spans="1:2">
      <c r="A113" s="73">
        <v>45384</v>
      </c>
      <c r="B113" s="77">
        <v>73.680000000000007</v>
      </c>
    </row>
    <row r="114" spans="1:2">
      <c r="A114" s="73">
        <v>45385</v>
      </c>
      <c r="B114" s="77">
        <v>73.87</v>
      </c>
    </row>
    <row r="115" spans="1:2">
      <c r="A115" s="73">
        <v>45386</v>
      </c>
      <c r="B115" s="77">
        <v>74.05</v>
      </c>
    </row>
    <row r="116" spans="1:2">
      <c r="A116" s="73">
        <v>45387</v>
      </c>
      <c r="B116" s="77">
        <v>73.540000000000006</v>
      </c>
    </row>
    <row r="117" spans="1:2">
      <c r="A117" s="73">
        <v>45390</v>
      </c>
      <c r="B117" s="77">
        <v>73.63</v>
      </c>
    </row>
    <row r="118" spans="1:2">
      <c r="A118" s="73">
        <v>45391</v>
      </c>
      <c r="B118" s="77">
        <v>73.650000000000006</v>
      </c>
    </row>
    <row r="119" spans="1:2">
      <c r="A119" s="73">
        <v>45392</v>
      </c>
      <c r="B119" s="77">
        <v>73.150000000000006</v>
      </c>
    </row>
    <row r="120" spans="1:2">
      <c r="A120" s="73">
        <v>45393</v>
      </c>
      <c r="B120" s="77">
        <v>73.040000000000006</v>
      </c>
    </row>
    <row r="121" spans="1:2">
      <c r="A121" s="73">
        <v>45394</v>
      </c>
      <c r="B121" s="77">
        <v>72.64</v>
      </c>
    </row>
    <row r="122" spans="1:2">
      <c r="A122" s="73">
        <v>45397</v>
      </c>
      <c r="B122" s="77">
        <v>72.650000000000006</v>
      </c>
    </row>
    <row r="123" spans="1:2">
      <c r="A123" s="73">
        <v>45398</v>
      </c>
      <c r="B123" s="77">
        <v>72.349999999999994</v>
      </c>
    </row>
    <row r="124" spans="1:2">
      <c r="A124" s="73">
        <v>45399</v>
      </c>
      <c r="B124" s="77">
        <v>72.5</v>
      </c>
    </row>
    <row r="125" spans="1:2">
      <c r="A125" s="73">
        <v>45400</v>
      </c>
      <c r="B125" s="77">
        <v>72.650000000000006</v>
      </c>
    </row>
    <row r="126" spans="1:2">
      <c r="A126" s="73">
        <v>45401</v>
      </c>
      <c r="B126" s="77">
        <v>72.739999999999995</v>
      </c>
    </row>
    <row r="127" spans="1:2">
      <c r="A127" s="73">
        <v>45404</v>
      </c>
      <c r="B127" s="77">
        <v>72.91</v>
      </c>
    </row>
    <row r="128" spans="1:2">
      <c r="A128" s="73">
        <v>45405</v>
      </c>
      <c r="B128" s="77">
        <v>73.14</v>
      </c>
    </row>
    <row r="129" spans="1:2">
      <c r="A129" s="73">
        <v>45406</v>
      </c>
      <c r="B129" s="77">
        <v>72.94</v>
      </c>
    </row>
    <row r="130" spans="1:2">
      <c r="A130" s="73">
        <v>45407</v>
      </c>
      <c r="B130" s="77">
        <v>73.05</v>
      </c>
    </row>
    <row r="131" spans="1:2">
      <c r="A131" s="73">
        <v>45408</v>
      </c>
      <c r="B131" s="77">
        <v>73.16</v>
      </c>
    </row>
    <row r="132" spans="1:2">
      <c r="A132" s="73">
        <v>45411</v>
      </c>
      <c r="B132" s="77">
        <v>73.22</v>
      </c>
    </row>
    <row r="133" spans="1:2">
      <c r="A133" s="73">
        <v>45412</v>
      </c>
      <c r="B133" s="77">
        <v>72.75</v>
      </c>
    </row>
    <row r="134" spans="1:2">
      <c r="A134" s="73">
        <v>45413</v>
      </c>
      <c r="B134" s="77">
        <v>72.680000000000007</v>
      </c>
    </row>
    <row r="135" spans="1:2">
      <c r="A135" s="73">
        <v>45414</v>
      </c>
      <c r="B135" s="77">
        <v>73</v>
      </c>
    </row>
    <row r="136" spans="1:2">
      <c r="A136" s="73">
        <v>45415</v>
      </c>
      <c r="B136" s="77">
        <v>73.14</v>
      </c>
    </row>
    <row r="137" spans="1:2">
      <c r="A137" s="73">
        <v>45418</v>
      </c>
      <c r="B137" s="77">
        <v>73.2</v>
      </c>
    </row>
    <row r="138" spans="1:2">
      <c r="A138" s="73">
        <v>45419</v>
      </c>
      <c r="B138" s="77">
        <v>72.97</v>
      </c>
    </row>
    <row r="139" spans="1:2">
      <c r="A139" s="73">
        <v>45420</v>
      </c>
      <c r="B139" s="77">
        <v>72.81</v>
      </c>
    </row>
    <row r="140" spans="1:2">
      <c r="A140" s="73">
        <v>45421</v>
      </c>
      <c r="B140" s="77">
        <v>73.040000000000006</v>
      </c>
    </row>
    <row r="141" spans="1:2">
      <c r="A141" s="73">
        <v>45422</v>
      </c>
      <c r="B141" s="77">
        <v>73.180000000000007</v>
      </c>
    </row>
    <row r="142" spans="1:2">
      <c r="A142" s="73">
        <v>45425</v>
      </c>
      <c r="B142" s="77">
        <v>73.14</v>
      </c>
    </row>
    <row r="143" spans="1:2">
      <c r="A143" s="73">
        <v>45426</v>
      </c>
      <c r="B143" s="77">
        <v>73.239999999999995</v>
      </c>
    </row>
    <row r="144" spans="1:2">
      <c r="A144" s="73">
        <v>45427</v>
      </c>
      <c r="B144" s="77">
        <v>73.45</v>
      </c>
    </row>
    <row r="145" spans="1:2">
      <c r="A145" s="73">
        <v>45428</v>
      </c>
      <c r="B145" s="77">
        <v>73.42</v>
      </c>
    </row>
    <row r="146" spans="1:2">
      <c r="A146" s="73">
        <v>45429</v>
      </c>
      <c r="B146" s="77">
        <v>73.45</v>
      </c>
    </row>
    <row r="147" spans="1:2">
      <c r="A147" s="73">
        <v>45432</v>
      </c>
      <c r="B147" s="77" t="e">
        <v>#N/A</v>
      </c>
    </row>
    <row r="148" spans="1:2">
      <c r="A148" s="73">
        <v>45433</v>
      </c>
      <c r="B148" s="77">
        <v>73.27</v>
      </c>
    </row>
    <row r="149" spans="1:2">
      <c r="A149" s="73">
        <v>45434</v>
      </c>
      <c r="B149" s="77">
        <v>73.13</v>
      </c>
    </row>
    <row r="150" spans="1:2">
      <c r="A150" s="73">
        <v>45435</v>
      </c>
      <c r="B150" s="77">
        <v>72.98</v>
      </c>
    </row>
    <row r="151" spans="1:2">
      <c r="A151" s="73">
        <v>45436</v>
      </c>
      <c r="B151" s="77">
        <v>73.14</v>
      </c>
    </row>
    <row r="152" spans="1:2">
      <c r="A152" s="73">
        <v>45439</v>
      </c>
      <c r="B152" s="77">
        <v>73.34</v>
      </c>
    </row>
    <row r="153" spans="1:2">
      <c r="A153" s="73">
        <v>45440</v>
      </c>
      <c r="B153" s="77">
        <v>73.319999999999993</v>
      </c>
    </row>
    <row r="154" spans="1:2">
      <c r="A154" s="73">
        <v>45441</v>
      </c>
      <c r="B154" s="77">
        <v>72.989999999999995</v>
      </c>
    </row>
    <row r="155" spans="1:2">
      <c r="A155" s="73">
        <v>45442</v>
      </c>
      <c r="B155" s="77">
        <v>73.11</v>
      </c>
    </row>
    <row r="156" spans="1:2">
      <c r="A156" s="73">
        <v>45443</v>
      </c>
      <c r="B156" s="77">
        <v>73.33</v>
      </c>
    </row>
    <row r="157" spans="1:2">
      <c r="A157" s="73">
        <v>45446</v>
      </c>
      <c r="B157" s="77">
        <v>73.34</v>
      </c>
    </row>
    <row r="158" spans="1:2">
      <c r="A158" s="73">
        <v>45447</v>
      </c>
      <c r="B158" s="77">
        <v>73.09</v>
      </c>
    </row>
    <row r="159" spans="1:2">
      <c r="A159" s="73">
        <v>45448</v>
      </c>
      <c r="B159" s="77">
        <v>73.010000000000005</v>
      </c>
    </row>
    <row r="160" spans="1:2">
      <c r="A160" s="73">
        <v>45449</v>
      </c>
      <c r="B160" s="77">
        <v>73.069999999999993</v>
      </c>
    </row>
    <row r="161" spans="1:2">
      <c r="A161" s="73">
        <v>45450</v>
      </c>
      <c r="B161" s="77">
        <v>72.78</v>
      </c>
    </row>
    <row r="162" spans="1:2">
      <c r="A162" s="73">
        <v>45453</v>
      </c>
      <c r="B162" s="77">
        <v>72.650000000000006</v>
      </c>
    </row>
    <row r="163" spans="1:2">
      <c r="A163" s="73">
        <v>45454</v>
      </c>
      <c r="B163" s="77">
        <v>72.64</v>
      </c>
    </row>
    <row r="164" spans="1:2">
      <c r="A164" s="73">
        <v>45455</v>
      </c>
      <c r="B164" s="77">
        <v>72.989999999999995</v>
      </c>
    </row>
    <row r="165" spans="1:2">
      <c r="A165" s="73">
        <v>45456</v>
      </c>
      <c r="B165" s="77">
        <v>72.75</v>
      </c>
    </row>
    <row r="166" spans="1:2">
      <c r="A166" s="73">
        <v>45457</v>
      </c>
      <c r="B166" s="77">
        <v>72.72</v>
      </c>
    </row>
    <row r="167" spans="1:2">
      <c r="A167" s="73">
        <v>45460</v>
      </c>
      <c r="B167" s="77">
        <v>72.760000000000005</v>
      </c>
    </row>
    <row r="168" spans="1:2">
      <c r="A168" s="73">
        <v>45461</v>
      </c>
      <c r="B168" s="77">
        <v>72.87</v>
      </c>
    </row>
    <row r="169" spans="1:2">
      <c r="A169" s="73">
        <v>45462</v>
      </c>
      <c r="B169" s="77">
        <v>72.94</v>
      </c>
    </row>
    <row r="170" spans="1:2">
      <c r="A170" s="73">
        <v>45463</v>
      </c>
      <c r="B170" s="77">
        <v>73</v>
      </c>
    </row>
    <row r="171" spans="1:2">
      <c r="A171" s="73">
        <v>45464</v>
      </c>
      <c r="B171" s="77">
        <v>72.98</v>
      </c>
    </row>
    <row r="172" spans="1:2">
      <c r="A172" s="73">
        <v>45467</v>
      </c>
      <c r="B172" s="77">
        <v>73.19</v>
      </c>
    </row>
    <row r="173" spans="1:2">
      <c r="A173" s="73">
        <v>45468</v>
      </c>
      <c r="B173" s="77">
        <v>73.209999999999994</v>
      </c>
    </row>
    <row r="174" spans="1:2">
      <c r="A174" s="73">
        <v>45469</v>
      </c>
      <c r="B174" s="77">
        <v>73.010000000000005</v>
      </c>
    </row>
    <row r="175" spans="1:2">
      <c r="A175" s="73">
        <v>45470</v>
      </c>
      <c r="B175" s="77">
        <v>73.05</v>
      </c>
    </row>
    <row r="176" spans="1:2">
      <c r="A176" s="73">
        <v>45471</v>
      </c>
      <c r="B176" s="77">
        <v>73.06</v>
      </c>
    </row>
    <row r="177" spans="1:2">
      <c r="A177" s="73">
        <v>45474</v>
      </c>
      <c r="B177" s="77" t="e">
        <v>#N/A</v>
      </c>
    </row>
    <row r="178" spans="1:2">
      <c r="A178" s="73">
        <v>45475</v>
      </c>
      <c r="B178" s="77">
        <v>73.010000000000005</v>
      </c>
    </row>
    <row r="179" spans="1:2">
      <c r="A179" s="73">
        <v>45476</v>
      </c>
      <c r="B179" s="77">
        <v>73.33</v>
      </c>
    </row>
    <row r="180" spans="1:2">
      <c r="A180" s="73">
        <v>45477</v>
      </c>
      <c r="B180" s="77">
        <v>73.459999999999994</v>
      </c>
    </row>
    <row r="181" spans="1:2">
      <c r="A181" s="73">
        <v>45478</v>
      </c>
      <c r="B181" s="77">
        <v>73.349999999999994</v>
      </c>
    </row>
    <row r="182" spans="1:2">
      <c r="A182" s="73">
        <v>45481</v>
      </c>
      <c r="B182" s="77">
        <v>73.349999999999994</v>
      </c>
    </row>
    <row r="183" spans="1:2">
      <c r="A183" s="73">
        <v>45482</v>
      </c>
      <c r="B183" s="77">
        <v>73.319999999999993</v>
      </c>
    </row>
    <row r="184" spans="1:2">
      <c r="A184" s="73">
        <v>45483</v>
      </c>
      <c r="B184" s="77">
        <v>73.42</v>
      </c>
    </row>
    <row r="185" spans="1:2">
      <c r="A185" s="73">
        <v>45484</v>
      </c>
      <c r="B185" s="77">
        <v>73.400000000000006</v>
      </c>
    </row>
    <row r="186" spans="1:2">
      <c r="A186" s="73">
        <v>45485</v>
      </c>
      <c r="B186" s="77">
        <v>73.38</v>
      </c>
    </row>
    <row r="187" spans="1:2">
      <c r="A187" s="73">
        <v>45488</v>
      </c>
      <c r="B187" s="77">
        <v>73.19</v>
      </c>
    </row>
    <row r="188" spans="1:2">
      <c r="A188" s="73">
        <v>45489</v>
      </c>
      <c r="B188" s="77">
        <v>73.069999999999993</v>
      </c>
    </row>
    <row r="189" spans="1:2">
      <c r="A189" s="73">
        <v>45490</v>
      </c>
      <c r="B189" s="77">
        <v>73.069999999999993</v>
      </c>
    </row>
    <row r="190" spans="1:2">
      <c r="A190" s="73">
        <v>45491</v>
      </c>
      <c r="B190" s="77">
        <v>73.010000000000005</v>
      </c>
    </row>
    <row r="191" spans="1:2">
      <c r="A191" s="73">
        <v>45492</v>
      </c>
      <c r="B191" s="77">
        <v>72.849999999999994</v>
      </c>
    </row>
    <row r="192" spans="1:2">
      <c r="A192" s="73">
        <v>45495</v>
      </c>
      <c r="B192" s="77">
        <v>72.7</v>
      </c>
    </row>
    <row r="193" spans="1:2">
      <c r="A193" s="73">
        <v>45496</v>
      </c>
      <c r="B193" s="77">
        <v>72.63</v>
      </c>
    </row>
    <row r="194" spans="1:2">
      <c r="A194" s="73">
        <v>45497</v>
      </c>
      <c r="B194" s="77">
        <v>72.5</v>
      </c>
    </row>
    <row r="195" spans="1:2">
      <c r="A195" s="73">
        <v>45498</v>
      </c>
      <c r="B195" s="77">
        <v>72.36</v>
      </c>
    </row>
    <row r="196" spans="1:2">
      <c r="A196" s="73">
        <v>45499</v>
      </c>
      <c r="B196" s="77">
        <v>72.31</v>
      </c>
    </row>
    <row r="197" spans="1:2">
      <c r="A197" s="73">
        <v>45502</v>
      </c>
      <c r="B197" s="77">
        <v>72.19</v>
      </c>
    </row>
    <row r="198" spans="1:2">
      <c r="A198" s="73">
        <v>45503</v>
      </c>
      <c r="B198" s="77">
        <v>72.2</v>
      </c>
    </row>
    <row r="199" spans="1:2">
      <c r="A199" s="73">
        <v>45504</v>
      </c>
      <c r="B199" s="77">
        <v>72.42</v>
      </c>
    </row>
    <row r="200" spans="1:2">
      <c r="A200" s="73">
        <v>45505</v>
      </c>
      <c r="B200" s="77">
        <v>72.22</v>
      </c>
    </row>
    <row r="201" spans="1:2">
      <c r="A201" s="73">
        <v>45506</v>
      </c>
      <c r="B201" s="77">
        <v>72.16</v>
      </c>
    </row>
    <row r="202" spans="1:2">
      <c r="A202" s="73">
        <v>45509</v>
      </c>
      <c r="B202" s="77" t="e">
        <v>#N/A</v>
      </c>
    </row>
    <row r="203" spans="1:2">
      <c r="A203" s="73">
        <v>45510</v>
      </c>
      <c r="B203" s="77">
        <v>72.5</v>
      </c>
    </row>
    <row r="204" spans="1:2">
      <c r="A204" s="73">
        <v>45511</v>
      </c>
      <c r="B204" s="77">
        <v>72.790000000000006</v>
      </c>
    </row>
    <row r="205" spans="1:2">
      <c r="A205" s="73">
        <v>45512</v>
      </c>
      <c r="B205" s="77">
        <v>72.760000000000005</v>
      </c>
    </row>
    <row r="206" spans="1:2">
      <c r="A206" s="73">
        <v>45513</v>
      </c>
      <c r="B206" s="77">
        <v>72.819999999999993</v>
      </c>
    </row>
    <row r="207" spans="1:2">
      <c r="A207" s="73">
        <v>45516</v>
      </c>
      <c r="B207" s="77">
        <v>72.790000000000006</v>
      </c>
    </row>
    <row r="208" spans="1:2">
      <c r="A208" s="73">
        <v>45517</v>
      </c>
      <c r="B208" s="77">
        <v>72.87</v>
      </c>
    </row>
    <row r="209" spans="1:2">
      <c r="A209" s="73">
        <v>45518</v>
      </c>
      <c r="B209" s="77">
        <v>72.930000000000007</v>
      </c>
    </row>
    <row r="210" spans="1:2">
      <c r="A210" s="73">
        <v>45519</v>
      </c>
      <c r="B210" s="77">
        <v>72.91</v>
      </c>
    </row>
    <row r="211" spans="1:2">
      <c r="A211" s="73">
        <v>45520</v>
      </c>
      <c r="B211" s="77">
        <v>72.959999999999994</v>
      </c>
    </row>
    <row r="212" spans="1:2">
      <c r="A212" s="73">
        <v>45523</v>
      </c>
      <c r="B212" s="77">
        <v>73.25</v>
      </c>
    </row>
    <row r="213" spans="1:2">
      <c r="A213" s="73">
        <v>45524</v>
      </c>
      <c r="B213" s="77">
        <v>73.38</v>
      </c>
    </row>
    <row r="214" spans="1:2">
      <c r="A214" s="73">
        <v>45525</v>
      </c>
      <c r="B214" s="77">
        <v>73.569999999999993</v>
      </c>
    </row>
    <row r="215" spans="1:2">
      <c r="A215" s="73">
        <v>45526</v>
      </c>
      <c r="B215" s="77">
        <v>73.52</v>
      </c>
    </row>
    <row r="216" spans="1:2">
      <c r="A216" s="73">
        <v>45527</v>
      </c>
      <c r="B216" s="77">
        <v>73.92</v>
      </c>
    </row>
    <row r="217" spans="1:2">
      <c r="A217" s="73">
        <v>45530</v>
      </c>
      <c r="B217" s="77">
        <v>74.180000000000007</v>
      </c>
    </row>
    <row r="218" spans="1:2">
      <c r="A218" s="73">
        <v>45531</v>
      </c>
      <c r="B218" s="77">
        <v>74.290000000000006</v>
      </c>
    </row>
    <row r="219" spans="1:2">
      <c r="A219" s="73">
        <v>45532</v>
      </c>
      <c r="B219" s="77">
        <v>74.23</v>
      </c>
    </row>
    <row r="220" spans="1:2">
      <c r="A220" s="73">
        <v>45533</v>
      </c>
      <c r="B220" s="77">
        <v>74.22</v>
      </c>
    </row>
    <row r="221" spans="1:2">
      <c r="A221" s="73">
        <v>45534</v>
      </c>
      <c r="B221" s="77">
        <v>74.12</v>
      </c>
    </row>
    <row r="222" spans="1:2">
      <c r="A222" s="73">
        <v>45537</v>
      </c>
      <c r="B222" s="77" t="e">
        <v>#N/A</v>
      </c>
    </row>
    <row r="223" spans="1:2">
      <c r="A223" s="73">
        <v>45538</v>
      </c>
      <c r="B223" s="77">
        <v>73.81</v>
      </c>
    </row>
    <row r="224" spans="1:2">
      <c r="A224" s="73">
        <v>45539</v>
      </c>
      <c r="B224" s="77">
        <v>73.94</v>
      </c>
    </row>
    <row r="225" spans="1:2">
      <c r="A225" s="73">
        <v>45540</v>
      </c>
      <c r="B225" s="77">
        <v>74</v>
      </c>
    </row>
    <row r="226" spans="1:2">
      <c r="A226" s="73">
        <v>45541</v>
      </c>
      <c r="B226" s="77">
        <v>73.83</v>
      </c>
    </row>
    <row r="227" spans="1:2">
      <c r="A227" s="73">
        <v>45544</v>
      </c>
      <c r="B227" s="77">
        <v>73.739999999999995</v>
      </c>
    </row>
    <row r="228" spans="1:2">
      <c r="A228" s="73">
        <v>45545</v>
      </c>
      <c r="B228" s="77">
        <v>73.53</v>
      </c>
    </row>
    <row r="229" spans="1:2">
      <c r="A229" s="73">
        <v>45546</v>
      </c>
      <c r="B229" s="77">
        <v>73.59</v>
      </c>
    </row>
    <row r="230" spans="1:2">
      <c r="A230" s="73">
        <v>45547</v>
      </c>
      <c r="B230" s="77">
        <v>73.58</v>
      </c>
    </row>
    <row r="231" spans="1:2">
      <c r="A231" s="73">
        <v>45548</v>
      </c>
      <c r="B231" s="77">
        <v>73.61</v>
      </c>
    </row>
    <row r="232" spans="1:2">
      <c r="A232" s="73">
        <v>45551</v>
      </c>
      <c r="B232" s="77">
        <v>73.569999999999993</v>
      </c>
    </row>
    <row r="233" spans="1:2">
      <c r="A233" s="73">
        <v>45552</v>
      </c>
      <c r="B233" s="77">
        <v>73.55</v>
      </c>
    </row>
    <row r="234" spans="1:2">
      <c r="A234" s="73">
        <v>45553</v>
      </c>
      <c r="B234" s="77">
        <v>73.58</v>
      </c>
    </row>
    <row r="235" spans="1:2">
      <c r="A235" s="73">
        <v>45554</v>
      </c>
      <c r="B235" s="77">
        <v>73.73</v>
      </c>
    </row>
    <row r="236" spans="1:2">
      <c r="A236" s="73">
        <v>45555</v>
      </c>
      <c r="B236" s="77">
        <v>73.72</v>
      </c>
    </row>
    <row r="237" spans="1:2">
      <c r="A237" s="73">
        <v>45558</v>
      </c>
      <c r="B237" s="77">
        <v>74.02</v>
      </c>
    </row>
    <row r="238" spans="1:2">
      <c r="A238" s="73">
        <v>45559</v>
      </c>
      <c r="B238" s="77">
        <v>74.25</v>
      </c>
    </row>
    <row r="239" spans="1:2">
      <c r="A239" s="73">
        <v>45560</v>
      </c>
      <c r="B239" s="77">
        <v>74.28</v>
      </c>
    </row>
    <row r="240" spans="1:2">
      <c r="A240" s="73">
        <v>45561</v>
      </c>
      <c r="B240" s="77">
        <v>74.22</v>
      </c>
    </row>
    <row r="241" spans="1:2">
      <c r="A241" s="73">
        <v>45562</v>
      </c>
      <c r="B241" s="77">
        <v>74.08</v>
      </c>
    </row>
    <row r="242" spans="1:2">
      <c r="A242" s="73">
        <v>45565</v>
      </c>
      <c r="B242" s="77" t="e">
        <v>#N/A</v>
      </c>
    </row>
    <row r="243" spans="1:2">
      <c r="A243" s="73">
        <v>45566</v>
      </c>
      <c r="B243" s="77">
        <v>74.05</v>
      </c>
    </row>
    <row r="244" spans="1:2">
      <c r="A244" s="73">
        <v>45567</v>
      </c>
      <c r="B244" s="77">
        <v>74.12</v>
      </c>
    </row>
    <row r="245" spans="1:2">
      <c r="A245" s="73">
        <v>45568</v>
      </c>
      <c r="B245" s="77">
        <v>73.86</v>
      </c>
    </row>
    <row r="246" spans="1:2">
      <c r="A246" s="73">
        <v>45569</v>
      </c>
      <c r="B246" s="77">
        <v>73.650000000000006</v>
      </c>
    </row>
    <row r="247" spans="1:2">
      <c r="A247" s="73">
        <v>45572</v>
      </c>
      <c r="B247" s="77">
        <v>73.48</v>
      </c>
    </row>
    <row r="248" spans="1:2">
      <c r="A248" s="73">
        <v>45573</v>
      </c>
      <c r="B248" s="77">
        <v>73.22</v>
      </c>
    </row>
    <row r="249" spans="1:2">
      <c r="A249" s="73">
        <v>45574</v>
      </c>
      <c r="B249" s="77">
        <v>73.05</v>
      </c>
    </row>
    <row r="250" spans="1:2">
      <c r="A250" s="73">
        <v>45575</v>
      </c>
      <c r="B250" s="77">
        <v>72.709999999999994</v>
      </c>
    </row>
    <row r="251" spans="1:2">
      <c r="A251" s="73">
        <v>45576</v>
      </c>
      <c r="B251" s="77">
        <v>72.67</v>
      </c>
    </row>
    <row r="252" spans="1:2">
      <c r="A252" s="73">
        <v>45579</v>
      </c>
      <c r="B252" s="77" t="e">
        <v>#N/A</v>
      </c>
    </row>
    <row r="253" spans="1:2">
      <c r="A253" s="73">
        <v>45580</v>
      </c>
      <c r="B253" s="77">
        <v>72.44</v>
      </c>
    </row>
    <row r="254" spans="1:2">
      <c r="A254" s="73">
        <v>45581</v>
      </c>
      <c r="B254" s="77">
        <v>72.62</v>
      </c>
    </row>
    <row r="255" spans="1:2">
      <c r="A255" s="73">
        <v>45582</v>
      </c>
      <c r="B255" s="77">
        <v>72.52</v>
      </c>
    </row>
    <row r="256" spans="1:2">
      <c r="A256" s="73">
        <v>45583</v>
      </c>
      <c r="B256" s="77">
        <v>72.45</v>
      </c>
    </row>
    <row r="257" spans="1:2">
      <c r="A257" s="73">
        <v>45586</v>
      </c>
      <c r="B257" s="77">
        <v>72.28</v>
      </c>
    </row>
    <row r="258" spans="1:2">
      <c r="A258" s="73">
        <v>45587</v>
      </c>
      <c r="B258" s="77">
        <v>72.33</v>
      </c>
    </row>
    <row r="259" spans="1:2">
      <c r="A259" s="73">
        <v>45588</v>
      </c>
      <c r="B259" s="77">
        <v>72.239999999999995</v>
      </c>
    </row>
    <row r="260" spans="1:2">
      <c r="A260" s="73">
        <v>45589</v>
      </c>
      <c r="B260" s="77">
        <v>72.23</v>
      </c>
    </row>
    <row r="261" spans="1:2">
      <c r="A261" s="73">
        <v>45590</v>
      </c>
      <c r="B261" s="77">
        <v>72.09</v>
      </c>
    </row>
    <row r="262" spans="1:2">
      <c r="A262" s="73">
        <v>45593</v>
      </c>
      <c r="B262" s="77">
        <v>71.97</v>
      </c>
    </row>
    <row r="263" spans="1:2">
      <c r="A263" s="73">
        <v>45594</v>
      </c>
      <c r="B263" s="77">
        <v>71.89</v>
      </c>
    </row>
    <row r="264" spans="1:2">
      <c r="A264" s="73">
        <v>45595</v>
      </c>
      <c r="B264" s="77">
        <v>71.86</v>
      </c>
    </row>
    <row r="265" spans="1:2">
      <c r="A265" s="73">
        <v>45596</v>
      </c>
      <c r="B265" s="77">
        <v>71.86</v>
      </c>
    </row>
    <row r="266" spans="1:2">
      <c r="A266" s="73">
        <v>45597</v>
      </c>
      <c r="B266" s="77">
        <v>71.78</v>
      </c>
    </row>
    <row r="267" spans="1:2">
      <c r="A267" s="73">
        <v>45600</v>
      </c>
      <c r="B267" s="77">
        <v>71.97</v>
      </c>
    </row>
    <row r="268" spans="1:2">
      <c r="A268" s="73">
        <v>45601</v>
      </c>
      <c r="B268" s="77">
        <v>72.180000000000007</v>
      </c>
    </row>
    <row r="269" spans="1:2">
      <c r="A269" s="73">
        <v>45602</v>
      </c>
      <c r="B269" s="77">
        <v>71.760000000000005</v>
      </c>
    </row>
    <row r="270" spans="1:2">
      <c r="A270" s="73">
        <v>45603</v>
      </c>
      <c r="B270" s="77">
        <v>72.12</v>
      </c>
    </row>
    <row r="271" spans="1:2">
      <c r="A271" s="73">
        <v>45604</v>
      </c>
      <c r="B271" s="77">
        <v>71.88</v>
      </c>
    </row>
    <row r="272" spans="1:2">
      <c r="A272" s="73">
        <v>45607</v>
      </c>
      <c r="B272" s="77" t="e">
        <v>#N/A</v>
      </c>
    </row>
    <row r="273" spans="1:2">
      <c r="A273" s="73">
        <v>45608</v>
      </c>
      <c r="B273" s="77">
        <v>71.72</v>
      </c>
    </row>
    <row r="274" spans="1:2">
      <c r="A274" s="73">
        <v>45609</v>
      </c>
      <c r="B274" s="77">
        <v>71.53</v>
      </c>
    </row>
    <row r="275" spans="1:2">
      <c r="A275" s="73">
        <v>45610</v>
      </c>
      <c r="B275" s="77">
        <v>71.290000000000006</v>
      </c>
    </row>
    <row r="276" spans="1:2">
      <c r="A276" s="73">
        <v>45611</v>
      </c>
      <c r="B276" s="77">
        <v>71.03</v>
      </c>
    </row>
    <row r="277" spans="1:2">
      <c r="A277" s="73">
        <v>45614</v>
      </c>
      <c r="B277" s="77">
        <v>71.209999999999994</v>
      </c>
    </row>
    <row r="278" spans="1:2">
      <c r="A278" s="73">
        <v>45615</v>
      </c>
      <c r="B278" s="77">
        <v>71.53</v>
      </c>
    </row>
    <row r="279" spans="1:2">
      <c r="A279" s="73">
        <v>45616</v>
      </c>
      <c r="B279" s="77">
        <v>71.459999999999994</v>
      </c>
    </row>
    <row r="280" spans="1:2">
      <c r="A280" s="73">
        <v>45617</v>
      </c>
      <c r="B280" s="77">
        <v>71.63</v>
      </c>
    </row>
    <row r="281" spans="1:2">
      <c r="A281" s="73">
        <v>45618</v>
      </c>
      <c r="B281" s="77">
        <v>71.540000000000006</v>
      </c>
    </row>
    <row r="282" spans="1:2">
      <c r="A282" s="73">
        <v>45621</v>
      </c>
      <c r="B282" s="77">
        <v>71.53</v>
      </c>
    </row>
    <row r="283" spans="1:2">
      <c r="A283" s="73">
        <v>45622</v>
      </c>
      <c r="B283" s="77">
        <v>71.010000000000005</v>
      </c>
    </row>
    <row r="284" spans="1:2">
      <c r="A284" s="73">
        <v>45623</v>
      </c>
      <c r="B284" s="77">
        <v>71.25</v>
      </c>
    </row>
    <row r="285" spans="1:2">
      <c r="A285" s="73">
        <v>45624</v>
      </c>
      <c r="B285" s="77">
        <v>71.38</v>
      </c>
    </row>
    <row r="286" spans="1:2">
      <c r="A286" s="73">
        <v>45625</v>
      </c>
      <c r="B286" s="77">
        <v>71.38</v>
      </c>
    </row>
    <row r="287" spans="1:2">
      <c r="A287" s="73">
        <v>45628</v>
      </c>
      <c r="B287" s="77">
        <v>71.14</v>
      </c>
    </row>
    <row r="288" spans="1:2">
      <c r="A288" s="73">
        <v>45629</v>
      </c>
      <c r="B288" s="77">
        <v>71.14</v>
      </c>
    </row>
    <row r="289" spans="1:2">
      <c r="A289" s="73">
        <v>45630</v>
      </c>
      <c r="B289" s="77">
        <v>71.09</v>
      </c>
    </row>
    <row r="290" spans="1:2">
      <c r="A290" s="73">
        <v>45631</v>
      </c>
      <c r="B290" s="77">
        <v>71.239999999999995</v>
      </c>
    </row>
    <row r="291" spans="1:2">
      <c r="A291" s="73">
        <v>45632</v>
      </c>
      <c r="B291" s="77">
        <v>70.739999999999995</v>
      </c>
    </row>
    <row r="292" spans="1:2">
      <c r="A292" s="73">
        <v>45635</v>
      </c>
      <c r="B292" s="77">
        <v>70.77</v>
      </c>
    </row>
    <row r="293" spans="1:2">
      <c r="A293" s="73">
        <v>45636</v>
      </c>
      <c r="B293" s="77">
        <v>70.59</v>
      </c>
    </row>
    <row r="294" spans="1:2">
      <c r="A294" s="73">
        <v>45637</v>
      </c>
      <c r="B294" s="77">
        <v>70.650000000000006</v>
      </c>
    </row>
    <row r="295" spans="1:2">
      <c r="A295" s="73">
        <v>45638</v>
      </c>
      <c r="B295" s="77">
        <v>70.48</v>
      </c>
    </row>
    <row r="296" spans="1:2">
      <c r="A296" s="73">
        <v>45639</v>
      </c>
      <c r="B296" s="77">
        <v>70.27</v>
      </c>
    </row>
    <row r="297" spans="1:2">
      <c r="A297" s="73">
        <v>45642</v>
      </c>
      <c r="B297" s="77">
        <v>70.23</v>
      </c>
    </row>
    <row r="298" spans="1:2">
      <c r="A298" s="73">
        <v>45643</v>
      </c>
      <c r="B298" s="77">
        <v>69.91</v>
      </c>
    </row>
    <row r="299" spans="1:2">
      <c r="A299" s="73">
        <v>45644</v>
      </c>
      <c r="B299" s="77">
        <v>69.72</v>
      </c>
    </row>
    <row r="300" spans="1:2">
      <c r="A300" s="73">
        <v>45645</v>
      </c>
      <c r="B300" s="77">
        <v>69.59</v>
      </c>
    </row>
    <row r="301" spans="1:2">
      <c r="A301" s="73">
        <v>45646</v>
      </c>
      <c r="B301" s="77">
        <v>69.61</v>
      </c>
    </row>
    <row r="302" spans="1:2">
      <c r="A302" s="73">
        <v>45649</v>
      </c>
      <c r="B302" s="77">
        <v>69.47</v>
      </c>
    </row>
    <row r="303" spans="1:2">
      <c r="A303" s="73">
        <v>45650</v>
      </c>
      <c r="B303" s="77">
        <v>69.510000000000005</v>
      </c>
    </row>
    <row r="304" spans="1:2">
      <c r="A304" s="73">
        <v>45651</v>
      </c>
      <c r="B304" s="77" t="e">
        <v>#N/A</v>
      </c>
    </row>
    <row r="305" spans="1:2">
      <c r="A305" s="73">
        <v>45652</v>
      </c>
      <c r="B305" s="77" t="e">
        <v>#N/A</v>
      </c>
    </row>
    <row r="306" spans="1:2">
      <c r="A306" s="73">
        <v>45653</v>
      </c>
      <c r="B306" s="77">
        <v>69.37</v>
      </c>
    </row>
    <row r="307" spans="1:2">
      <c r="A307" s="73">
        <v>45656</v>
      </c>
      <c r="B307" s="77">
        <v>69.55</v>
      </c>
    </row>
    <row r="308" spans="1:2">
      <c r="A308" s="73">
        <v>45657</v>
      </c>
      <c r="B308" s="77">
        <v>69.5</v>
      </c>
    </row>
    <row r="309" spans="1:2">
      <c r="A309" s="73">
        <v>45658</v>
      </c>
      <c r="B309" s="77" t="e">
        <v>#N/A</v>
      </c>
    </row>
    <row r="310" spans="1:2">
      <c r="A310" s="73">
        <v>45659</v>
      </c>
      <c r="B310" s="77">
        <v>69.36</v>
      </c>
    </row>
    <row r="311" spans="1:2">
      <c r="A311" s="73">
        <v>45660</v>
      </c>
      <c r="B311" s="77">
        <v>69.239999999999995</v>
      </c>
    </row>
    <row r="312" spans="1:2">
      <c r="A312" s="73">
        <v>45663</v>
      </c>
      <c r="B312" s="77">
        <v>69.7</v>
      </c>
    </row>
    <row r="313" spans="1:2">
      <c r="A313" s="73">
        <v>45664</v>
      </c>
      <c r="B313" s="77">
        <v>69.739999999999995</v>
      </c>
    </row>
    <row r="314" spans="1:2">
      <c r="A314" s="73">
        <v>45665</v>
      </c>
      <c r="B314" s="77">
        <v>69.489999999999995</v>
      </c>
    </row>
    <row r="315" spans="1:2">
      <c r="A315" s="73">
        <v>45666</v>
      </c>
      <c r="B315" s="77">
        <v>69.47</v>
      </c>
    </row>
    <row r="316" spans="1:2">
      <c r="A316" s="73">
        <v>45667</v>
      </c>
      <c r="B316" s="77">
        <v>69.34</v>
      </c>
    </row>
    <row r="317" spans="1:2">
      <c r="A317" s="73">
        <v>45670</v>
      </c>
      <c r="B317" s="77">
        <v>69.39</v>
      </c>
    </row>
    <row r="318" spans="1:2">
      <c r="A318" s="73">
        <v>45671</v>
      </c>
      <c r="B318" s="77">
        <v>69.58</v>
      </c>
    </row>
    <row r="319" spans="1:2">
      <c r="A319" s="73">
        <v>45672</v>
      </c>
      <c r="B319" s="77">
        <v>69.760000000000005</v>
      </c>
    </row>
    <row r="320" spans="1:2">
      <c r="A320" s="73">
        <v>45673</v>
      </c>
      <c r="B320" s="77">
        <v>69.5</v>
      </c>
    </row>
    <row r="321" spans="1:2">
      <c r="A321" s="73">
        <v>45674</v>
      </c>
      <c r="B321" s="77">
        <v>69.28</v>
      </c>
    </row>
    <row r="322" spans="1:2">
      <c r="A322" s="73">
        <v>45677</v>
      </c>
      <c r="B322" s="77">
        <v>69.78</v>
      </c>
    </row>
    <row r="323" spans="1:2">
      <c r="A323" s="73">
        <v>45678</v>
      </c>
      <c r="B323" s="77">
        <v>69.61</v>
      </c>
    </row>
    <row r="324" spans="1:2">
      <c r="A324" s="73">
        <v>45679</v>
      </c>
      <c r="B324" s="77">
        <v>69.59</v>
      </c>
    </row>
    <row r="325" spans="1:2">
      <c r="A325" s="73">
        <v>45680</v>
      </c>
      <c r="B325" s="77">
        <v>69.58</v>
      </c>
    </row>
    <row r="326" spans="1:2">
      <c r="A326" s="73">
        <v>45681</v>
      </c>
      <c r="B326" s="77">
        <v>69.75</v>
      </c>
    </row>
    <row r="327" spans="1:2">
      <c r="A327" s="73">
        <v>45684</v>
      </c>
      <c r="B327" s="77">
        <v>69.540000000000006</v>
      </c>
    </row>
    <row r="328" spans="1:2">
      <c r="A328" s="73">
        <v>45685</v>
      </c>
      <c r="B328" s="77">
        <v>69.47</v>
      </c>
    </row>
    <row r="329" spans="1:2">
      <c r="A329" s="73">
        <v>45686</v>
      </c>
      <c r="B329" s="77">
        <v>69.28</v>
      </c>
    </row>
    <row r="330" spans="1:2">
      <c r="A330" s="73">
        <v>45687</v>
      </c>
      <c r="B330" s="77">
        <v>69.38</v>
      </c>
    </row>
    <row r="331" spans="1:2">
      <c r="A331" s="73">
        <v>45688</v>
      </c>
      <c r="B331" s="77">
        <v>69.040000000000006</v>
      </c>
    </row>
    <row r="332" spans="1:2">
      <c r="A332" s="73">
        <v>45691</v>
      </c>
      <c r="B332" s="77">
        <v>68.48</v>
      </c>
    </row>
    <row r="333" spans="1:2">
      <c r="A333" s="73">
        <v>45692</v>
      </c>
      <c r="B333" s="77">
        <v>69.709999999999994</v>
      </c>
    </row>
    <row r="334" spans="1:2">
      <c r="A334" s="73">
        <v>45693</v>
      </c>
      <c r="B334" s="77">
        <v>69.95</v>
      </c>
    </row>
    <row r="335" spans="1:2">
      <c r="A335" s="73">
        <v>45694</v>
      </c>
      <c r="B335" s="77">
        <v>69.819999999999993</v>
      </c>
    </row>
    <row r="336" spans="1:2">
      <c r="A336" s="73">
        <v>45695</v>
      </c>
      <c r="B336" s="77">
        <v>69.94</v>
      </c>
    </row>
    <row r="337" spans="1:2">
      <c r="A337" s="73">
        <v>45698</v>
      </c>
      <c r="B337" s="77">
        <v>69.819999999999993</v>
      </c>
    </row>
    <row r="341" spans="1:2">
      <c r="A341" s="224" t="s">
        <v>341</v>
      </c>
      <c r="B341" s="87"/>
    </row>
    <row r="342" spans="1:2">
      <c r="A342" s="225"/>
      <c r="B342" s="87"/>
    </row>
    <row r="343" spans="1:2">
      <c r="A343" s="225"/>
      <c r="B343" s="87"/>
    </row>
    <row r="344" spans="1:2">
      <c r="A344" s="225"/>
      <c r="B344" s="87"/>
    </row>
    <row r="345" spans="1:2">
      <c r="A345" s="225"/>
      <c r="B345" s="87"/>
    </row>
  </sheetData>
  <pageMargins left="0.7" right="0.7" top="0.75" bottom="0.75" header="0.3" footer="0.3"/>
  <headerFooter>
    <oddFooter>&amp;L_x000D_&amp;1#&amp;"Calibri"&amp;11&amp;K000000 Classification: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55BF3-1125-4FB4-9E4D-CF63BC0CAD40}">
  <sheetPr>
    <tabColor theme="9"/>
  </sheetPr>
  <dimension ref="A1:C103"/>
  <sheetViews>
    <sheetView topLeftCell="A75" zoomScaleNormal="100" workbookViewId="0">
      <selection activeCell="C89" sqref="C89"/>
    </sheetView>
  </sheetViews>
  <sheetFormatPr defaultColWidth="9.140625" defaultRowHeight="16.5"/>
  <cols>
    <col min="1" max="2" width="12.7109375" style="12" customWidth="1"/>
    <col min="3" max="3" width="14.7109375" style="12" customWidth="1"/>
    <col min="4" max="16384" width="9.140625" style="12"/>
  </cols>
  <sheetData>
    <row r="1" spans="1:3">
      <c r="A1" s="1" t="s">
        <v>204</v>
      </c>
    </row>
    <row r="3" spans="1:3" ht="25.5">
      <c r="A3" s="11" t="s">
        <v>23</v>
      </c>
      <c r="B3" s="226" t="s">
        <v>343</v>
      </c>
      <c r="C3" s="226" t="s">
        <v>346</v>
      </c>
    </row>
    <row r="4" spans="1:3">
      <c r="A4" s="12" t="s">
        <v>141</v>
      </c>
      <c r="B4" s="216">
        <v>47.05</v>
      </c>
      <c r="C4" s="13"/>
    </row>
    <row r="5" spans="1:3">
      <c r="A5" s="12" t="s">
        <v>142</v>
      </c>
      <c r="B5" s="216">
        <v>52.07</v>
      </c>
      <c r="C5" s="13"/>
    </row>
    <row r="6" spans="1:3">
      <c r="A6" s="12" t="s">
        <v>143</v>
      </c>
      <c r="B6" s="216">
        <v>59.06</v>
      </c>
      <c r="C6" s="13"/>
    </row>
    <row r="7" spans="1:3">
      <c r="A7" s="12" t="s">
        <v>144</v>
      </c>
      <c r="B7" s="216">
        <v>62.34</v>
      </c>
      <c r="C7" s="13"/>
    </row>
    <row r="8" spans="1:3">
      <c r="A8" s="12" t="s">
        <v>145</v>
      </c>
      <c r="B8" s="216">
        <v>61.72</v>
      </c>
      <c r="C8" s="13"/>
    </row>
    <row r="9" spans="1:3">
      <c r="A9" s="12" t="s">
        <v>146</v>
      </c>
      <c r="B9" s="216">
        <v>65.17</v>
      </c>
      <c r="C9" s="13"/>
    </row>
    <row r="10" spans="1:3">
      <c r="A10" s="12" t="s">
        <v>147</v>
      </c>
      <c r="B10" s="216">
        <v>71.38</v>
      </c>
      <c r="C10" s="13"/>
    </row>
    <row r="11" spans="1:3">
      <c r="A11" s="12" t="s">
        <v>148</v>
      </c>
      <c r="B11" s="216">
        <v>72.47</v>
      </c>
      <c r="C11" s="13"/>
    </row>
    <row r="12" spans="1:3">
      <c r="A12" s="12" t="s">
        <v>149</v>
      </c>
      <c r="B12" s="216">
        <v>67.72</v>
      </c>
      <c r="C12" s="13"/>
    </row>
    <row r="13" spans="1:3">
      <c r="A13" s="12" t="s">
        <v>150</v>
      </c>
      <c r="B13" s="216">
        <v>71.5</v>
      </c>
      <c r="C13" s="13"/>
    </row>
    <row r="14" spans="1:3">
      <c r="A14" s="12" t="s">
        <v>151</v>
      </c>
      <c r="B14" s="216">
        <v>81.44</v>
      </c>
      <c r="C14" s="13"/>
    </row>
    <row r="15" spans="1:3">
      <c r="A15" s="12" t="s">
        <v>152</v>
      </c>
      <c r="B15" s="216">
        <v>79.17</v>
      </c>
      <c r="C15" s="13"/>
    </row>
    <row r="16" spans="1:3">
      <c r="A16" s="12" t="s">
        <v>153</v>
      </c>
      <c r="B16" s="216">
        <v>71.709999999999994</v>
      </c>
      <c r="C16" s="13"/>
    </row>
    <row r="17" spans="1:3">
      <c r="A17" s="12" t="s">
        <v>154</v>
      </c>
      <c r="B17" s="216">
        <v>83.17</v>
      </c>
      <c r="C17" s="13"/>
    </row>
    <row r="18" spans="1:3">
      <c r="A18" s="12" t="s">
        <v>155</v>
      </c>
      <c r="B18" s="216">
        <v>91.65</v>
      </c>
      <c r="C18" s="13"/>
    </row>
    <row r="19" spans="1:3">
      <c r="A19" s="12" t="s">
        <v>156</v>
      </c>
      <c r="B19" s="216">
        <v>108.41</v>
      </c>
      <c r="C19" s="13"/>
    </row>
    <row r="20" spans="1:3">
      <c r="A20" s="12" t="s">
        <v>157</v>
      </c>
      <c r="B20" s="216">
        <v>101.78</v>
      </c>
      <c r="C20" s="13"/>
    </row>
    <row r="21" spans="1:3">
      <c r="A21" s="12" t="s">
        <v>158</v>
      </c>
      <c r="B21" s="216">
        <v>109.34</v>
      </c>
      <c r="C21" s="13"/>
    </row>
    <row r="22" spans="1:3">
      <c r="A22" s="12" t="s">
        <v>159</v>
      </c>
      <c r="B22" s="216">
        <v>114.6</v>
      </c>
      <c r="C22" s="13"/>
    </row>
    <row r="23" spans="1:3">
      <c r="A23" s="12" t="s">
        <v>160</v>
      </c>
      <c r="B23" s="216">
        <v>100.74</v>
      </c>
      <c r="C23" s="13"/>
    </row>
    <row r="24" spans="1:3">
      <c r="A24" s="12" t="s">
        <v>161</v>
      </c>
      <c r="B24" s="216">
        <v>93.11</v>
      </c>
      <c r="C24" s="13"/>
    </row>
    <row r="25" spans="1:3">
      <c r="A25" s="12" t="s">
        <v>162</v>
      </c>
      <c r="B25" s="216">
        <v>84.04</v>
      </c>
      <c r="C25" s="13"/>
    </row>
    <row r="26" spans="1:3">
      <c r="A26" s="12" t="s">
        <v>163</v>
      </c>
      <c r="B26" s="216">
        <v>87.37</v>
      </c>
      <c r="C26" s="13"/>
    </row>
    <row r="27" spans="1:3">
      <c r="A27" s="12" t="s">
        <v>164</v>
      </c>
      <c r="B27" s="216">
        <v>84.37</v>
      </c>
      <c r="C27" s="13"/>
    </row>
    <row r="28" spans="1:3">
      <c r="A28" s="12" t="s">
        <v>165</v>
      </c>
      <c r="B28" s="216">
        <v>76.61</v>
      </c>
      <c r="C28" s="13"/>
    </row>
    <row r="29" spans="1:3">
      <c r="A29" s="12" t="s">
        <v>166</v>
      </c>
      <c r="B29" s="216">
        <v>78.16</v>
      </c>
      <c r="C29" s="13"/>
    </row>
    <row r="30" spans="1:3">
      <c r="A30" s="12" t="s">
        <v>167</v>
      </c>
      <c r="B30" s="216">
        <v>76.849999999999994</v>
      </c>
      <c r="C30" s="13"/>
    </row>
    <row r="31" spans="1:3">
      <c r="A31" s="12" t="s">
        <v>168</v>
      </c>
      <c r="B31" s="216">
        <v>73.34</v>
      </c>
      <c r="C31" s="13"/>
    </row>
    <row r="32" spans="1:3">
      <c r="A32" s="12" t="s">
        <v>169</v>
      </c>
      <c r="B32" s="216">
        <v>79.44</v>
      </c>
      <c r="C32" s="13"/>
    </row>
    <row r="33" spans="1:3">
      <c r="A33" s="12" t="s">
        <v>170</v>
      </c>
      <c r="B33" s="216">
        <v>71.59</v>
      </c>
      <c r="C33" s="13"/>
    </row>
    <row r="34" spans="1:3">
      <c r="A34" s="12" t="s">
        <v>171</v>
      </c>
      <c r="B34" s="216">
        <v>70.27</v>
      </c>
      <c r="C34" s="13"/>
    </row>
    <row r="35" spans="1:3">
      <c r="A35" s="12" t="s">
        <v>172</v>
      </c>
      <c r="B35" s="216">
        <v>76.05</v>
      </c>
      <c r="C35" s="13"/>
    </row>
    <row r="36" spans="1:3">
      <c r="A36" s="12" t="s">
        <v>173</v>
      </c>
      <c r="B36" s="216">
        <v>81.37</v>
      </c>
      <c r="C36" s="13"/>
    </row>
    <row r="37" spans="1:3">
      <c r="A37" s="12" t="s">
        <v>174</v>
      </c>
      <c r="B37" s="216">
        <v>89.48</v>
      </c>
      <c r="C37" s="13"/>
    </row>
    <row r="38" spans="1:3">
      <c r="A38" s="12" t="s">
        <v>175</v>
      </c>
      <c r="B38" s="216">
        <v>85.6</v>
      </c>
      <c r="C38" s="13"/>
    </row>
    <row r="39" spans="1:3">
      <c r="A39" s="12" t="s">
        <v>176</v>
      </c>
      <c r="B39" s="216">
        <v>77.459999999999994</v>
      </c>
      <c r="C39" s="13"/>
    </row>
    <row r="40" spans="1:3">
      <c r="A40" s="12" t="s">
        <v>177</v>
      </c>
      <c r="B40" s="216">
        <v>71.98</v>
      </c>
      <c r="C40" s="13"/>
    </row>
    <row r="41" spans="1:3">
      <c r="A41" s="12" t="s">
        <v>178</v>
      </c>
      <c r="B41" s="216">
        <v>74.03</v>
      </c>
      <c r="C41" s="13"/>
    </row>
    <row r="42" spans="1:3">
      <c r="A42" s="12" t="s">
        <v>179</v>
      </c>
      <c r="B42" s="216">
        <v>76.94</v>
      </c>
      <c r="C42" s="13"/>
    </row>
    <row r="43" spans="1:3">
      <c r="A43" s="12" t="s">
        <v>180</v>
      </c>
      <c r="B43" s="216">
        <v>80.91</v>
      </c>
      <c r="C43" s="13"/>
    </row>
    <row r="44" spans="1:3">
      <c r="A44" s="12" t="s">
        <v>181</v>
      </c>
      <c r="B44" s="216">
        <v>85.01</v>
      </c>
      <c r="C44" s="13"/>
    </row>
    <row r="45" spans="1:3">
      <c r="A45" s="12" t="s">
        <v>182</v>
      </c>
      <c r="B45" s="216">
        <v>79.34</v>
      </c>
      <c r="C45" s="13"/>
    </row>
    <row r="46" spans="1:3">
      <c r="A46" s="12" t="s">
        <v>183</v>
      </c>
      <c r="B46" s="216">
        <v>78.77</v>
      </c>
      <c r="C46" s="13"/>
    </row>
    <row r="47" spans="1:3">
      <c r="A47" s="12" t="s">
        <v>184</v>
      </c>
      <c r="B47" s="216">
        <v>81.33</v>
      </c>
      <c r="C47" s="13"/>
    </row>
    <row r="48" spans="1:3">
      <c r="A48" s="12" t="s">
        <v>185</v>
      </c>
      <c r="B48" s="216">
        <v>76.19</v>
      </c>
      <c r="C48" s="13"/>
    </row>
    <row r="49" spans="1:3">
      <c r="A49" s="12" t="s">
        <v>186</v>
      </c>
      <c r="B49" s="216">
        <v>69.89</v>
      </c>
      <c r="C49" s="13"/>
    </row>
    <row r="50" spans="1:3">
      <c r="A50" s="12" t="s">
        <v>187</v>
      </c>
      <c r="B50" s="216">
        <v>71.59</v>
      </c>
      <c r="C50" s="13"/>
    </row>
    <row r="51" spans="1:3">
      <c r="A51" s="12" t="s">
        <v>188</v>
      </c>
      <c r="B51" s="216">
        <v>69.540000000000006</v>
      </c>
      <c r="C51" s="13"/>
    </row>
    <row r="52" spans="1:3">
      <c r="A52" s="12" t="s">
        <v>189</v>
      </c>
      <c r="B52" s="216">
        <v>69.7</v>
      </c>
      <c r="C52" s="13"/>
    </row>
    <row r="53" spans="1:3">
      <c r="A53" s="14" t="s">
        <v>190</v>
      </c>
      <c r="B53" s="216">
        <v>75.099999999999994</v>
      </c>
      <c r="C53" s="13">
        <v>69.239999999999995</v>
      </c>
    </row>
    <row r="54" spans="1:3">
      <c r="A54" s="12" t="s">
        <v>205</v>
      </c>
      <c r="B54" s="216">
        <v>69.2</v>
      </c>
      <c r="C54" s="13">
        <v>69.239999999999995</v>
      </c>
    </row>
    <row r="55" spans="1:3">
      <c r="A55" s="12" t="s">
        <v>192</v>
      </c>
      <c r="B55" s="216">
        <v>70.98</v>
      </c>
      <c r="C55" s="13">
        <v>69.239999999999995</v>
      </c>
    </row>
    <row r="56" spans="1:3">
      <c r="A56" s="12" t="s">
        <v>193</v>
      </c>
      <c r="B56" s="216">
        <v>67.59</v>
      </c>
      <c r="C56" s="13">
        <v>69.239999999999995</v>
      </c>
    </row>
    <row r="57" spans="1:3">
      <c r="A57" s="12" t="s">
        <v>194</v>
      </c>
      <c r="B57" s="216">
        <v>68.760000000000005</v>
      </c>
      <c r="C57" s="13">
        <v>69.239999999999995</v>
      </c>
    </row>
    <row r="58" spans="1:3">
      <c r="A58" s="12" t="s">
        <v>195</v>
      </c>
      <c r="B58" s="216">
        <v>69.040000000000006</v>
      </c>
      <c r="C58" s="13">
        <v>69.239999999999995</v>
      </c>
    </row>
    <row r="59" spans="1:3">
      <c r="A59" s="12" t="s">
        <v>196</v>
      </c>
      <c r="B59" s="216">
        <v>69.38</v>
      </c>
      <c r="C59" s="13">
        <v>69.239999999999995</v>
      </c>
    </row>
    <row r="60" spans="1:3">
      <c r="A60" s="12" t="s">
        <v>197</v>
      </c>
      <c r="B60" s="216">
        <v>69.040000000000006</v>
      </c>
      <c r="C60" s="13">
        <v>69.239999999999995</v>
      </c>
    </row>
    <row r="61" spans="1:3">
      <c r="A61" s="12" t="s">
        <v>198</v>
      </c>
      <c r="B61" s="216">
        <v>68.760000000000005</v>
      </c>
      <c r="C61" s="13">
        <v>69.239999999999995</v>
      </c>
    </row>
    <row r="62" spans="1:3">
      <c r="A62" s="12" t="s">
        <v>199</v>
      </c>
      <c r="B62" s="216">
        <v>68.760000000000005</v>
      </c>
      <c r="C62" s="13">
        <v>69.239999999999995</v>
      </c>
    </row>
    <row r="63" spans="1:3">
      <c r="A63" s="12" t="s">
        <v>200</v>
      </c>
      <c r="B63" s="216">
        <v>67.31</v>
      </c>
      <c r="C63" s="13">
        <v>69.239999999999995</v>
      </c>
    </row>
    <row r="64" spans="1:3">
      <c r="A64" s="12" t="s">
        <v>201</v>
      </c>
      <c r="B64" s="216">
        <v>66.97</v>
      </c>
      <c r="C64" s="13">
        <v>69.239999999999995</v>
      </c>
    </row>
    <row r="65" spans="1:3">
      <c r="A65" s="12" t="s">
        <v>206</v>
      </c>
      <c r="B65" s="216">
        <v>66.97</v>
      </c>
      <c r="C65" s="13">
        <v>70.260000000000005</v>
      </c>
    </row>
    <row r="66" spans="1:3">
      <c r="A66" s="12" t="s">
        <v>207</v>
      </c>
      <c r="B66" s="216">
        <v>66.48</v>
      </c>
      <c r="C66" s="13">
        <v>70.260000000000005</v>
      </c>
    </row>
    <row r="67" spans="1:3">
      <c r="A67" s="12" t="s">
        <v>208</v>
      </c>
      <c r="B67" s="216">
        <v>66.97</v>
      </c>
      <c r="C67" s="13">
        <v>70.260000000000005</v>
      </c>
    </row>
    <row r="68" spans="1:3">
      <c r="A68" s="12" t="s">
        <v>209</v>
      </c>
      <c r="B68" s="216">
        <v>70.569999999999993</v>
      </c>
      <c r="C68" s="13">
        <v>70.260000000000005</v>
      </c>
    </row>
    <row r="69" spans="1:3">
      <c r="A69" s="12" t="s">
        <v>210</v>
      </c>
      <c r="B69" s="216">
        <v>71.78</v>
      </c>
      <c r="C69" s="13">
        <v>70.260000000000005</v>
      </c>
    </row>
    <row r="70" spans="1:3">
      <c r="A70" s="12" t="s">
        <v>211</v>
      </c>
      <c r="B70" s="216">
        <v>72.069999999999993</v>
      </c>
      <c r="C70" s="13">
        <v>70.260000000000005</v>
      </c>
    </row>
    <row r="71" spans="1:3">
      <c r="A71" s="12" t="s">
        <v>212</v>
      </c>
      <c r="B71" s="216">
        <v>72.42</v>
      </c>
      <c r="C71" s="13">
        <v>70.260000000000005</v>
      </c>
    </row>
    <row r="72" spans="1:3">
      <c r="A72" s="12" t="s">
        <v>213</v>
      </c>
      <c r="B72" s="216">
        <v>72.069999999999993</v>
      </c>
      <c r="C72" s="13">
        <v>70.260000000000005</v>
      </c>
    </row>
    <row r="73" spans="1:3">
      <c r="A73" s="12" t="s">
        <v>214</v>
      </c>
      <c r="B73" s="216">
        <v>71.78</v>
      </c>
      <c r="C73" s="13">
        <v>70.260000000000005</v>
      </c>
    </row>
    <row r="74" spans="1:3">
      <c r="A74" s="12" t="s">
        <v>215</v>
      </c>
      <c r="B74" s="216">
        <v>71.78</v>
      </c>
      <c r="C74" s="13">
        <v>70.260000000000005</v>
      </c>
    </row>
    <row r="75" spans="1:3">
      <c r="A75" s="12" t="s">
        <v>216</v>
      </c>
      <c r="B75" s="216">
        <v>70.290000000000006</v>
      </c>
      <c r="C75" s="13">
        <v>70.260000000000005</v>
      </c>
    </row>
    <row r="76" spans="1:3">
      <c r="A76" s="12" t="s">
        <v>217</v>
      </c>
      <c r="B76" s="216">
        <v>69.94</v>
      </c>
      <c r="C76" s="13">
        <v>70.260000000000005</v>
      </c>
    </row>
    <row r="77" spans="1:3">
      <c r="A77" s="12" t="s">
        <v>218</v>
      </c>
      <c r="B77" s="216">
        <v>69.94</v>
      </c>
      <c r="C77" s="13">
        <v>71.38</v>
      </c>
    </row>
    <row r="78" spans="1:3">
      <c r="A78" s="12" t="s">
        <v>219</v>
      </c>
      <c r="B78" s="216">
        <v>69.44</v>
      </c>
      <c r="C78" s="13">
        <v>71.38</v>
      </c>
    </row>
    <row r="79" spans="1:3">
      <c r="A79" s="12" t="s">
        <v>220</v>
      </c>
      <c r="B79" s="216">
        <v>69.94</v>
      </c>
      <c r="C79" s="13">
        <v>71.38</v>
      </c>
    </row>
    <row r="80" spans="1:3">
      <c r="A80" s="12" t="s">
        <v>221</v>
      </c>
      <c r="B80" s="216">
        <v>71.069999999999993</v>
      </c>
      <c r="C80" s="13">
        <v>71.38</v>
      </c>
    </row>
    <row r="81" spans="1:3">
      <c r="A81" s="12" t="s">
        <v>222</v>
      </c>
      <c r="B81" s="216">
        <v>72.290000000000006</v>
      </c>
      <c r="C81" s="13">
        <v>71.38</v>
      </c>
    </row>
    <row r="82" spans="1:3">
      <c r="A82" s="12" t="s">
        <v>223</v>
      </c>
      <c r="B82" s="216">
        <v>72.569999999999993</v>
      </c>
      <c r="C82" s="13">
        <v>71.38</v>
      </c>
    </row>
    <row r="83" spans="1:3">
      <c r="A83" s="12" t="s">
        <v>224</v>
      </c>
      <c r="B83" s="216">
        <v>72.930000000000007</v>
      </c>
      <c r="C83" s="13">
        <v>71.38</v>
      </c>
    </row>
    <row r="84" spans="1:3">
      <c r="A84" s="12" t="s">
        <v>225</v>
      </c>
      <c r="B84" s="216">
        <v>72.569999999999993</v>
      </c>
      <c r="C84" s="13">
        <v>71.38</v>
      </c>
    </row>
    <row r="85" spans="1:3">
      <c r="A85" s="12" t="s">
        <v>226</v>
      </c>
      <c r="B85" s="216">
        <v>72.290000000000006</v>
      </c>
      <c r="C85" s="13">
        <v>71.38</v>
      </c>
    </row>
    <row r="86" spans="1:3">
      <c r="A86" s="12" t="s">
        <v>227</v>
      </c>
      <c r="B86" s="216">
        <v>72.290000000000006</v>
      </c>
      <c r="C86" s="13">
        <v>71.38</v>
      </c>
    </row>
    <row r="87" spans="1:3">
      <c r="A87" s="12" t="s">
        <v>228</v>
      </c>
      <c r="B87" s="216">
        <v>70.790000000000006</v>
      </c>
      <c r="C87" s="13">
        <v>71.38</v>
      </c>
    </row>
    <row r="88" spans="1:3">
      <c r="A88" s="12" t="s">
        <v>229</v>
      </c>
      <c r="B88" s="216">
        <v>70.430000000000007</v>
      </c>
      <c r="C88" s="13">
        <v>71.38</v>
      </c>
    </row>
    <row r="89" spans="1:3">
      <c r="A89" s="12" t="s">
        <v>230</v>
      </c>
      <c r="B89" s="216">
        <v>70.430000000000007</v>
      </c>
      <c r="C89" s="13">
        <v>71.5</v>
      </c>
    </row>
    <row r="90" spans="1:3">
      <c r="A90" s="12" t="s">
        <v>231</v>
      </c>
      <c r="B90" s="216">
        <v>69.930000000000007</v>
      </c>
      <c r="C90" s="13">
        <v>71.5</v>
      </c>
    </row>
    <row r="91" spans="1:3">
      <c r="A91" s="12" t="s">
        <v>232</v>
      </c>
      <c r="B91" s="216">
        <v>70.430000000000007</v>
      </c>
      <c r="C91" s="13">
        <v>71.5</v>
      </c>
    </row>
    <row r="92" spans="1:3">
      <c r="A92" s="12" t="s">
        <v>233</v>
      </c>
      <c r="B92" s="216">
        <v>71.069999999999993</v>
      </c>
      <c r="C92" s="13">
        <v>71.5</v>
      </c>
    </row>
    <row r="93" spans="1:3">
      <c r="A93" s="12" t="s">
        <v>234</v>
      </c>
      <c r="B93" s="216">
        <v>72.290000000000006</v>
      </c>
      <c r="C93" s="13">
        <v>71.5</v>
      </c>
    </row>
    <row r="94" spans="1:3">
      <c r="A94" s="12" t="s">
        <v>235</v>
      </c>
      <c r="B94" s="216">
        <v>72.569999999999993</v>
      </c>
      <c r="C94" s="13">
        <v>71.5</v>
      </c>
    </row>
    <row r="95" spans="1:3">
      <c r="A95" s="12" t="s">
        <v>236</v>
      </c>
      <c r="B95" s="216">
        <v>72.930000000000007</v>
      </c>
      <c r="C95" s="13">
        <v>71.5</v>
      </c>
    </row>
    <row r="96" spans="1:3">
      <c r="A96" s="12" t="s">
        <v>237</v>
      </c>
      <c r="B96" s="216">
        <v>72.569999999999993</v>
      </c>
      <c r="C96" s="13">
        <v>71.5</v>
      </c>
    </row>
    <row r="97" spans="1:3">
      <c r="A97" s="12" t="s">
        <v>238</v>
      </c>
      <c r="B97" s="216">
        <v>72.290000000000006</v>
      </c>
      <c r="C97" s="13">
        <v>71.5</v>
      </c>
    </row>
    <row r="98" spans="1:3">
      <c r="A98" s="12" t="s">
        <v>239</v>
      </c>
      <c r="B98" s="216">
        <v>72.290000000000006</v>
      </c>
      <c r="C98" s="13">
        <v>71.5</v>
      </c>
    </row>
    <row r="99" spans="1:3">
      <c r="A99" s="12" t="s">
        <v>240</v>
      </c>
      <c r="B99" s="216">
        <v>70.790000000000006</v>
      </c>
      <c r="C99" s="13">
        <v>71.5</v>
      </c>
    </row>
    <row r="100" spans="1:3">
      <c r="A100" s="12" t="s">
        <v>241</v>
      </c>
      <c r="B100" s="216">
        <v>70.430000000000007</v>
      </c>
      <c r="C100" s="13">
        <v>71.5</v>
      </c>
    </row>
    <row r="103" spans="1:3">
      <c r="A103" s="12" t="s">
        <v>243</v>
      </c>
    </row>
  </sheetData>
  <phoneticPr fontId="14" type="noConversion"/>
  <pageMargins left="0.7" right="0.7" top="0.75" bottom="0.75" header="0.3" footer="0.3"/>
  <headerFooter>
    <oddFooter>&amp;L_x000D_&amp;1#&amp;"Calibri"&amp;11&amp;K000000 Classification: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D1C01-2B76-4309-B5D2-34997D2D3559}">
  <sheetPr>
    <tabColor rgb="FF92D050"/>
  </sheetPr>
  <dimension ref="A1:O16"/>
  <sheetViews>
    <sheetView zoomScaleNormal="100" workbookViewId="0">
      <selection activeCell="K26" sqref="K26"/>
    </sheetView>
  </sheetViews>
  <sheetFormatPr defaultColWidth="9.140625" defaultRowHeight="15.75"/>
  <cols>
    <col min="1" max="1" width="12.7109375" style="63" customWidth="1"/>
    <col min="2" max="2" width="14.140625" style="63" bestFit="1" customWidth="1"/>
    <col min="3" max="7" width="12.7109375" style="63" customWidth="1"/>
    <col min="8" max="16384" width="9.140625" style="63"/>
  </cols>
  <sheetData>
    <row r="1" spans="1:15">
      <c r="A1" s="1" t="s">
        <v>242</v>
      </c>
    </row>
    <row r="3" spans="1:15" ht="25.5" customHeight="1">
      <c r="A3" s="69"/>
      <c r="B3" s="240" t="s">
        <v>342</v>
      </c>
      <c r="C3" s="240"/>
      <c r="D3" s="240"/>
      <c r="E3" s="240"/>
      <c r="F3" s="240"/>
      <c r="G3" s="240"/>
      <c r="J3" s="87"/>
    </row>
    <row r="4" spans="1:15">
      <c r="A4" s="70"/>
      <c r="B4" s="78" t="s">
        <v>244</v>
      </c>
      <c r="C4" s="78" t="s">
        <v>245</v>
      </c>
      <c r="D4" s="78" t="s">
        <v>246</v>
      </c>
      <c r="E4" s="78" t="s">
        <v>247</v>
      </c>
      <c r="F4" s="78" t="s">
        <v>248</v>
      </c>
      <c r="G4" s="78" t="s">
        <v>249</v>
      </c>
    </row>
    <row r="5" spans="1:15">
      <c r="A5" s="70" t="s">
        <v>21</v>
      </c>
      <c r="B5" s="71">
        <v>6.59</v>
      </c>
      <c r="C5" s="71">
        <v>0.64</v>
      </c>
      <c r="D5" s="71">
        <v>2.97</v>
      </c>
      <c r="E5" s="71">
        <v>1.34</v>
      </c>
      <c r="F5" s="71">
        <v>0.38</v>
      </c>
      <c r="G5" s="71">
        <v>1.28</v>
      </c>
      <c r="J5" s="84"/>
      <c r="K5" s="84"/>
      <c r="L5" s="84"/>
      <c r="M5" s="84"/>
      <c r="N5" s="84"/>
      <c r="O5" s="84"/>
    </row>
    <row r="6" spans="1:15">
      <c r="A6" s="70" t="s">
        <v>250</v>
      </c>
      <c r="B6" s="71">
        <v>1.01</v>
      </c>
      <c r="C6" s="71">
        <v>0.28999999999999998</v>
      </c>
      <c r="D6" s="71">
        <v>0</v>
      </c>
      <c r="E6" s="71">
        <v>0.4</v>
      </c>
      <c r="F6" s="71">
        <v>0</v>
      </c>
      <c r="G6" s="71">
        <v>0.32</v>
      </c>
      <c r="J6" s="84"/>
      <c r="K6" s="84"/>
      <c r="L6" s="84"/>
      <c r="M6" s="84"/>
      <c r="N6" s="84"/>
      <c r="O6" s="84"/>
    </row>
    <row r="7" spans="1:15">
      <c r="A7" s="70" t="s">
        <v>140</v>
      </c>
      <c r="B7" s="71">
        <v>4.05</v>
      </c>
      <c r="C7" s="71">
        <v>0.15</v>
      </c>
      <c r="D7" s="71">
        <v>2.81</v>
      </c>
      <c r="E7" s="71">
        <v>0.46</v>
      </c>
      <c r="F7" s="71">
        <v>0.26</v>
      </c>
      <c r="G7" s="71">
        <v>0.37</v>
      </c>
      <c r="J7" s="84"/>
      <c r="K7" s="84"/>
      <c r="L7" s="84"/>
      <c r="M7" s="84"/>
      <c r="N7" s="84"/>
      <c r="O7" s="84"/>
    </row>
    <row r="8" spans="1:15">
      <c r="A8" s="70" t="s">
        <v>251</v>
      </c>
      <c r="B8" s="71">
        <v>1.53</v>
      </c>
      <c r="C8" s="71">
        <v>0.2</v>
      </c>
      <c r="D8" s="71">
        <v>0.15</v>
      </c>
      <c r="E8" s="71">
        <v>0.48</v>
      </c>
      <c r="F8" s="71">
        <v>0.11</v>
      </c>
      <c r="G8" s="71">
        <v>0.57999999999999996</v>
      </c>
      <c r="J8" s="84"/>
      <c r="K8" s="84"/>
      <c r="L8" s="84"/>
      <c r="M8" s="84"/>
      <c r="N8" s="84"/>
      <c r="O8" s="84"/>
    </row>
    <row r="9" spans="1:15">
      <c r="A9" s="70"/>
      <c r="B9" s="78"/>
      <c r="C9" s="78"/>
      <c r="D9" s="78"/>
      <c r="E9" s="78"/>
      <c r="F9" s="78"/>
      <c r="G9" s="78"/>
    </row>
    <row r="10" spans="1:15">
      <c r="A10" s="70"/>
      <c r="B10" s="78"/>
      <c r="C10" s="78"/>
      <c r="D10" s="78"/>
      <c r="E10" s="78"/>
      <c r="F10" s="78"/>
      <c r="G10" s="78"/>
    </row>
    <row r="11" spans="1:15">
      <c r="A11" s="70"/>
      <c r="B11" s="78"/>
      <c r="C11" s="78"/>
      <c r="D11" s="78"/>
      <c r="E11" s="78"/>
      <c r="F11" s="78"/>
      <c r="G11" s="78"/>
    </row>
    <row r="12" spans="1:15">
      <c r="A12" s="68" t="s">
        <v>252</v>
      </c>
      <c r="B12" s="78"/>
      <c r="C12" s="78"/>
      <c r="D12" s="78"/>
      <c r="E12" s="78"/>
      <c r="F12" s="78"/>
      <c r="G12" s="78"/>
    </row>
    <row r="13" spans="1:15">
      <c r="A13" s="70"/>
      <c r="B13" s="78"/>
      <c r="C13" s="78"/>
      <c r="D13" s="78"/>
      <c r="E13" s="78"/>
      <c r="F13" s="78"/>
      <c r="G13" s="78"/>
    </row>
    <row r="16" spans="1:15" s="68" customFormat="1"/>
  </sheetData>
  <mergeCells count="1">
    <mergeCell ref="B3:G3"/>
  </mergeCells>
  <pageMargins left="0.7" right="0.7" top="0.75" bottom="0.75" header="0.3" footer="0.3"/>
  <headerFooter>
    <oddFooter>&amp;L_x000D_&amp;1#&amp;"Calibri"&amp;11&amp;K000000 Classification: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87E52-F634-44C7-A297-0C6E13D0D013}">
  <sheetPr>
    <tabColor rgb="FF92D050"/>
  </sheetPr>
  <dimension ref="A1:F175"/>
  <sheetViews>
    <sheetView topLeftCell="A145" zoomScaleNormal="100" workbookViewId="0">
      <selection activeCell="A175" sqref="A175"/>
    </sheetView>
  </sheetViews>
  <sheetFormatPr defaultColWidth="9.140625" defaultRowHeight="15.75"/>
  <cols>
    <col min="1" max="6" width="12.7109375" style="63" customWidth="1"/>
    <col min="7" max="16384" width="9.140625" style="63"/>
  </cols>
  <sheetData>
    <row r="1" spans="1:6">
      <c r="A1" s="1" t="s">
        <v>317</v>
      </c>
    </row>
    <row r="2" spans="1:6">
      <c r="A2" s="1"/>
    </row>
    <row r="4" spans="1:6" ht="47.25">
      <c r="A4" s="220"/>
      <c r="B4" s="227" t="s">
        <v>343</v>
      </c>
      <c r="C4" s="227" t="s">
        <v>344</v>
      </c>
      <c r="D4" s="228"/>
      <c r="E4" s="229" t="s">
        <v>264</v>
      </c>
      <c r="F4" s="227" t="s">
        <v>345</v>
      </c>
    </row>
    <row r="5" spans="1:6">
      <c r="A5" s="79">
        <v>41730</v>
      </c>
      <c r="B5" s="230">
        <v>102.03</v>
      </c>
      <c r="C5" s="230">
        <v>79.56</v>
      </c>
      <c r="D5" s="87"/>
      <c r="E5" s="80" t="s">
        <v>253</v>
      </c>
      <c r="F5" s="81">
        <v>17.3</v>
      </c>
    </row>
    <row r="6" spans="1:6">
      <c r="A6" s="79">
        <v>41760</v>
      </c>
      <c r="B6" s="230">
        <v>101.79</v>
      </c>
      <c r="C6" s="230">
        <v>82.72</v>
      </c>
      <c r="D6" s="87"/>
      <c r="E6" s="80" t="s">
        <v>254</v>
      </c>
      <c r="F6" s="81">
        <v>13.4</v>
      </c>
    </row>
    <row r="7" spans="1:6">
      <c r="A7" s="79">
        <v>41791</v>
      </c>
      <c r="B7" s="230">
        <v>105.15</v>
      </c>
      <c r="C7" s="230">
        <v>86.56</v>
      </c>
      <c r="D7" s="87"/>
      <c r="E7" s="80" t="s">
        <v>255</v>
      </c>
      <c r="F7" s="81">
        <v>13.93</v>
      </c>
    </row>
    <row r="8" spans="1:6">
      <c r="A8" s="79">
        <v>41821</v>
      </c>
      <c r="B8" s="230">
        <v>102.39</v>
      </c>
      <c r="C8" s="230">
        <v>82.73</v>
      </c>
      <c r="D8" s="87"/>
      <c r="E8" s="80" t="s">
        <v>256</v>
      </c>
      <c r="F8" s="81">
        <v>14.4</v>
      </c>
    </row>
    <row r="9" spans="1:6">
      <c r="A9" s="79">
        <v>41852</v>
      </c>
      <c r="B9" s="230">
        <v>96.08</v>
      </c>
      <c r="C9" s="230">
        <v>73.89</v>
      </c>
      <c r="D9" s="87"/>
      <c r="E9" s="80" t="s">
        <v>257</v>
      </c>
      <c r="F9" s="81">
        <v>23.31</v>
      </c>
    </row>
    <row r="10" spans="1:6">
      <c r="A10" s="79">
        <v>41883</v>
      </c>
      <c r="B10" s="230">
        <v>93.03</v>
      </c>
      <c r="C10" s="230">
        <v>74.349999999999994</v>
      </c>
      <c r="D10" s="87"/>
      <c r="E10" s="80" t="s">
        <v>258</v>
      </c>
      <c r="F10" s="81">
        <v>14.82</v>
      </c>
    </row>
    <row r="11" spans="1:6">
      <c r="A11" s="79">
        <v>41913</v>
      </c>
      <c r="B11" s="230">
        <v>84.34</v>
      </c>
      <c r="C11" s="230">
        <v>70.599999999999994</v>
      </c>
      <c r="D11" s="87"/>
      <c r="E11" s="80" t="s">
        <v>259</v>
      </c>
      <c r="F11" s="81">
        <v>10.581666666666667</v>
      </c>
    </row>
    <row r="12" spans="1:6">
      <c r="A12" s="79">
        <v>41944</v>
      </c>
      <c r="B12" s="230">
        <v>75.81</v>
      </c>
      <c r="C12" s="230">
        <v>62.87</v>
      </c>
      <c r="D12" s="87"/>
      <c r="E12" s="80" t="s">
        <v>35</v>
      </c>
      <c r="F12" s="81">
        <v>13.558333333333337</v>
      </c>
    </row>
    <row r="13" spans="1:6">
      <c r="A13" s="79">
        <v>41974</v>
      </c>
      <c r="B13" s="230">
        <v>59.29</v>
      </c>
      <c r="C13" s="230">
        <v>43.24</v>
      </c>
      <c r="D13" s="87"/>
      <c r="E13" s="80" t="s">
        <v>36</v>
      </c>
      <c r="F13" s="81">
        <v>20.773333333333337</v>
      </c>
    </row>
    <row r="14" spans="1:6">
      <c r="A14" s="79">
        <v>42005</v>
      </c>
      <c r="B14" s="230">
        <v>47.33</v>
      </c>
      <c r="C14" s="230">
        <v>30.43</v>
      </c>
      <c r="D14" s="87"/>
      <c r="E14" s="80" t="s">
        <v>37</v>
      </c>
      <c r="F14" s="81">
        <v>17.293333333333333</v>
      </c>
    </row>
    <row r="15" spans="1:6">
      <c r="A15" s="79">
        <v>42036</v>
      </c>
      <c r="B15" s="230">
        <v>50.72</v>
      </c>
      <c r="C15" s="230">
        <v>36.520000000000003</v>
      </c>
      <c r="D15" s="87"/>
      <c r="E15" s="80" t="s">
        <v>260</v>
      </c>
      <c r="F15" s="81">
        <v>13.211025529140608</v>
      </c>
    </row>
    <row r="16" spans="1:6">
      <c r="A16" s="79">
        <v>42064</v>
      </c>
      <c r="B16" s="230">
        <v>47.85</v>
      </c>
      <c r="C16" s="230">
        <v>34.76</v>
      </c>
      <c r="D16" s="87"/>
      <c r="E16" s="80" t="s">
        <v>261</v>
      </c>
      <c r="F16" s="81">
        <v>17.109999999999996</v>
      </c>
    </row>
    <row r="17" spans="1:6">
      <c r="A17" s="79">
        <v>42095</v>
      </c>
      <c r="B17" s="230">
        <v>54.63</v>
      </c>
      <c r="C17" s="230">
        <v>40.26</v>
      </c>
      <c r="D17" s="87"/>
      <c r="E17" s="80" t="s">
        <v>262</v>
      </c>
      <c r="F17" s="81">
        <v>16.500000000000004</v>
      </c>
    </row>
    <row r="18" spans="1:6">
      <c r="A18" s="79">
        <v>42125</v>
      </c>
      <c r="B18" s="230">
        <v>59.37</v>
      </c>
      <c r="C18" s="230">
        <v>47.5</v>
      </c>
      <c r="D18" s="87"/>
      <c r="E18" s="80" t="s">
        <v>263</v>
      </c>
      <c r="F18" s="81">
        <v>15.580000000000004</v>
      </c>
    </row>
    <row r="19" spans="1:6">
      <c r="A19" s="79">
        <v>42156</v>
      </c>
      <c r="B19" s="230">
        <v>59.83</v>
      </c>
      <c r="C19" s="230">
        <v>51.29</v>
      </c>
      <c r="D19" s="87"/>
      <c r="E19" s="87"/>
      <c r="F19" s="87"/>
    </row>
    <row r="20" spans="1:6">
      <c r="A20" s="79">
        <v>42186</v>
      </c>
      <c r="B20" s="82">
        <v>50.93</v>
      </c>
      <c r="C20" s="82">
        <v>43.49</v>
      </c>
    </row>
    <row r="21" spans="1:6">
      <c r="A21" s="79">
        <v>42217</v>
      </c>
      <c r="B21" s="82">
        <v>42.89</v>
      </c>
      <c r="C21" s="82">
        <v>29.48</v>
      </c>
    </row>
    <row r="22" spans="1:6">
      <c r="A22" s="79">
        <v>42248</v>
      </c>
      <c r="B22" s="82">
        <v>45.47</v>
      </c>
      <c r="C22" s="82">
        <v>26.5</v>
      </c>
    </row>
    <row r="23" spans="1:6">
      <c r="A23" s="79">
        <v>42278</v>
      </c>
      <c r="B23" s="82">
        <v>46.29</v>
      </c>
      <c r="C23" s="82">
        <v>32.78</v>
      </c>
    </row>
    <row r="24" spans="1:6">
      <c r="A24" s="79">
        <v>42309</v>
      </c>
      <c r="B24" s="82">
        <v>42.92</v>
      </c>
      <c r="C24" s="82">
        <v>27.78</v>
      </c>
    </row>
    <row r="25" spans="1:6">
      <c r="A25" s="79">
        <v>42339</v>
      </c>
      <c r="B25" s="82">
        <v>37.33</v>
      </c>
      <c r="C25" s="82">
        <v>22.51</v>
      </c>
    </row>
    <row r="26" spans="1:6">
      <c r="A26" s="79">
        <v>42370</v>
      </c>
      <c r="B26" s="82">
        <v>31.78</v>
      </c>
      <c r="C26" s="82">
        <v>17.88</v>
      </c>
    </row>
    <row r="27" spans="1:6">
      <c r="A27" s="79">
        <v>42401</v>
      </c>
      <c r="B27" s="82">
        <v>30.62</v>
      </c>
      <c r="C27" s="82">
        <v>16.3</v>
      </c>
    </row>
    <row r="28" spans="1:6">
      <c r="A28" s="79">
        <v>42430</v>
      </c>
      <c r="B28" s="82">
        <v>37.96</v>
      </c>
      <c r="C28" s="82">
        <v>23.46</v>
      </c>
    </row>
    <row r="29" spans="1:6">
      <c r="A29" s="79">
        <v>42461</v>
      </c>
      <c r="B29" s="82">
        <v>41.12</v>
      </c>
      <c r="C29" s="82">
        <v>27.88</v>
      </c>
    </row>
    <row r="30" spans="1:6">
      <c r="A30" s="79">
        <v>42491</v>
      </c>
      <c r="B30" s="82">
        <v>46.8</v>
      </c>
      <c r="C30" s="82">
        <v>32.520000000000003</v>
      </c>
    </row>
    <row r="31" spans="1:6">
      <c r="A31" s="79">
        <v>42522</v>
      </c>
      <c r="B31" s="82">
        <v>48.85</v>
      </c>
      <c r="C31" s="82">
        <v>36.47</v>
      </c>
    </row>
    <row r="32" spans="1:6">
      <c r="A32" s="79">
        <v>42552</v>
      </c>
      <c r="B32" s="82">
        <v>44.9</v>
      </c>
      <c r="C32" s="82">
        <v>32.799999999999997</v>
      </c>
    </row>
    <row r="33" spans="1:3">
      <c r="A33" s="79">
        <v>42583</v>
      </c>
      <c r="B33" s="82">
        <v>44.8</v>
      </c>
      <c r="C33" s="82">
        <v>30.9</v>
      </c>
    </row>
    <row r="34" spans="1:3">
      <c r="A34" s="79">
        <v>42614</v>
      </c>
      <c r="B34" s="82">
        <v>45.23</v>
      </c>
      <c r="C34" s="82">
        <v>30.62</v>
      </c>
    </row>
    <row r="35" spans="1:3">
      <c r="A35" s="79">
        <v>42644</v>
      </c>
      <c r="B35" s="82">
        <v>49.94</v>
      </c>
      <c r="C35" s="82">
        <v>35.83</v>
      </c>
    </row>
    <row r="36" spans="1:3">
      <c r="A36" s="79">
        <v>42675</v>
      </c>
      <c r="B36" s="82">
        <v>45.76</v>
      </c>
      <c r="C36" s="82">
        <v>31.89</v>
      </c>
    </row>
    <row r="37" spans="1:3">
      <c r="A37" s="79">
        <v>42705</v>
      </c>
      <c r="B37" s="82">
        <v>52.17</v>
      </c>
      <c r="C37" s="82">
        <v>37.18</v>
      </c>
    </row>
    <row r="38" spans="1:3">
      <c r="A38" s="79">
        <v>42736</v>
      </c>
      <c r="B38" s="82">
        <v>52.61</v>
      </c>
      <c r="C38" s="82">
        <v>37.19</v>
      </c>
    </row>
    <row r="39" spans="1:3">
      <c r="A39" s="79">
        <v>42767</v>
      </c>
      <c r="B39" s="82">
        <v>53.46</v>
      </c>
      <c r="C39" s="82">
        <v>39.14</v>
      </c>
    </row>
    <row r="40" spans="1:3">
      <c r="A40" s="79">
        <v>42795</v>
      </c>
      <c r="B40" s="82">
        <v>49.67</v>
      </c>
      <c r="C40" s="82">
        <v>35.68</v>
      </c>
    </row>
    <row r="41" spans="1:3">
      <c r="A41" s="79">
        <v>42826</v>
      </c>
      <c r="B41" s="82">
        <v>51.12</v>
      </c>
      <c r="C41" s="82">
        <v>36.840000000000003</v>
      </c>
    </row>
    <row r="42" spans="1:3">
      <c r="A42" s="79">
        <v>42856</v>
      </c>
      <c r="B42" s="82">
        <v>48.54</v>
      </c>
      <c r="C42" s="82">
        <v>38.840000000000003</v>
      </c>
    </row>
    <row r="43" spans="1:3">
      <c r="A43" s="79">
        <v>42887</v>
      </c>
      <c r="B43" s="82">
        <v>45.2</v>
      </c>
      <c r="C43" s="82">
        <v>35.799999999999997</v>
      </c>
    </row>
    <row r="44" spans="1:3">
      <c r="A44" s="79">
        <v>42917</v>
      </c>
      <c r="B44" s="82">
        <v>46.68</v>
      </c>
      <c r="C44" s="82">
        <v>36.369999999999997</v>
      </c>
    </row>
    <row r="45" spans="1:3">
      <c r="A45" s="79">
        <v>42948</v>
      </c>
      <c r="B45" s="82">
        <v>48.06</v>
      </c>
      <c r="C45" s="82">
        <v>38.5</v>
      </c>
    </row>
    <row r="46" spans="1:3">
      <c r="A46" s="79">
        <v>42979</v>
      </c>
      <c r="B46" s="82">
        <v>49.88</v>
      </c>
      <c r="C46" s="82">
        <v>39.93</v>
      </c>
    </row>
    <row r="47" spans="1:3">
      <c r="A47" s="79">
        <v>43009</v>
      </c>
      <c r="B47" s="82">
        <v>51.59</v>
      </c>
      <c r="C47" s="82">
        <v>39.869999999999997</v>
      </c>
    </row>
    <row r="48" spans="1:3">
      <c r="A48" s="79">
        <v>43040</v>
      </c>
      <c r="B48" s="82">
        <v>56.66</v>
      </c>
      <c r="C48" s="82">
        <v>45.52</v>
      </c>
    </row>
    <row r="49" spans="1:3">
      <c r="A49" s="79">
        <v>43070</v>
      </c>
      <c r="B49" s="82">
        <v>57.95</v>
      </c>
      <c r="C49" s="82">
        <v>44.02</v>
      </c>
    </row>
    <row r="50" spans="1:3">
      <c r="A50" s="79">
        <v>43101</v>
      </c>
      <c r="B50" s="82">
        <v>63.66</v>
      </c>
      <c r="C50" s="82">
        <v>42.53</v>
      </c>
    </row>
    <row r="51" spans="1:3">
      <c r="A51" s="79">
        <v>43132</v>
      </c>
      <c r="B51" s="82">
        <v>62.18</v>
      </c>
      <c r="C51" s="82">
        <v>37.72</v>
      </c>
    </row>
    <row r="52" spans="1:3">
      <c r="A52" s="79">
        <v>43160</v>
      </c>
      <c r="B52" s="82">
        <v>62.77</v>
      </c>
      <c r="C52" s="82">
        <v>35.53</v>
      </c>
    </row>
    <row r="53" spans="1:3">
      <c r="A53" s="79">
        <v>43191</v>
      </c>
      <c r="B53" s="82">
        <v>66.33</v>
      </c>
      <c r="C53" s="82">
        <v>40.47</v>
      </c>
    </row>
    <row r="54" spans="1:3">
      <c r="A54" s="79">
        <v>43221</v>
      </c>
      <c r="B54" s="82">
        <v>69.98</v>
      </c>
      <c r="C54" s="82">
        <v>53.25</v>
      </c>
    </row>
    <row r="55" spans="1:3">
      <c r="A55" s="79">
        <v>43252</v>
      </c>
      <c r="B55" s="82">
        <v>67.319999999999993</v>
      </c>
      <c r="C55" s="82">
        <v>52.1</v>
      </c>
    </row>
    <row r="56" spans="1:3">
      <c r="A56" s="79">
        <v>43282</v>
      </c>
      <c r="B56" s="82">
        <v>70.58</v>
      </c>
      <c r="C56" s="82">
        <v>52.83</v>
      </c>
    </row>
    <row r="57" spans="1:3">
      <c r="A57" s="79">
        <v>43313</v>
      </c>
      <c r="B57" s="82">
        <v>67.849999999999994</v>
      </c>
      <c r="C57" s="82">
        <v>48.55</v>
      </c>
    </row>
    <row r="58" spans="1:3">
      <c r="A58" s="79">
        <v>43344</v>
      </c>
      <c r="B58" s="82">
        <v>70.08</v>
      </c>
      <c r="C58" s="82">
        <v>40.369999999999997</v>
      </c>
    </row>
    <row r="59" spans="1:3">
      <c r="A59" s="79">
        <v>43374</v>
      </c>
      <c r="B59" s="82">
        <v>70.760000000000005</v>
      </c>
      <c r="C59" s="82">
        <v>41.15</v>
      </c>
    </row>
    <row r="60" spans="1:3">
      <c r="A60" s="79">
        <v>43405</v>
      </c>
      <c r="B60" s="82">
        <v>56.69</v>
      </c>
      <c r="C60" s="82">
        <v>11.03</v>
      </c>
    </row>
    <row r="61" spans="1:3">
      <c r="A61" s="79">
        <v>43435</v>
      </c>
      <c r="B61" s="82">
        <v>48.98</v>
      </c>
      <c r="C61" s="82">
        <v>5.97</v>
      </c>
    </row>
    <row r="62" spans="1:3">
      <c r="A62" s="79">
        <v>43466</v>
      </c>
      <c r="B62" s="82">
        <v>51.55</v>
      </c>
      <c r="C62" s="82">
        <v>34.299999999999997</v>
      </c>
    </row>
    <row r="63" spans="1:3">
      <c r="A63" s="79">
        <v>43497</v>
      </c>
      <c r="B63" s="82">
        <v>54.98</v>
      </c>
      <c r="C63" s="82">
        <v>45.33</v>
      </c>
    </row>
    <row r="64" spans="1:3">
      <c r="A64" s="79">
        <v>43525</v>
      </c>
      <c r="B64" s="82">
        <v>58.17</v>
      </c>
      <c r="C64" s="82">
        <v>48.21</v>
      </c>
    </row>
    <row r="65" spans="1:3">
      <c r="A65" s="79">
        <v>43556</v>
      </c>
      <c r="B65" s="82">
        <v>63.87</v>
      </c>
      <c r="C65" s="82">
        <v>53.25</v>
      </c>
    </row>
    <row r="66" spans="1:3">
      <c r="A66" s="79">
        <v>43586</v>
      </c>
      <c r="B66" s="82">
        <v>60.87</v>
      </c>
      <c r="C66" s="82">
        <v>52.44</v>
      </c>
    </row>
    <row r="67" spans="1:3">
      <c r="A67" s="79">
        <v>43617</v>
      </c>
      <c r="B67" s="82">
        <v>54.71</v>
      </c>
      <c r="C67" s="82">
        <v>41.74</v>
      </c>
    </row>
    <row r="68" spans="1:3">
      <c r="A68" s="79">
        <v>43647</v>
      </c>
      <c r="B68" s="82">
        <v>57.55</v>
      </c>
      <c r="C68" s="82">
        <v>44.7</v>
      </c>
    </row>
    <row r="69" spans="1:3">
      <c r="A69" s="79">
        <v>43678</v>
      </c>
      <c r="B69" s="82">
        <v>54.84</v>
      </c>
      <c r="C69" s="82">
        <v>43.1</v>
      </c>
    </row>
    <row r="70" spans="1:3">
      <c r="A70" s="79">
        <v>43709</v>
      </c>
      <c r="B70" s="82">
        <v>56.97</v>
      </c>
      <c r="C70" s="82">
        <v>44.84</v>
      </c>
    </row>
    <row r="71" spans="1:3">
      <c r="A71" s="79">
        <v>43739</v>
      </c>
      <c r="B71" s="82">
        <v>54.01</v>
      </c>
      <c r="C71" s="82">
        <v>41.96</v>
      </c>
    </row>
    <row r="72" spans="1:3">
      <c r="A72" s="79">
        <v>43770</v>
      </c>
      <c r="B72" s="82">
        <v>57.07</v>
      </c>
      <c r="C72" s="82">
        <v>42.32</v>
      </c>
    </row>
    <row r="73" spans="1:3">
      <c r="A73" s="79">
        <v>43800</v>
      </c>
      <c r="B73" s="82">
        <v>59.8</v>
      </c>
      <c r="C73" s="82">
        <v>39.11</v>
      </c>
    </row>
    <row r="74" spans="1:3">
      <c r="A74" s="79">
        <v>43831</v>
      </c>
      <c r="B74" s="82">
        <v>57.53</v>
      </c>
      <c r="C74" s="82">
        <v>36.82</v>
      </c>
    </row>
    <row r="75" spans="1:3">
      <c r="A75" s="79">
        <v>43862</v>
      </c>
      <c r="B75" s="82">
        <v>50.54</v>
      </c>
      <c r="C75" s="82">
        <v>27.28</v>
      </c>
    </row>
    <row r="76" spans="1:3">
      <c r="A76" s="79">
        <v>43891</v>
      </c>
      <c r="B76" s="82">
        <v>30.45</v>
      </c>
      <c r="C76" s="82">
        <v>12.84</v>
      </c>
    </row>
    <row r="77" spans="1:3">
      <c r="A77" s="79">
        <v>43922</v>
      </c>
      <c r="B77" s="82">
        <v>16.7</v>
      </c>
      <c r="C77" s="82">
        <v>3.5</v>
      </c>
    </row>
    <row r="78" spans="1:3">
      <c r="A78" s="79">
        <v>43952</v>
      </c>
      <c r="B78" s="82">
        <v>28.53</v>
      </c>
      <c r="C78" s="82">
        <v>11.67</v>
      </c>
    </row>
    <row r="79" spans="1:3">
      <c r="A79" s="79">
        <v>43983</v>
      </c>
      <c r="B79" s="82">
        <v>38.31</v>
      </c>
      <c r="C79" s="82">
        <v>33.97</v>
      </c>
    </row>
    <row r="80" spans="1:3">
      <c r="A80" s="79">
        <v>44013</v>
      </c>
      <c r="B80" s="82">
        <v>40.770000000000003</v>
      </c>
      <c r="C80" s="82">
        <v>32.5</v>
      </c>
    </row>
    <row r="81" spans="1:3">
      <c r="A81" s="79">
        <v>44044</v>
      </c>
      <c r="B81" s="82">
        <v>42.39</v>
      </c>
      <c r="C81" s="82">
        <v>34.6</v>
      </c>
    </row>
    <row r="82" spans="1:3">
      <c r="A82" s="79">
        <v>44075</v>
      </c>
      <c r="B82" s="82">
        <v>39.630000000000003</v>
      </c>
      <c r="C82" s="82">
        <v>28.43</v>
      </c>
    </row>
    <row r="83" spans="1:3">
      <c r="A83" s="79">
        <v>44105</v>
      </c>
      <c r="B83" s="82">
        <v>39.549999999999997</v>
      </c>
      <c r="C83" s="82">
        <v>31.17</v>
      </c>
    </row>
    <row r="84" spans="1:3">
      <c r="A84" s="79">
        <v>44136</v>
      </c>
      <c r="B84" s="82">
        <v>41.35</v>
      </c>
      <c r="C84" s="82">
        <v>31.57</v>
      </c>
    </row>
    <row r="85" spans="1:3">
      <c r="A85" s="79">
        <v>44166</v>
      </c>
      <c r="B85" s="82">
        <v>47.07</v>
      </c>
      <c r="C85" s="82">
        <v>37.32</v>
      </c>
    </row>
    <row r="86" spans="1:3">
      <c r="A86" s="79">
        <v>44197</v>
      </c>
      <c r="B86" s="217">
        <v>52.1</v>
      </c>
      <c r="C86" s="217">
        <v>40.04</v>
      </c>
    </row>
    <row r="87" spans="1:3">
      <c r="A87" s="79">
        <v>44228</v>
      </c>
      <c r="B87" s="217">
        <v>59.06</v>
      </c>
      <c r="C87" s="217">
        <v>45.13</v>
      </c>
    </row>
    <row r="88" spans="1:3">
      <c r="A88" s="79">
        <v>44256</v>
      </c>
      <c r="B88" s="217">
        <v>62.36</v>
      </c>
      <c r="C88" s="217">
        <v>50.94</v>
      </c>
    </row>
    <row r="89" spans="1:3">
      <c r="A89" s="79">
        <v>44287</v>
      </c>
      <c r="B89" s="217">
        <v>61.7</v>
      </c>
      <c r="C89" s="217">
        <v>50.51</v>
      </c>
    </row>
    <row r="90" spans="1:3">
      <c r="A90" s="79">
        <v>44317</v>
      </c>
      <c r="B90" s="217">
        <v>65.16</v>
      </c>
      <c r="C90" s="217">
        <v>54.78</v>
      </c>
    </row>
    <row r="91" spans="1:3">
      <c r="A91" s="79">
        <v>44348</v>
      </c>
      <c r="B91" s="217">
        <v>71.349999999999994</v>
      </c>
      <c r="C91" s="217">
        <v>58.46</v>
      </c>
    </row>
    <row r="92" spans="1:3">
      <c r="A92" s="79">
        <v>44378</v>
      </c>
      <c r="B92" s="217">
        <v>72.430000000000007</v>
      </c>
      <c r="C92" s="217">
        <v>58.46</v>
      </c>
    </row>
    <row r="93" spans="1:3">
      <c r="A93" s="79">
        <v>44409</v>
      </c>
      <c r="B93" s="217">
        <v>67.709999999999994</v>
      </c>
      <c r="C93" s="217">
        <v>54.47</v>
      </c>
    </row>
    <row r="94" spans="1:3">
      <c r="A94" s="79">
        <v>44440</v>
      </c>
      <c r="B94" s="217">
        <v>71.540000000000006</v>
      </c>
      <c r="C94" s="217">
        <v>58.02</v>
      </c>
    </row>
    <row r="95" spans="1:3">
      <c r="A95" s="79">
        <v>44470</v>
      </c>
      <c r="B95" s="217">
        <v>81.22</v>
      </c>
      <c r="C95" s="217">
        <v>69.3</v>
      </c>
    </row>
    <row r="96" spans="1:3">
      <c r="A96" s="79">
        <v>44501</v>
      </c>
      <c r="B96" s="217">
        <v>78.650000000000006</v>
      </c>
      <c r="C96" s="217">
        <v>65.25</v>
      </c>
    </row>
    <row r="97" spans="1:3">
      <c r="A97" s="79">
        <v>44531</v>
      </c>
      <c r="B97" s="217">
        <v>71.69</v>
      </c>
      <c r="C97" s="217">
        <v>53.1</v>
      </c>
    </row>
    <row r="98" spans="1:3">
      <c r="A98" s="79">
        <v>44562</v>
      </c>
      <c r="B98" s="217">
        <v>82.98</v>
      </c>
      <c r="C98" s="217">
        <v>65.599999999999994</v>
      </c>
    </row>
    <row r="99" spans="1:3">
      <c r="A99" s="79">
        <v>44593</v>
      </c>
      <c r="B99" s="82">
        <v>91.63</v>
      </c>
      <c r="C99" s="82">
        <v>79.099999999999994</v>
      </c>
    </row>
    <row r="100" spans="1:3">
      <c r="A100" s="79">
        <v>44621</v>
      </c>
      <c r="B100" s="82">
        <v>108.26</v>
      </c>
      <c r="C100" s="82">
        <v>94.57</v>
      </c>
    </row>
    <row r="101" spans="1:3">
      <c r="A101" s="79">
        <v>44652</v>
      </c>
      <c r="B101" s="82">
        <v>101.64</v>
      </c>
      <c r="C101" s="82">
        <v>89.06</v>
      </c>
    </row>
    <row r="102" spans="1:3">
      <c r="A102" s="79">
        <v>44682</v>
      </c>
      <c r="B102" s="82">
        <v>109.26</v>
      </c>
      <c r="C102" s="82">
        <v>96.6</v>
      </c>
    </row>
    <row r="103" spans="1:3">
      <c r="A103" s="79">
        <v>44713</v>
      </c>
      <c r="B103" s="82">
        <v>114.34</v>
      </c>
      <c r="C103" s="82">
        <v>101.17</v>
      </c>
    </row>
    <row r="104" spans="1:3">
      <c r="A104" s="79">
        <v>44743</v>
      </c>
      <c r="B104" s="82">
        <v>99.38</v>
      </c>
      <c r="C104" s="82">
        <v>80.44</v>
      </c>
    </row>
    <row r="105" spans="1:3">
      <c r="A105" s="79">
        <v>44774</v>
      </c>
      <c r="B105" s="82">
        <v>91.48</v>
      </c>
      <c r="C105" s="82">
        <v>70.45</v>
      </c>
    </row>
    <row r="106" spans="1:3">
      <c r="A106" s="79">
        <v>44805</v>
      </c>
      <c r="B106" s="82">
        <v>83.8</v>
      </c>
      <c r="C106" s="82">
        <v>64.180000000000007</v>
      </c>
    </row>
    <row r="107" spans="1:3">
      <c r="A107" s="79">
        <v>44835</v>
      </c>
      <c r="B107" s="82">
        <v>87.03</v>
      </c>
      <c r="C107" s="82">
        <v>66.38</v>
      </c>
    </row>
    <row r="108" spans="1:3">
      <c r="A108" s="79">
        <v>44866</v>
      </c>
      <c r="B108" s="82">
        <v>84.39</v>
      </c>
      <c r="C108" s="82">
        <v>57.44</v>
      </c>
    </row>
    <row r="109" spans="1:3">
      <c r="A109" s="79">
        <v>44896</v>
      </c>
      <c r="B109" s="82">
        <v>76.52</v>
      </c>
      <c r="C109" s="82">
        <v>47.14</v>
      </c>
    </row>
    <row r="110" spans="1:3">
      <c r="A110" s="79">
        <v>44927</v>
      </c>
      <c r="B110" s="82">
        <v>78.16</v>
      </c>
      <c r="C110" s="82">
        <v>49.94</v>
      </c>
    </row>
    <row r="111" spans="1:3">
      <c r="A111" s="79">
        <v>44958</v>
      </c>
      <c r="B111" s="82">
        <v>76.86</v>
      </c>
      <c r="C111" s="82">
        <v>51.16</v>
      </c>
    </row>
    <row r="112" spans="1:3">
      <c r="A112" s="79">
        <v>44986</v>
      </c>
      <c r="B112" s="82">
        <v>73.37</v>
      </c>
      <c r="C112" s="82">
        <v>52.99</v>
      </c>
    </row>
    <row r="113" spans="1:3">
      <c r="A113" s="79">
        <v>45017</v>
      </c>
      <c r="B113" s="82">
        <v>79.44</v>
      </c>
      <c r="C113" s="82">
        <v>63.48</v>
      </c>
    </row>
    <row r="114" spans="1:3">
      <c r="A114" s="79">
        <v>45047</v>
      </c>
      <c r="B114" s="82">
        <v>71.62</v>
      </c>
      <c r="C114" s="82">
        <v>56.24</v>
      </c>
    </row>
    <row r="115" spans="1:3">
      <c r="A115" s="79">
        <v>45078</v>
      </c>
      <c r="B115" s="82">
        <v>70.27</v>
      </c>
      <c r="C115" s="82">
        <v>56.42</v>
      </c>
    </row>
    <row r="116" spans="1:3">
      <c r="A116" s="79">
        <v>45108</v>
      </c>
      <c r="B116" s="82">
        <v>76.03</v>
      </c>
      <c r="C116" s="82">
        <v>64.12</v>
      </c>
    </row>
    <row r="117" spans="1:3">
      <c r="A117" s="79">
        <v>45139</v>
      </c>
      <c r="B117" s="82">
        <v>81.319999999999993</v>
      </c>
      <c r="C117" s="82">
        <v>70.13</v>
      </c>
    </row>
    <row r="118" spans="1:3">
      <c r="A118" s="79">
        <v>45170</v>
      </c>
      <c r="B118" s="82">
        <v>89.43</v>
      </c>
      <c r="C118" s="82">
        <v>73.849999999999994</v>
      </c>
    </row>
    <row r="119" spans="1:3">
      <c r="A119" s="79">
        <v>45200</v>
      </c>
      <c r="B119" s="82">
        <v>85.47</v>
      </c>
      <c r="C119" s="82">
        <v>67.23</v>
      </c>
    </row>
    <row r="120" spans="1:3">
      <c r="A120" s="79">
        <v>45231</v>
      </c>
      <c r="B120" s="82">
        <v>77.38</v>
      </c>
      <c r="C120" s="82">
        <v>56.61</v>
      </c>
    </row>
    <row r="121" spans="1:3">
      <c r="A121" s="79">
        <v>45261</v>
      </c>
      <c r="B121" s="82">
        <v>72.12</v>
      </c>
      <c r="C121" s="82">
        <v>45.48</v>
      </c>
    </row>
    <row r="122" spans="1:3">
      <c r="A122" s="79">
        <v>45292</v>
      </c>
      <c r="B122" s="82">
        <v>73.86</v>
      </c>
      <c r="C122" s="82">
        <v>53.77</v>
      </c>
    </row>
    <row r="123" spans="1:3">
      <c r="A123" s="79">
        <v>45323</v>
      </c>
      <c r="B123" s="82">
        <v>76.61</v>
      </c>
      <c r="C123" s="82">
        <v>57.83</v>
      </c>
    </row>
    <row r="124" spans="1:3">
      <c r="A124" s="79">
        <v>45352</v>
      </c>
      <c r="B124" s="82">
        <v>80.41</v>
      </c>
      <c r="C124" s="82">
        <v>61.28</v>
      </c>
    </row>
    <row r="125" spans="1:3">
      <c r="A125" s="79">
        <v>45383</v>
      </c>
      <c r="B125" s="82">
        <v>84.39</v>
      </c>
      <c r="C125" s="82">
        <v>68.650000000000006</v>
      </c>
    </row>
    <row r="126" spans="1:3">
      <c r="A126" s="79">
        <v>45413</v>
      </c>
      <c r="B126" s="82">
        <v>78.62</v>
      </c>
      <c r="C126" s="82">
        <v>65.59</v>
      </c>
    </row>
    <row r="127" spans="1:3">
      <c r="A127" s="79">
        <v>45444</v>
      </c>
      <c r="B127" s="82">
        <v>78.7</v>
      </c>
      <c r="C127" s="82">
        <v>66.83</v>
      </c>
    </row>
    <row r="128" spans="1:3">
      <c r="A128" s="79">
        <v>45474</v>
      </c>
      <c r="B128" s="82">
        <v>80.48</v>
      </c>
      <c r="C128" s="82">
        <v>67.489999999999995</v>
      </c>
    </row>
    <row r="129" spans="1:3">
      <c r="A129" s="79">
        <v>45505</v>
      </c>
      <c r="B129" s="82">
        <v>75.430000000000007</v>
      </c>
      <c r="C129" s="82">
        <v>61.37</v>
      </c>
    </row>
    <row r="130" spans="1:3">
      <c r="A130" s="79">
        <v>45536</v>
      </c>
      <c r="B130" s="82">
        <v>69.37</v>
      </c>
      <c r="C130" s="82">
        <v>55.9</v>
      </c>
    </row>
    <row r="131" spans="1:3">
      <c r="A131" s="79">
        <v>45566</v>
      </c>
      <c r="B131" s="82">
        <v>71.56</v>
      </c>
      <c r="C131" s="82">
        <v>57.86</v>
      </c>
    </row>
    <row r="132" spans="1:3">
      <c r="A132" s="79">
        <v>45597</v>
      </c>
      <c r="B132" s="82">
        <v>69.540000000000006</v>
      </c>
      <c r="C132" s="82">
        <v>57.56</v>
      </c>
    </row>
    <row r="133" spans="1:3">
      <c r="A133" s="79">
        <v>45627</v>
      </c>
      <c r="B133" s="82">
        <v>69.7</v>
      </c>
      <c r="C133" s="82">
        <v>57.76</v>
      </c>
    </row>
    <row r="134" spans="1:3">
      <c r="A134" s="79">
        <v>45658</v>
      </c>
      <c r="B134" s="82">
        <v>70</v>
      </c>
      <c r="C134" s="82">
        <v>57.76</v>
      </c>
    </row>
    <row r="135" spans="1:3">
      <c r="A135" s="79">
        <v>45689</v>
      </c>
      <c r="B135" s="82">
        <v>69.2</v>
      </c>
      <c r="C135" s="82">
        <v>57.05</v>
      </c>
    </row>
    <row r="136" spans="1:3">
      <c r="A136" s="79">
        <v>45717</v>
      </c>
      <c r="B136" s="82">
        <v>70.98</v>
      </c>
      <c r="C136" s="82">
        <v>55.62</v>
      </c>
    </row>
    <row r="137" spans="1:3">
      <c r="A137" s="79">
        <v>45748</v>
      </c>
      <c r="B137" s="82">
        <v>67.59</v>
      </c>
      <c r="C137" s="82">
        <v>50.84</v>
      </c>
    </row>
    <row r="138" spans="1:3">
      <c r="A138" s="79">
        <v>45778</v>
      </c>
      <c r="B138" s="82">
        <v>68.760000000000005</v>
      </c>
      <c r="C138" s="82">
        <v>52.17</v>
      </c>
    </row>
    <row r="139" spans="1:3">
      <c r="A139" s="79">
        <v>45809</v>
      </c>
      <c r="B139" s="82">
        <v>69.040000000000006</v>
      </c>
      <c r="C139" s="82">
        <v>52.7</v>
      </c>
    </row>
    <row r="140" spans="1:3">
      <c r="A140" s="79">
        <v>45839</v>
      </c>
      <c r="B140" s="82">
        <v>69.38</v>
      </c>
      <c r="C140" s="82">
        <v>53.14</v>
      </c>
    </row>
    <row r="141" spans="1:3">
      <c r="A141" s="79">
        <v>45870</v>
      </c>
      <c r="B141" s="82">
        <v>69.040000000000006</v>
      </c>
      <c r="C141" s="82">
        <v>52.98</v>
      </c>
    </row>
    <row r="142" spans="1:3">
      <c r="A142" s="79">
        <v>45901</v>
      </c>
      <c r="B142" s="82">
        <v>68.760000000000005</v>
      </c>
      <c r="C142" s="82">
        <v>52.51</v>
      </c>
    </row>
    <row r="143" spans="1:3">
      <c r="A143" s="79">
        <v>45931</v>
      </c>
      <c r="B143" s="82">
        <v>68.760000000000005</v>
      </c>
      <c r="C143" s="82">
        <v>50.61</v>
      </c>
    </row>
    <row r="144" spans="1:3">
      <c r="A144" s="79">
        <v>45962</v>
      </c>
      <c r="B144" s="82">
        <v>67.31</v>
      </c>
      <c r="C144" s="82">
        <v>48.66</v>
      </c>
    </row>
    <row r="145" spans="1:3">
      <c r="A145" s="79">
        <v>45992</v>
      </c>
      <c r="B145" s="82">
        <v>66.97</v>
      </c>
      <c r="C145" s="82">
        <v>47.81</v>
      </c>
    </row>
    <row r="146" spans="1:3">
      <c r="A146" s="79">
        <v>46023</v>
      </c>
      <c r="B146" s="82">
        <v>66.97</v>
      </c>
      <c r="C146" s="82">
        <v>49.15</v>
      </c>
    </row>
    <row r="147" spans="1:3">
      <c r="A147" s="79">
        <v>46054</v>
      </c>
      <c r="B147" s="82">
        <v>66.48</v>
      </c>
      <c r="C147" s="82">
        <v>49.28</v>
      </c>
    </row>
    <row r="148" spans="1:3">
      <c r="A148" s="79">
        <v>46082</v>
      </c>
      <c r="B148" s="82">
        <v>66.97</v>
      </c>
      <c r="C148" s="82">
        <v>50.83</v>
      </c>
    </row>
    <row r="149" spans="1:3">
      <c r="A149" s="79">
        <v>46113</v>
      </c>
      <c r="B149" s="82">
        <v>70.569999999999993</v>
      </c>
      <c r="C149" s="82">
        <v>53.87</v>
      </c>
    </row>
    <row r="150" spans="1:3">
      <c r="A150" s="79">
        <v>46143</v>
      </c>
      <c r="B150" s="82">
        <v>71.78</v>
      </c>
      <c r="C150" s="82">
        <v>55.97</v>
      </c>
    </row>
    <row r="151" spans="1:3">
      <c r="A151" s="79">
        <v>46174</v>
      </c>
      <c r="B151" s="82">
        <v>72.069999999999993</v>
      </c>
      <c r="C151" s="82">
        <v>56.38</v>
      </c>
    </row>
    <row r="152" spans="1:3">
      <c r="A152" s="79">
        <v>46204</v>
      </c>
      <c r="B152" s="82">
        <v>72.42</v>
      </c>
      <c r="C152" s="82">
        <v>57.03</v>
      </c>
    </row>
    <row r="153" spans="1:3">
      <c r="A153" s="79">
        <v>46235</v>
      </c>
      <c r="B153" s="82">
        <v>72.069999999999993</v>
      </c>
      <c r="C153" s="82">
        <v>56.85</v>
      </c>
    </row>
    <row r="154" spans="1:3">
      <c r="A154" s="79">
        <v>46266</v>
      </c>
      <c r="B154" s="82">
        <v>71.78</v>
      </c>
      <c r="C154" s="82">
        <v>56.65</v>
      </c>
    </row>
    <row r="155" spans="1:3">
      <c r="A155" s="79">
        <v>46296</v>
      </c>
      <c r="B155" s="82">
        <v>71.78</v>
      </c>
      <c r="C155" s="82">
        <v>54.52</v>
      </c>
    </row>
    <row r="156" spans="1:3">
      <c r="A156" s="79">
        <v>46327</v>
      </c>
      <c r="B156" s="82">
        <v>70.290000000000006</v>
      </c>
      <c r="C156" s="82">
        <v>52.9</v>
      </c>
    </row>
    <row r="157" spans="1:3">
      <c r="A157" s="79">
        <v>46357</v>
      </c>
      <c r="B157" s="82">
        <v>69.94</v>
      </c>
      <c r="C157" s="82">
        <v>52.41</v>
      </c>
    </row>
    <row r="158" spans="1:3">
      <c r="A158" s="79">
        <v>46388</v>
      </c>
      <c r="B158" s="82">
        <v>69.94</v>
      </c>
      <c r="C158" s="82">
        <v>52.18</v>
      </c>
    </row>
    <row r="159" spans="1:3">
      <c r="A159" s="79">
        <v>46419</v>
      </c>
      <c r="B159" s="82">
        <v>69.44</v>
      </c>
      <c r="C159" s="82">
        <v>51.83</v>
      </c>
    </row>
    <row r="160" spans="1:3">
      <c r="A160" s="79">
        <v>46447</v>
      </c>
      <c r="B160" s="82">
        <v>69.94</v>
      </c>
      <c r="C160" s="82">
        <v>53.39</v>
      </c>
    </row>
    <row r="161" spans="1:3">
      <c r="A161" s="79">
        <v>46478</v>
      </c>
      <c r="B161" s="82">
        <v>71.069999999999993</v>
      </c>
      <c r="C161" s="82">
        <v>56.43</v>
      </c>
    </row>
    <row r="162" spans="1:3">
      <c r="A162" s="79">
        <v>46508</v>
      </c>
      <c r="B162" s="82">
        <v>72.290000000000006</v>
      </c>
      <c r="C162" s="82">
        <v>57.77</v>
      </c>
    </row>
    <row r="163" spans="1:3">
      <c r="A163" s="79">
        <v>46539</v>
      </c>
      <c r="B163" s="82">
        <v>72.569999999999993</v>
      </c>
      <c r="C163" s="82">
        <v>58.19</v>
      </c>
    </row>
    <row r="164" spans="1:3">
      <c r="A164" s="79">
        <v>46569</v>
      </c>
      <c r="B164" s="82">
        <v>72.930000000000007</v>
      </c>
      <c r="C164" s="82">
        <v>58.84</v>
      </c>
    </row>
    <row r="165" spans="1:3">
      <c r="A165" s="79">
        <v>46600</v>
      </c>
      <c r="B165" s="82">
        <v>72.569999999999993</v>
      </c>
      <c r="C165" s="82">
        <v>58.65</v>
      </c>
    </row>
    <row r="166" spans="1:3">
      <c r="A166" s="79">
        <v>46631</v>
      </c>
      <c r="B166" s="82">
        <v>72.290000000000006</v>
      </c>
      <c r="C166" s="82">
        <v>56.92</v>
      </c>
    </row>
    <row r="167" spans="1:3">
      <c r="A167" s="79">
        <v>46661</v>
      </c>
      <c r="B167" s="82">
        <v>72.290000000000006</v>
      </c>
      <c r="C167" s="82">
        <v>55.76</v>
      </c>
    </row>
    <row r="168" spans="1:3">
      <c r="A168" s="79">
        <v>46692</v>
      </c>
      <c r="B168" s="82">
        <v>70.790000000000006</v>
      </c>
      <c r="C168" s="82">
        <v>54.13</v>
      </c>
    </row>
    <row r="169" spans="1:3">
      <c r="A169" s="79">
        <v>46722</v>
      </c>
      <c r="B169" s="82">
        <v>70.430000000000007</v>
      </c>
      <c r="C169" s="82">
        <v>53.63</v>
      </c>
    </row>
    <row r="170" spans="1:3">
      <c r="A170" s="79">
        <v>46753</v>
      </c>
      <c r="B170" s="82">
        <v>70.430000000000007</v>
      </c>
      <c r="C170" s="82">
        <v>53.27</v>
      </c>
    </row>
    <row r="171" spans="1:3">
      <c r="A171" s="79">
        <v>46784</v>
      </c>
      <c r="B171" s="82">
        <v>69.930000000000007</v>
      </c>
      <c r="C171" s="82">
        <v>52.92</v>
      </c>
    </row>
    <row r="172" spans="1:3">
      <c r="A172" s="79">
        <v>46813</v>
      </c>
      <c r="B172" s="82">
        <v>70.430000000000007</v>
      </c>
      <c r="C172" s="82">
        <v>54.52</v>
      </c>
    </row>
    <row r="175" spans="1:3">
      <c r="A175" s="63" t="s">
        <v>265</v>
      </c>
    </row>
  </sheetData>
  <pageMargins left="0.7" right="0.7" top="0.75" bottom="0.75" header="0.3" footer="0.3"/>
  <headerFooter>
    <oddFooter>&amp;L_x000D_&amp;1#&amp;"Calibri"&amp;11&amp;K000000 Classification: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0DA80-9641-4A67-9D7F-026EF133C0E0}">
  <sheetPr>
    <tabColor rgb="FF92D050"/>
  </sheetPr>
  <dimension ref="A1:H27"/>
  <sheetViews>
    <sheetView zoomScaleNormal="100" workbookViewId="0">
      <selection activeCell="K12" sqref="K12"/>
    </sheetView>
  </sheetViews>
  <sheetFormatPr defaultColWidth="10.85546875" defaultRowHeight="15.75"/>
  <cols>
    <col min="1" max="4" width="12.7109375" style="63" customWidth="1"/>
    <col min="5" max="16384" width="10.85546875" style="63"/>
  </cols>
  <sheetData>
    <row r="1" spans="1:8">
      <c r="A1" s="1" t="s">
        <v>318</v>
      </c>
    </row>
    <row r="3" spans="1:8" ht="47.25">
      <c r="A3" s="218"/>
      <c r="B3" s="218" t="s">
        <v>347</v>
      </c>
      <c r="C3" s="218" t="s">
        <v>348</v>
      </c>
      <c r="D3" s="218" t="s">
        <v>349</v>
      </c>
    </row>
    <row r="4" spans="1:8">
      <c r="A4" s="68" t="s">
        <v>10</v>
      </c>
      <c r="B4" s="78">
        <v>27329</v>
      </c>
      <c r="C4" s="78">
        <v>25288</v>
      </c>
      <c r="D4" s="78">
        <v>2441</v>
      </c>
      <c r="F4" s="215"/>
      <c r="G4" s="215"/>
      <c r="H4" s="215"/>
    </row>
    <row r="5" spans="1:8">
      <c r="A5" s="68" t="s">
        <v>11</v>
      </c>
      <c r="B5" s="78">
        <v>29971</v>
      </c>
      <c r="C5" s="78">
        <v>26748</v>
      </c>
      <c r="D5" s="78">
        <v>2616</v>
      </c>
      <c r="F5" s="215"/>
      <c r="G5" s="215"/>
      <c r="H5" s="215"/>
    </row>
    <row r="6" spans="1:8">
      <c r="A6" s="68" t="s">
        <v>12</v>
      </c>
      <c r="B6" s="78">
        <v>36124</v>
      </c>
      <c r="C6" s="78">
        <v>27014</v>
      </c>
      <c r="D6" s="78">
        <v>2839</v>
      </c>
      <c r="F6" s="215"/>
      <c r="G6" s="215"/>
      <c r="H6" s="215"/>
    </row>
    <row r="7" spans="1:8">
      <c r="A7" s="68" t="s">
        <v>13</v>
      </c>
      <c r="B7" s="78">
        <v>24253</v>
      </c>
      <c r="C7" s="78">
        <v>17160</v>
      </c>
      <c r="D7" s="78">
        <v>2997</v>
      </c>
      <c r="F7" s="215"/>
      <c r="G7" s="215"/>
      <c r="H7" s="215"/>
    </row>
    <row r="8" spans="1:8">
      <c r="A8" s="68" t="s">
        <v>14</v>
      </c>
      <c r="B8" s="78">
        <v>17184</v>
      </c>
      <c r="C8" s="78">
        <v>12088</v>
      </c>
      <c r="D8" s="78">
        <v>2930</v>
      </c>
      <c r="F8" s="215"/>
      <c r="G8" s="215"/>
      <c r="H8" s="215"/>
    </row>
    <row r="9" spans="1:8">
      <c r="A9" s="68" t="s">
        <v>15</v>
      </c>
      <c r="B9" s="78">
        <v>14513</v>
      </c>
      <c r="C9" s="78">
        <v>16569</v>
      </c>
      <c r="D9" s="78">
        <v>3224</v>
      </c>
      <c r="F9" s="215"/>
      <c r="G9" s="215"/>
      <c r="H9" s="215"/>
    </row>
    <row r="10" spans="1:8">
      <c r="A10" s="68" t="s">
        <v>16</v>
      </c>
      <c r="B10" s="78">
        <v>12003</v>
      </c>
      <c r="C10" s="78">
        <v>17400</v>
      </c>
      <c r="D10" s="78">
        <v>3491</v>
      </c>
      <c r="F10" s="215"/>
      <c r="G10" s="215"/>
      <c r="H10" s="215"/>
    </row>
    <row r="11" spans="1:8">
      <c r="A11" s="68" t="s">
        <v>17</v>
      </c>
      <c r="B11" s="78">
        <v>10544</v>
      </c>
      <c r="C11" s="78">
        <v>15747</v>
      </c>
      <c r="D11" s="78">
        <v>3531</v>
      </c>
      <c r="F11" s="215"/>
      <c r="G11" s="215"/>
      <c r="H11" s="215"/>
    </row>
    <row r="12" spans="1:8">
      <c r="A12" s="68" t="s">
        <v>18</v>
      </c>
      <c r="B12" s="78">
        <v>7574</v>
      </c>
      <c r="C12" s="78">
        <v>9900</v>
      </c>
      <c r="D12" s="78">
        <v>3353</v>
      </c>
      <c r="F12" s="215"/>
      <c r="G12" s="215"/>
      <c r="H12" s="215"/>
    </row>
    <row r="13" spans="1:8">
      <c r="A13" s="68" t="s">
        <v>19</v>
      </c>
      <c r="B13" s="78">
        <v>9086</v>
      </c>
      <c r="C13" s="78">
        <v>10411</v>
      </c>
      <c r="D13" s="78">
        <v>3638</v>
      </c>
      <c r="F13" s="215"/>
      <c r="G13" s="215"/>
      <c r="H13" s="215"/>
    </row>
    <row r="14" spans="1:8">
      <c r="A14" s="68" t="s">
        <v>20</v>
      </c>
      <c r="B14" s="78">
        <v>18551</v>
      </c>
      <c r="C14" s="78">
        <v>14379</v>
      </c>
      <c r="D14" s="78">
        <v>3725</v>
      </c>
      <c r="F14" s="215"/>
      <c r="G14" s="215"/>
      <c r="H14" s="215"/>
    </row>
    <row r="15" spans="1:8">
      <c r="A15" s="68" t="s">
        <v>30</v>
      </c>
      <c r="B15" s="78">
        <v>17529</v>
      </c>
      <c r="C15" s="78">
        <v>15987</v>
      </c>
      <c r="D15" s="78">
        <v>3811</v>
      </c>
      <c r="F15" s="215"/>
      <c r="G15" s="215"/>
      <c r="H15" s="215"/>
    </row>
    <row r="16" spans="1:8">
      <c r="A16" s="68" t="s">
        <v>266</v>
      </c>
      <c r="B16" s="78">
        <v>18531</v>
      </c>
      <c r="C16" s="78">
        <v>17136</v>
      </c>
      <c r="D16" s="78">
        <v>3946</v>
      </c>
      <c r="F16" s="215"/>
      <c r="G16" s="215"/>
      <c r="H16" s="215"/>
    </row>
    <row r="17" spans="1:8">
      <c r="A17" s="68" t="s">
        <v>2</v>
      </c>
      <c r="B17" s="78">
        <v>20103</v>
      </c>
      <c r="C17" s="78">
        <v>17928</v>
      </c>
      <c r="D17" s="78">
        <v>4042</v>
      </c>
      <c r="F17" s="215"/>
      <c r="G17" s="215"/>
      <c r="H17" s="215"/>
    </row>
    <row r="18" spans="1:8">
      <c r="A18" s="68" t="s">
        <v>3</v>
      </c>
      <c r="B18" s="78">
        <v>21137</v>
      </c>
      <c r="C18" s="78">
        <v>18825</v>
      </c>
      <c r="D18" s="78">
        <v>4180</v>
      </c>
      <c r="F18" s="215"/>
      <c r="G18" s="215"/>
      <c r="H18" s="215"/>
    </row>
    <row r="19" spans="1:8">
      <c r="A19" s="68" t="s">
        <v>4</v>
      </c>
      <c r="B19" s="78">
        <v>22165</v>
      </c>
      <c r="C19" s="78">
        <v>19726</v>
      </c>
      <c r="D19" s="78">
        <v>4262</v>
      </c>
      <c r="F19" s="215"/>
      <c r="G19" s="215"/>
      <c r="H19" s="215"/>
    </row>
    <row r="20" spans="1:8">
      <c r="A20" s="68" t="s">
        <v>5</v>
      </c>
      <c r="B20" s="78">
        <v>23148</v>
      </c>
      <c r="C20" s="78">
        <v>20544</v>
      </c>
      <c r="D20" s="78">
        <v>4275</v>
      </c>
      <c r="F20" s="215"/>
      <c r="G20" s="215"/>
      <c r="H20" s="215"/>
    </row>
    <row r="21" spans="1:8">
      <c r="A21" s="68"/>
      <c r="B21" s="71"/>
    </row>
    <row r="22" spans="1:8">
      <c r="A22" s="68"/>
      <c r="B22" s="71"/>
    </row>
    <row r="23" spans="1:8">
      <c r="A23" s="68" t="s">
        <v>267</v>
      </c>
      <c r="B23" s="71"/>
    </row>
    <row r="24" spans="1:8">
      <c r="A24" s="68"/>
      <c r="B24" s="71"/>
    </row>
    <row r="25" spans="1:8">
      <c r="A25" s="68"/>
    </row>
    <row r="26" spans="1:8">
      <c r="A26" s="68"/>
    </row>
    <row r="27" spans="1:8">
      <c r="A27" s="68"/>
    </row>
  </sheetData>
  <pageMargins left="0.7" right="0.7" top="0.75" bottom="0.75" header="0.3" footer="0.3"/>
  <headerFooter>
    <oddFooter>&amp;L_x000D_&amp;1#&amp;"Calibri"&amp;11&amp;K000000 Classification: Public</oddFooter>
  </headerFooter>
  <ignoredErrors>
    <ignoredError sqref="A4:A20"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E4BB6-3B19-454D-8D9A-6BAE37F139EA}">
  <sheetPr>
    <tabColor rgb="FF92D050"/>
  </sheetPr>
  <dimension ref="A1:F16"/>
  <sheetViews>
    <sheetView zoomScaleNormal="100" workbookViewId="0">
      <selection activeCell="H18" sqref="H18"/>
    </sheetView>
  </sheetViews>
  <sheetFormatPr defaultColWidth="9.140625" defaultRowHeight="15.75"/>
  <cols>
    <col min="1" max="1" width="38.85546875" style="63" customWidth="1"/>
    <col min="2" max="3" width="12.7109375" style="63" customWidth="1"/>
    <col min="4" max="4" width="9.140625" style="63"/>
    <col min="5" max="5" width="17.140625" style="63" bestFit="1" customWidth="1"/>
    <col min="6" max="6" width="16" style="63" bestFit="1" customWidth="1"/>
    <col min="7" max="16384" width="9.140625" style="63"/>
  </cols>
  <sheetData>
    <row r="1" spans="1:6">
      <c r="A1" s="1" t="s">
        <v>319</v>
      </c>
    </row>
    <row r="3" spans="1:6" ht="47.25">
      <c r="A3" s="69" t="s">
        <v>26</v>
      </c>
      <c r="B3" s="223" t="s">
        <v>366</v>
      </c>
      <c r="C3" s="223" t="s">
        <v>367</v>
      </c>
      <c r="E3" s="234" t="s">
        <v>364</v>
      </c>
    </row>
    <row r="4" spans="1:6">
      <c r="A4" s="68" t="s">
        <v>268</v>
      </c>
      <c r="B4" s="219">
        <v>3798291.7</v>
      </c>
      <c r="C4" s="219">
        <v>779092.3</v>
      </c>
      <c r="E4" s="232">
        <f>B4*1000000</f>
        <v>3798291700000</v>
      </c>
    </row>
    <row r="5" spans="1:6">
      <c r="A5" s="68" t="s">
        <v>269</v>
      </c>
      <c r="B5" s="219">
        <v>2225999.2999999998</v>
      </c>
      <c r="C5" s="219">
        <v>428143.7</v>
      </c>
      <c r="E5" s="233">
        <f>B4/1000</f>
        <v>3798.2917000000002</v>
      </c>
      <c r="F5" s="233">
        <f>E5*1000000</f>
        <v>3798291700</v>
      </c>
    </row>
    <row r="6" spans="1:6">
      <c r="A6" s="68" t="s">
        <v>270</v>
      </c>
      <c r="B6" s="219">
        <v>1301960.7</v>
      </c>
      <c r="C6" s="219">
        <v>705628.8</v>
      </c>
    </row>
    <row r="7" spans="1:6">
      <c r="A7" s="68" t="s">
        <v>271</v>
      </c>
      <c r="B7" s="219">
        <v>715544.8</v>
      </c>
      <c r="C7" s="219">
        <v>900303.6</v>
      </c>
    </row>
    <row r="8" spans="1:6">
      <c r="A8" s="68" t="s">
        <v>272</v>
      </c>
      <c r="B8" s="219">
        <v>1306062.1000000001</v>
      </c>
      <c r="C8" s="219">
        <v>2</v>
      </c>
    </row>
    <row r="9" spans="1:6">
      <c r="A9" s="68" t="s">
        <v>273</v>
      </c>
      <c r="B9" s="219">
        <v>1281403.3999999999</v>
      </c>
      <c r="C9" s="219">
        <v>2255.9</v>
      </c>
    </row>
    <row r="10" spans="1:6">
      <c r="A10" s="68" t="s">
        <v>274</v>
      </c>
      <c r="B10" s="219">
        <v>1027920.1</v>
      </c>
      <c r="C10" s="219">
        <v>79251.8</v>
      </c>
    </row>
    <row r="11" spans="1:6">
      <c r="A11" s="68" t="s">
        <v>275</v>
      </c>
      <c r="B11" s="219">
        <v>953630.6</v>
      </c>
      <c r="C11" s="219">
        <v>77643.899999999994</v>
      </c>
    </row>
    <row r="12" spans="1:6">
      <c r="A12" s="68" t="s">
        <v>276</v>
      </c>
      <c r="B12" s="219">
        <v>942859.3</v>
      </c>
      <c r="C12" s="219">
        <v>43982.6</v>
      </c>
    </row>
    <row r="13" spans="1:6">
      <c r="A13" s="68" t="s">
        <v>277</v>
      </c>
      <c r="B13" s="219">
        <v>802075.2</v>
      </c>
      <c r="C13" s="219">
        <v>53024.4</v>
      </c>
    </row>
    <row r="16" spans="1:6">
      <c r="A16" s="68" t="s">
        <v>278</v>
      </c>
    </row>
  </sheetData>
  <pageMargins left="0.7" right="0.7" top="0.75" bottom="0.75" header="0.3" footer="0.3"/>
  <headerFooter>
    <oddFooter>&amp;L_x000D_&amp;1#&amp;"Calibri"&amp;11&amp;K000000 Classification: Public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AA917-BEC9-4B88-8B98-F9475DC4BFD9}">
  <sheetPr>
    <tabColor rgb="FF92D050"/>
  </sheetPr>
  <dimension ref="A1:H29"/>
  <sheetViews>
    <sheetView zoomScaleNormal="100" workbookViewId="0">
      <selection activeCell="B3" sqref="B3"/>
    </sheetView>
  </sheetViews>
  <sheetFormatPr defaultColWidth="9.140625" defaultRowHeight="15.75"/>
  <cols>
    <col min="1" max="2" width="12.7109375" style="63" customWidth="1"/>
    <col min="3" max="16384" width="9.140625" style="63"/>
  </cols>
  <sheetData>
    <row r="1" spans="1:8">
      <c r="A1" s="1" t="s">
        <v>320</v>
      </c>
    </row>
    <row r="3" spans="1:8" ht="47.25">
      <c r="A3" s="69" t="s">
        <v>23</v>
      </c>
      <c r="B3" s="223" t="s">
        <v>350</v>
      </c>
    </row>
    <row r="4" spans="1:8">
      <c r="A4" s="70">
        <v>2014</v>
      </c>
      <c r="B4" s="83">
        <v>39.619</v>
      </c>
      <c r="H4" s="84"/>
    </row>
    <row r="5" spans="1:8">
      <c r="A5" s="70">
        <v>2015</v>
      </c>
      <c r="B5" s="83">
        <v>33.786999999999999</v>
      </c>
      <c r="H5" s="84"/>
    </row>
    <row r="6" spans="1:8">
      <c r="A6" s="70">
        <v>2016</v>
      </c>
      <c r="B6" s="83">
        <v>29.01499999999999</v>
      </c>
      <c r="H6" s="84"/>
    </row>
    <row r="7" spans="1:8">
      <c r="A7" s="70">
        <v>2017</v>
      </c>
      <c r="B7" s="83">
        <v>27.611000000000011</v>
      </c>
      <c r="H7" s="84"/>
    </row>
    <row r="8" spans="1:8">
      <c r="A8" s="70">
        <v>2018</v>
      </c>
      <c r="B8" s="83">
        <v>30.030000000000008</v>
      </c>
      <c r="H8" s="84"/>
    </row>
    <row r="9" spans="1:8">
      <c r="A9" s="70">
        <v>2019</v>
      </c>
      <c r="B9" s="83">
        <v>30.463000000000005</v>
      </c>
      <c r="H9" s="84"/>
    </row>
    <row r="10" spans="1:8">
      <c r="A10" s="70">
        <v>2020</v>
      </c>
      <c r="B10" s="83">
        <v>28.04</v>
      </c>
      <c r="H10" s="84"/>
    </row>
    <row r="11" spans="1:8">
      <c r="A11" s="70">
        <v>2021</v>
      </c>
      <c r="B11" s="83">
        <v>31.855</v>
      </c>
      <c r="H11" s="84"/>
    </row>
    <row r="12" spans="1:8">
      <c r="A12" s="70">
        <v>2022</v>
      </c>
      <c r="B12" s="83">
        <v>29.640000000000008</v>
      </c>
      <c r="H12" s="84"/>
    </row>
    <row r="13" spans="1:8">
      <c r="A13" s="70">
        <v>2023</v>
      </c>
      <c r="B13" s="83">
        <v>28.137000000000011</v>
      </c>
      <c r="H13" s="84"/>
    </row>
    <row r="14" spans="1:8">
      <c r="A14" s="70" t="s">
        <v>266</v>
      </c>
      <c r="B14" s="83">
        <v>27.010999999999999</v>
      </c>
      <c r="H14" s="84"/>
    </row>
    <row r="15" spans="1:8">
      <c r="A15" s="70" t="s">
        <v>2</v>
      </c>
      <c r="B15" s="83">
        <v>27.091999999999999</v>
      </c>
      <c r="H15" s="84"/>
    </row>
    <row r="16" spans="1:8">
      <c r="A16" s="70" t="s">
        <v>3</v>
      </c>
      <c r="B16" s="83">
        <v>28.256</v>
      </c>
      <c r="H16" s="84"/>
    </row>
    <row r="17" spans="1:8">
      <c r="A17" s="70" t="s">
        <v>4</v>
      </c>
      <c r="B17" s="83">
        <v>29.725000000000001</v>
      </c>
      <c r="H17" s="84"/>
    </row>
    <row r="18" spans="1:8">
      <c r="A18" s="70" t="s">
        <v>5</v>
      </c>
      <c r="B18" s="83">
        <v>31.451000000000001</v>
      </c>
      <c r="H18" s="84"/>
    </row>
    <row r="19" spans="1:8">
      <c r="A19" s="70"/>
      <c r="B19" s="83"/>
      <c r="H19" s="84"/>
    </row>
    <row r="20" spans="1:8">
      <c r="A20" s="70"/>
      <c r="B20" s="83"/>
      <c r="H20" s="84"/>
    </row>
    <row r="21" spans="1:8">
      <c r="A21" s="63" t="s">
        <v>22</v>
      </c>
      <c r="B21" s="78"/>
    </row>
    <row r="22" spans="1:8">
      <c r="A22" s="70"/>
      <c r="B22" s="83"/>
      <c r="H22" s="84"/>
    </row>
    <row r="23" spans="1:8">
      <c r="A23" s="70"/>
      <c r="B23" s="71"/>
      <c r="D23" s="84"/>
      <c r="E23" s="84"/>
      <c r="F23" s="84"/>
      <c r="G23" s="84"/>
      <c r="H23" s="84"/>
    </row>
    <row r="24" spans="1:8">
      <c r="A24" s="70"/>
      <c r="B24" s="71"/>
      <c r="D24" s="84"/>
      <c r="E24" s="84"/>
      <c r="F24" s="84"/>
      <c r="G24" s="84"/>
      <c r="H24" s="84"/>
    </row>
    <row r="25" spans="1:8">
      <c r="A25" s="70"/>
      <c r="B25" s="71"/>
      <c r="D25" s="84"/>
      <c r="E25" s="84"/>
      <c r="F25" s="84"/>
      <c r="G25" s="84"/>
      <c r="H25" s="84"/>
    </row>
    <row r="26" spans="1:8">
      <c r="A26" s="70"/>
      <c r="B26" s="71"/>
      <c r="D26" s="84"/>
      <c r="E26" s="84"/>
      <c r="F26" s="84"/>
      <c r="G26" s="84"/>
      <c r="H26" s="84"/>
    </row>
    <row r="27" spans="1:8">
      <c r="A27" s="70"/>
    </row>
    <row r="29" spans="1:8">
      <c r="A29" s="68"/>
    </row>
  </sheetData>
  <pageMargins left="0.7" right="0.7" top="0.75" bottom="0.75" header="0.3" footer="0.3"/>
  <headerFooter>
    <oddFooter>&amp;L_x000D_&amp;1#&amp;"Calibri"&amp;11&amp;K000000 Classification: Public</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02F75-3BBC-460B-A771-136F46C35581}">
  <sheetPr>
    <tabColor rgb="FF92D050"/>
  </sheetPr>
  <dimension ref="A1:E110"/>
  <sheetViews>
    <sheetView topLeftCell="A3" zoomScaleNormal="100" workbookViewId="0">
      <selection activeCell="A14" sqref="A14"/>
    </sheetView>
  </sheetViews>
  <sheetFormatPr defaultColWidth="9.140625" defaultRowHeight="15.75"/>
  <cols>
    <col min="1" max="2" width="12.7109375" style="63" customWidth="1"/>
    <col min="3" max="16384" width="9.140625" style="63"/>
  </cols>
  <sheetData>
    <row r="1" spans="1:5">
      <c r="A1" s="1" t="s">
        <v>321</v>
      </c>
    </row>
    <row r="3" spans="1:5" ht="47.25">
      <c r="A3" s="69" t="s">
        <v>23</v>
      </c>
      <c r="B3" s="69" t="s">
        <v>280</v>
      </c>
    </row>
    <row r="4" spans="1:5">
      <c r="A4" s="85">
        <v>2014</v>
      </c>
      <c r="B4" s="78">
        <v>79</v>
      </c>
      <c r="E4" s="118"/>
    </row>
    <row r="5" spans="1:5">
      <c r="A5" s="85">
        <v>2015</v>
      </c>
      <c r="B5" s="78">
        <v>20</v>
      </c>
      <c r="E5" s="118"/>
    </row>
    <row r="6" spans="1:5">
      <c r="A6" s="85">
        <v>2016</v>
      </c>
      <c r="B6" s="78">
        <v>16</v>
      </c>
      <c r="E6" s="118"/>
    </row>
    <row r="7" spans="1:5">
      <c r="A7" s="85">
        <v>2017</v>
      </c>
      <c r="B7" s="78">
        <v>41</v>
      </c>
      <c r="E7" s="118"/>
    </row>
    <row r="8" spans="1:5">
      <c r="A8" s="85">
        <v>2018</v>
      </c>
      <c r="B8" s="78">
        <v>48</v>
      </c>
      <c r="E8" s="118"/>
    </row>
    <row r="9" spans="1:5">
      <c r="A9" s="85">
        <v>2019</v>
      </c>
      <c r="B9" s="78">
        <v>50</v>
      </c>
      <c r="E9" s="118"/>
    </row>
    <row r="10" spans="1:5">
      <c r="A10" s="85">
        <v>2020</v>
      </c>
      <c r="B10" s="78">
        <v>24</v>
      </c>
      <c r="E10" s="118"/>
    </row>
    <row r="11" spans="1:5">
      <c r="A11" s="85">
        <v>2021</v>
      </c>
      <c r="B11" s="78">
        <v>86</v>
      </c>
      <c r="E11" s="118"/>
    </row>
    <row r="12" spans="1:5">
      <c r="A12" s="85">
        <v>2022</v>
      </c>
      <c r="B12" s="78">
        <v>150</v>
      </c>
      <c r="E12" s="118"/>
    </row>
    <row r="13" spans="1:5">
      <c r="A13" s="85">
        <v>2023</v>
      </c>
      <c r="B13" s="78">
        <v>110</v>
      </c>
      <c r="E13" s="118"/>
    </row>
    <row r="14" spans="1:5">
      <c r="A14" s="86" t="s">
        <v>266</v>
      </c>
      <c r="B14" s="78">
        <v>110</v>
      </c>
      <c r="E14" s="118"/>
    </row>
    <row r="15" spans="1:5">
      <c r="A15" s="86" t="s">
        <v>2</v>
      </c>
      <c r="B15" s="78">
        <v>100</v>
      </c>
      <c r="E15" s="118"/>
    </row>
    <row r="16" spans="1:5">
      <c r="A16" s="86" t="s">
        <v>3</v>
      </c>
      <c r="B16" s="78">
        <v>101</v>
      </c>
      <c r="E16" s="118"/>
    </row>
    <row r="17" spans="1:5">
      <c r="A17" s="86" t="s">
        <v>4</v>
      </c>
      <c r="B17" s="78">
        <v>104</v>
      </c>
      <c r="E17" s="118"/>
    </row>
    <row r="18" spans="1:5">
      <c r="A18" s="86" t="s">
        <v>5</v>
      </c>
      <c r="B18" s="78">
        <v>108</v>
      </c>
      <c r="E18" s="118"/>
    </row>
    <row r="19" spans="1:5">
      <c r="A19" s="86" t="s">
        <v>279</v>
      </c>
      <c r="B19" s="78">
        <v>112</v>
      </c>
      <c r="E19" s="118"/>
    </row>
    <row r="20" spans="1:5">
      <c r="A20" s="86"/>
      <c r="B20" s="78"/>
    </row>
    <row r="21" spans="1:5">
      <c r="A21" s="86"/>
      <c r="B21" s="78"/>
    </row>
    <row r="22" spans="1:5">
      <c r="A22" s="86"/>
      <c r="B22" s="78"/>
    </row>
    <row r="23" spans="1:5">
      <c r="A23" s="63" t="s">
        <v>267</v>
      </c>
      <c r="B23" s="78"/>
    </row>
    <row r="24" spans="1:5">
      <c r="A24" s="63" t="s">
        <v>32</v>
      </c>
      <c r="B24" s="78"/>
    </row>
    <row r="25" spans="1:5">
      <c r="A25" s="86"/>
      <c r="B25" s="78"/>
    </row>
    <row r="26" spans="1:5">
      <c r="A26" s="86"/>
      <c r="B26" s="78"/>
    </row>
    <row r="27" spans="1:5">
      <c r="A27" s="86"/>
      <c r="B27" s="78"/>
    </row>
    <row r="28" spans="1:5">
      <c r="A28" s="86"/>
      <c r="B28" s="78"/>
    </row>
    <row r="29" spans="1:5">
      <c r="A29" s="86"/>
      <c r="B29" s="78"/>
    </row>
    <row r="30" spans="1:5">
      <c r="A30" s="86"/>
      <c r="B30" s="78"/>
    </row>
    <row r="31" spans="1:5">
      <c r="A31" s="86"/>
      <c r="B31" s="78"/>
    </row>
    <row r="32" spans="1:5">
      <c r="A32" s="86"/>
      <c r="B32" s="78"/>
    </row>
    <row r="33" spans="1:2">
      <c r="A33" s="86"/>
      <c r="B33" s="78"/>
    </row>
    <row r="34" spans="1:2">
      <c r="A34" s="86"/>
      <c r="B34" s="78"/>
    </row>
    <row r="35" spans="1:2">
      <c r="A35" s="86"/>
      <c r="B35" s="78"/>
    </row>
    <row r="36" spans="1:2">
      <c r="A36" s="86"/>
      <c r="B36" s="78"/>
    </row>
    <row r="37" spans="1:2">
      <c r="A37" s="86"/>
      <c r="B37" s="78"/>
    </row>
    <row r="38" spans="1:2">
      <c r="A38" s="86"/>
      <c r="B38" s="78"/>
    </row>
    <row r="39" spans="1:2">
      <c r="A39" s="86"/>
      <c r="B39" s="78"/>
    </row>
    <row r="40" spans="1:2">
      <c r="A40" s="86"/>
      <c r="B40" s="78"/>
    </row>
    <row r="41" spans="1:2">
      <c r="A41" s="86"/>
      <c r="B41" s="78"/>
    </row>
    <row r="42" spans="1:2">
      <c r="A42" s="86"/>
      <c r="B42" s="78"/>
    </row>
    <row r="43" spans="1:2">
      <c r="A43" s="86"/>
      <c r="B43" s="78"/>
    </row>
    <row r="44" spans="1:2">
      <c r="A44" s="86"/>
      <c r="B44" s="78"/>
    </row>
    <row r="45" spans="1:2">
      <c r="A45" s="86"/>
      <c r="B45" s="78"/>
    </row>
    <row r="46" spans="1:2">
      <c r="A46" s="86"/>
      <c r="B46" s="78"/>
    </row>
    <row r="47" spans="1:2">
      <c r="A47" s="86"/>
      <c r="B47" s="78"/>
    </row>
    <row r="48" spans="1:2">
      <c r="A48" s="86"/>
      <c r="B48" s="78"/>
    </row>
    <row r="49" spans="1:2">
      <c r="A49" s="86"/>
      <c r="B49" s="78"/>
    </row>
    <row r="50" spans="1:2">
      <c r="A50" s="86"/>
      <c r="B50" s="78"/>
    </row>
    <row r="51" spans="1:2">
      <c r="A51" s="86"/>
      <c r="B51" s="78"/>
    </row>
    <row r="52" spans="1:2">
      <c r="A52" s="86"/>
      <c r="B52" s="78"/>
    </row>
    <row r="53" spans="1:2">
      <c r="A53" s="86"/>
      <c r="B53" s="78"/>
    </row>
    <row r="54" spans="1:2">
      <c r="A54" s="86"/>
      <c r="B54" s="78"/>
    </row>
    <row r="55" spans="1:2">
      <c r="A55" s="86"/>
      <c r="B55" s="78"/>
    </row>
    <row r="56" spans="1:2">
      <c r="A56" s="86"/>
      <c r="B56" s="78"/>
    </row>
    <row r="57" spans="1:2">
      <c r="A57" s="86"/>
      <c r="B57" s="78"/>
    </row>
    <row r="58" spans="1:2">
      <c r="A58" s="86"/>
      <c r="B58" s="78"/>
    </row>
    <row r="59" spans="1:2">
      <c r="A59" s="86"/>
      <c r="B59" s="78"/>
    </row>
    <row r="60" spans="1:2">
      <c r="A60" s="86"/>
      <c r="B60" s="78"/>
    </row>
    <row r="61" spans="1:2">
      <c r="A61" s="86"/>
      <c r="B61" s="78"/>
    </row>
    <row r="62" spans="1:2">
      <c r="A62" s="86"/>
      <c r="B62" s="78"/>
    </row>
    <row r="63" spans="1:2">
      <c r="A63" s="86"/>
      <c r="B63" s="78"/>
    </row>
    <row r="64" spans="1:2">
      <c r="A64" s="86"/>
      <c r="B64" s="78"/>
    </row>
    <row r="65" spans="1:2">
      <c r="A65" s="86"/>
      <c r="B65" s="78"/>
    </row>
    <row r="66" spans="1:2">
      <c r="A66" s="86"/>
      <c r="B66" s="78"/>
    </row>
    <row r="67" spans="1:2">
      <c r="A67" s="86"/>
      <c r="B67" s="78"/>
    </row>
    <row r="68" spans="1:2">
      <c r="A68" s="86"/>
      <c r="B68" s="78"/>
    </row>
    <row r="69" spans="1:2">
      <c r="A69" s="86"/>
      <c r="B69" s="78"/>
    </row>
    <row r="70" spans="1:2">
      <c r="A70" s="86"/>
      <c r="B70" s="78"/>
    </row>
    <row r="71" spans="1:2">
      <c r="A71" s="86"/>
      <c r="B71" s="78"/>
    </row>
    <row r="72" spans="1:2">
      <c r="A72" s="86"/>
      <c r="B72" s="78"/>
    </row>
    <row r="73" spans="1:2">
      <c r="A73" s="86"/>
      <c r="B73" s="78"/>
    </row>
    <row r="74" spans="1:2">
      <c r="A74" s="86"/>
      <c r="B74" s="78"/>
    </row>
    <row r="75" spans="1:2">
      <c r="A75" s="86"/>
      <c r="B75" s="78"/>
    </row>
    <row r="76" spans="1:2">
      <c r="A76" s="86"/>
      <c r="B76" s="78"/>
    </row>
    <row r="77" spans="1:2">
      <c r="A77" s="86"/>
      <c r="B77" s="78"/>
    </row>
    <row r="78" spans="1:2">
      <c r="A78" s="86"/>
      <c r="B78" s="78"/>
    </row>
    <row r="79" spans="1:2">
      <c r="A79" s="86"/>
      <c r="B79" s="78"/>
    </row>
    <row r="80" spans="1:2">
      <c r="A80" s="86"/>
      <c r="B80" s="78"/>
    </row>
    <row r="81" spans="1:2">
      <c r="A81" s="86"/>
      <c r="B81" s="78"/>
    </row>
    <row r="82" spans="1:2">
      <c r="A82" s="86"/>
      <c r="B82" s="78"/>
    </row>
    <row r="83" spans="1:2">
      <c r="A83" s="86"/>
      <c r="B83" s="78"/>
    </row>
    <row r="84" spans="1:2">
      <c r="A84" s="86"/>
      <c r="B84" s="78"/>
    </row>
    <row r="85" spans="1:2">
      <c r="A85" s="86"/>
      <c r="B85" s="78"/>
    </row>
    <row r="86" spans="1:2">
      <c r="A86" s="86"/>
      <c r="B86" s="78"/>
    </row>
    <row r="87" spans="1:2">
      <c r="A87" s="86"/>
      <c r="B87" s="78"/>
    </row>
    <row r="88" spans="1:2">
      <c r="A88" s="86"/>
      <c r="B88" s="78"/>
    </row>
    <row r="89" spans="1:2">
      <c r="A89" s="86"/>
      <c r="B89" s="78"/>
    </row>
    <row r="90" spans="1:2">
      <c r="A90" s="86"/>
      <c r="B90" s="78"/>
    </row>
    <row r="91" spans="1:2">
      <c r="A91" s="86"/>
      <c r="B91" s="78"/>
    </row>
    <row r="92" spans="1:2">
      <c r="A92" s="86"/>
      <c r="B92" s="78"/>
    </row>
    <row r="93" spans="1:2">
      <c r="A93" s="86"/>
      <c r="B93" s="78"/>
    </row>
    <row r="94" spans="1:2">
      <c r="A94" s="86"/>
      <c r="B94" s="78"/>
    </row>
    <row r="95" spans="1:2">
      <c r="A95" s="86"/>
      <c r="B95" s="78"/>
    </row>
    <row r="96" spans="1:2">
      <c r="A96" s="86"/>
      <c r="B96" s="78"/>
    </row>
    <row r="97" spans="1:2">
      <c r="A97" s="86"/>
      <c r="B97" s="78"/>
    </row>
    <row r="98" spans="1:2">
      <c r="A98" s="86"/>
      <c r="B98" s="78"/>
    </row>
    <row r="99" spans="1:2">
      <c r="A99" s="86"/>
      <c r="B99" s="78"/>
    </row>
    <row r="100" spans="1:2">
      <c r="A100" s="86"/>
      <c r="B100" s="78"/>
    </row>
    <row r="101" spans="1:2">
      <c r="A101" s="86"/>
      <c r="B101" s="78"/>
    </row>
    <row r="102" spans="1:2">
      <c r="A102" s="86"/>
      <c r="B102" s="78"/>
    </row>
    <row r="103" spans="1:2">
      <c r="A103" s="86"/>
      <c r="B103" s="78"/>
    </row>
    <row r="104" spans="1:2">
      <c r="A104" s="86"/>
      <c r="B104" s="78"/>
    </row>
    <row r="105" spans="1:2">
      <c r="A105" s="86"/>
      <c r="B105" s="78"/>
    </row>
    <row r="106" spans="1:2">
      <c r="A106" s="86"/>
      <c r="B106" s="78"/>
    </row>
    <row r="107" spans="1:2">
      <c r="A107" s="86"/>
      <c r="B107" s="78"/>
    </row>
    <row r="110" spans="1:2">
      <c r="A110" s="68"/>
    </row>
  </sheetData>
  <pageMargins left="0.7" right="0.7" top="0.75" bottom="0.75" header="0.3" footer="0.3"/>
  <headerFooter>
    <oddFooter>&amp;L_x000D_&amp;1#&amp;"Calibri"&amp;11&amp;K000000 Classification: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EC56-9091-4918-AC90-C9D602F1B28D}">
  <sheetPr>
    <tabColor rgb="FF92D050"/>
  </sheetPr>
  <dimension ref="A1:N28"/>
  <sheetViews>
    <sheetView zoomScaleNormal="100" workbookViewId="0">
      <selection activeCell="M16" sqref="M16"/>
    </sheetView>
  </sheetViews>
  <sheetFormatPr defaultColWidth="9.140625" defaultRowHeight="15.75"/>
  <cols>
    <col min="1" max="1" width="16.42578125" style="63" customWidth="1"/>
    <col min="2" max="2" width="11.85546875" style="63" bestFit="1" customWidth="1"/>
    <col min="3" max="3" width="13.7109375" style="63" customWidth="1"/>
    <col min="4" max="4" width="10.5703125" style="63" customWidth="1"/>
    <col min="5" max="5" width="14.85546875" style="63" customWidth="1"/>
    <col min="6" max="6" width="14" style="63" customWidth="1"/>
    <col min="7" max="16384" width="9.140625" style="63"/>
  </cols>
  <sheetData>
    <row r="1" spans="1:14">
      <c r="A1" s="2" t="s">
        <v>322</v>
      </c>
      <c r="B1" s="87"/>
      <c r="C1" s="87"/>
      <c r="D1" s="87"/>
    </row>
    <row r="2" spans="1:14">
      <c r="A2" s="87"/>
      <c r="B2" s="87"/>
      <c r="C2" s="87"/>
      <c r="D2" s="87"/>
    </row>
    <row r="3" spans="1:14" ht="47.25">
      <c r="A3" s="88" t="s">
        <v>23</v>
      </c>
      <c r="B3" s="88" t="s">
        <v>355</v>
      </c>
      <c r="C3" s="88" t="s">
        <v>352</v>
      </c>
      <c r="D3" s="88" t="s">
        <v>351</v>
      </c>
      <c r="E3" s="88" t="s">
        <v>353</v>
      </c>
      <c r="F3" s="88" t="s">
        <v>354</v>
      </c>
    </row>
    <row r="4" spans="1:14">
      <c r="A4" s="89">
        <v>2008</v>
      </c>
      <c r="B4" s="90">
        <v>23.8</v>
      </c>
      <c r="C4" s="90">
        <v>-6.3</v>
      </c>
      <c r="D4" s="90">
        <v>18.8</v>
      </c>
      <c r="E4" s="90">
        <v>15.3</v>
      </c>
      <c r="F4" s="90">
        <v>2.2999999999999998</v>
      </c>
      <c r="I4" s="67"/>
      <c r="J4" s="67"/>
      <c r="K4" s="67"/>
      <c r="L4" s="67"/>
      <c r="M4" s="67"/>
      <c r="N4" s="67"/>
    </row>
    <row r="5" spans="1:14">
      <c r="A5" s="89">
        <v>2009</v>
      </c>
      <c r="B5" s="90">
        <v>25.2</v>
      </c>
      <c r="C5" s="90">
        <v>-5.8</v>
      </c>
      <c r="D5" s="90">
        <v>19.600000000000001</v>
      </c>
      <c r="E5" s="90">
        <v>13.2</v>
      </c>
      <c r="F5" s="90">
        <v>2.2999999999999998</v>
      </c>
      <c r="I5" s="67"/>
      <c r="J5" s="67"/>
      <c r="K5" s="67"/>
      <c r="L5" s="67"/>
      <c r="M5" s="67"/>
      <c r="N5" s="67"/>
    </row>
    <row r="6" spans="1:14">
      <c r="A6" s="89">
        <v>2010</v>
      </c>
      <c r="B6" s="90">
        <v>30</v>
      </c>
      <c r="C6" s="90">
        <v>-5.2</v>
      </c>
      <c r="D6" s="90">
        <v>0</v>
      </c>
      <c r="E6" s="90">
        <v>-3.3</v>
      </c>
      <c r="F6" s="90">
        <v>1.4</v>
      </c>
      <c r="I6" s="67"/>
      <c r="J6" s="67"/>
      <c r="K6" s="67"/>
      <c r="L6" s="67"/>
      <c r="M6" s="67"/>
      <c r="N6" s="67"/>
    </row>
    <row r="7" spans="1:14">
      <c r="A7" s="89">
        <v>2011</v>
      </c>
      <c r="B7" s="90">
        <v>30.5</v>
      </c>
      <c r="C7" s="90">
        <v>-3.7</v>
      </c>
      <c r="D7" s="90">
        <v>-8.5</v>
      </c>
      <c r="E7" s="90">
        <v>8.4</v>
      </c>
      <c r="F7" s="90">
        <v>1.5</v>
      </c>
      <c r="I7" s="67"/>
      <c r="J7" s="67"/>
      <c r="K7" s="67"/>
      <c r="L7" s="67"/>
      <c r="M7" s="67"/>
      <c r="N7" s="67"/>
    </row>
    <row r="8" spans="1:14">
      <c r="A8" s="89">
        <v>2012</v>
      </c>
      <c r="B8" s="90">
        <v>34.6</v>
      </c>
      <c r="C8" s="90">
        <v>-5.5</v>
      </c>
      <c r="D8" s="90">
        <v>6.5</v>
      </c>
      <c r="E8" s="90">
        <v>27.7</v>
      </c>
      <c r="F8" s="90">
        <v>2.2000000000000002</v>
      </c>
      <c r="I8" s="67"/>
      <c r="J8" s="67"/>
      <c r="K8" s="67"/>
      <c r="L8" s="67"/>
      <c r="M8" s="67"/>
      <c r="N8" s="67"/>
    </row>
    <row r="9" spans="1:14">
      <c r="A9" s="89">
        <v>2013</v>
      </c>
      <c r="B9" s="90">
        <v>36.9</v>
      </c>
      <c r="C9" s="90">
        <v>-4.9000000000000004</v>
      </c>
      <c r="D9" s="90">
        <v>14.1</v>
      </c>
      <c r="E9" s="90">
        <v>38.6</v>
      </c>
      <c r="F9" s="90">
        <v>2.8</v>
      </c>
      <c r="I9" s="67"/>
      <c r="J9" s="67"/>
      <c r="K9" s="67"/>
      <c r="L9" s="67"/>
      <c r="M9" s="67"/>
      <c r="N9" s="67"/>
    </row>
    <row r="10" spans="1:14">
      <c r="A10" s="89">
        <v>2014</v>
      </c>
      <c r="B10" s="90">
        <v>41.1</v>
      </c>
      <c r="C10" s="90">
        <v>-4.5</v>
      </c>
      <c r="D10" s="90">
        <v>7.6</v>
      </c>
      <c r="E10" s="90">
        <v>35.4</v>
      </c>
      <c r="F10" s="90">
        <v>2.6</v>
      </c>
      <c r="I10" s="67"/>
      <c r="J10" s="67"/>
      <c r="K10" s="67"/>
      <c r="L10" s="67"/>
      <c r="M10" s="67"/>
      <c r="N10" s="67"/>
    </row>
    <row r="11" spans="1:14">
      <c r="A11" s="89">
        <v>2015</v>
      </c>
      <c r="B11" s="90">
        <v>39.6</v>
      </c>
      <c r="C11" s="90">
        <v>-5.2</v>
      </c>
      <c r="D11" s="90">
        <v>-10.5</v>
      </c>
      <c r="E11" s="90">
        <v>21.6</v>
      </c>
      <c r="F11" s="90">
        <v>1.7</v>
      </c>
      <c r="I11" s="67"/>
      <c r="J11" s="67"/>
      <c r="K11" s="67"/>
      <c r="L11" s="67"/>
      <c r="M11" s="67"/>
      <c r="N11" s="67"/>
    </row>
    <row r="12" spans="1:14">
      <c r="A12" s="89">
        <v>2016</v>
      </c>
      <c r="B12" s="90">
        <v>57.9</v>
      </c>
      <c r="C12" s="90">
        <v>-6.1</v>
      </c>
      <c r="D12" s="90">
        <v>-16.7</v>
      </c>
      <c r="E12" s="90">
        <v>-15.1</v>
      </c>
      <c r="F12" s="90">
        <v>1.1000000000000001</v>
      </c>
      <c r="I12" s="67"/>
      <c r="J12" s="67"/>
      <c r="K12" s="67"/>
      <c r="L12" s="67"/>
      <c r="M12" s="67"/>
      <c r="N12" s="67"/>
    </row>
    <row r="13" spans="1:14">
      <c r="A13" s="89">
        <v>2017</v>
      </c>
      <c r="B13" s="90">
        <v>44.1</v>
      </c>
      <c r="C13" s="90">
        <v>-8.4</v>
      </c>
      <c r="D13" s="90">
        <v>-7.8</v>
      </c>
      <c r="E13" s="90">
        <v>-15.6</v>
      </c>
      <c r="F13" s="90">
        <v>1</v>
      </c>
      <c r="I13" s="67"/>
      <c r="J13" s="67"/>
      <c r="K13" s="67"/>
      <c r="L13" s="67"/>
      <c r="M13" s="67"/>
      <c r="N13" s="67"/>
    </row>
    <row r="14" spans="1:14">
      <c r="A14" s="89">
        <v>2018</v>
      </c>
      <c r="B14" s="90">
        <v>38.700000000000003</v>
      </c>
      <c r="C14" s="90">
        <v>-5.6</v>
      </c>
      <c r="D14" s="90">
        <v>-1.1000000000000001</v>
      </c>
      <c r="E14" s="90">
        <v>-3.2</v>
      </c>
      <c r="F14" s="90">
        <v>1.3</v>
      </c>
      <c r="I14" s="67"/>
      <c r="J14" s="67"/>
      <c r="K14" s="67"/>
      <c r="L14" s="67"/>
      <c r="M14" s="67"/>
      <c r="N14" s="67"/>
    </row>
    <row r="15" spans="1:14">
      <c r="A15" s="89">
        <v>2019</v>
      </c>
      <c r="B15" s="90">
        <v>40.700000000000003</v>
      </c>
      <c r="C15" s="90">
        <v>-5.0999999999999996</v>
      </c>
      <c r="D15" s="90">
        <v>3.1</v>
      </c>
      <c r="E15" s="90">
        <v>-2</v>
      </c>
      <c r="F15" s="90">
        <v>1.5</v>
      </c>
      <c r="I15" s="67"/>
      <c r="J15" s="67"/>
      <c r="K15" s="67"/>
      <c r="L15" s="67"/>
      <c r="M15" s="67"/>
      <c r="N15" s="67"/>
    </row>
    <row r="16" spans="1:14">
      <c r="A16" s="89">
        <v>2020</v>
      </c>
      <c r="B16" s="90">
        <v>35.5</v>
      </c>
      <c r="C16" s="90">
        <v>-4.5</v>
      </c>
      <c r="D16" s="90">
        <v>0.2</v>
      </c>
      <c r="E16" s="90">
        <v>-2.4</v>
      </c>
      <c r="F16" s="90">
        <v>1.2</v>
      </c>
      <c r="I16" s="67"/>
      <c r="J16" s="67"/>
      <c r="K16" s="67"/>
      <c r="L16" s="67"/>
      <c r="M16" s="67"/>
      <c r="N16" s="67"/>
    </row>
    <row r="17" spans="1:14">
      <c r="A17" s="89">
        <v>2021</v>
      </c>
      <c r="B17" s="90">
        <v>24</v>
      </c>
      <c r="C17" s="90">
        <v>-4.5999999999999996</v>
      </c>
      <c r="D17" s="90">
        <v>-4.5</v>
      </c>
      <c r="E17" s="90">
        <v>-9.5</v>
      </c>
      <c r="F17" s="90">
        <v>0.5</v>
      </c>
      <c r="I17" s="67"/>
      <c r="J17" s="67"/>
      <c r="K17" s="67"/>
      <c r="L17" s="67"/>
      <c r="M17" s="67"/>
      <c r="N17" s="67"/>
    </row>
    <row r="18" spans="1:14">
      <c r="A18" s="89">
        <v>2022</v>
      </c>
      <c r="B18" s="90">
        <v>52.6</v>
      </c>
      <c r="C18" s="90">
        <v>-6.3</v>
      </c>
      <c r="D18" s="90">
        <v>11.5</v>
      </c>
      <c r="E18" s="90">
        <v>5.6</v>
      </c>
      <c r="F18" s="90">
        <v>1.8</v>
      </c>
      <c r="I18" s="67"/>
      <c r="J18" s="67"/>
      <c r="K18" s="67"/>
      <c r="L18" s="67"/>
      <c r="M18" s="67"/>
      <c r="N18" s="67"/>
    </row>
    <row r="19" spans="1:14">
      <c r="A19" s="89">
        <v>2023</v>
      </c>
      <c r="B19" s="90">
        <v>54.3</v>
      </c>
      <c r="C19" s="90">
        <v>-5.9</v>
      </c>
      <c r="D19" s="90">
        <v>71.3</v>
      </c>
      <c r="E19" s="90">
        <v>39.4</v>
      </c>
      <c r="F19" s="90">
        <v>3.9</v>
      </c>
      <c r="I19" s="67"/>
      <c r="J19" s="67"/>
      <c r="K19" s="67"/>
      <c r="L19" s="67"/>
      <c r="M19" s="67"/>
      <c r="N19" s="67"/>
    </row>
    <row r="20" spans="1:14">
      <c r="A20" s="89">
        <v>2024</v>
      </c>
      <c r="B20" s="90">
        <v>60.3</v>
      </c>
      <c r="C20" s="90">
        <v>-6.1</v>
      </c>
      <c r="D20" s="90">
        <v>91.3</v>
      </c>
      <c r="E20" s="90">
        <v>43.8</v>
      </c>
      <c r="F20" s="90">
        <v>4.4000000000000004</v>
      </c>
      <c r="I20" s="67"/>
      <c r="J20" s="67"/>
      <c r="K20" s="67"/>
      <c r="L20" s="67"/>
      <c r="M20" s="67"/>
      <c r="N20" s="67"/>
    </row>
    <row r="21" spans="1:14">
      <c r="A21" s="91" t="s">
        <v>281</v>
      </c>
      <c r="B21" s="90">
        <v>61.6</v>
      </c>
      <c r="C21" s="90">
        <v>-6.2</v>
      </c>
      <c r="D21" s="90">
        <v>10</v>
      </c>
      <c r="E21" s="90">
        <v>36.799999999999997</v>
      </c>
      <c r="F21" s="90">
        <v>2.5</v>
      </c>
      <c r="I21" s="67"/>
      <c r="J21" s="67"/>
      <c r="K21" s="67"/>
      <c r="L21" s="67"/>
      <c r="M21" s="67"/>
      <c r="N21" s="67"/>
    </row>
    <row r="22" spans="1:14">
      <c r="A22" s="89" t="s">
        <v>3</v>
      </c>
      <c r="B22" s="90">
        <v>54.3</v>
      </c>
      <c r="C22" s="90">
        <v>-5.4</v>
      </c>
      <c r="D22" s="90">
        <v>-30</v>
      </c>
      <c r="E22" s="90">
        <v>33</v>
      </c>
      <c r="F22" s="90">
        <v>1.4</v>
      </c>
      <c r="I22" s="67"/>
      <c r="J22" s="67"/>
      <c r="K22" s="67"/>
      <c r="L22" s="67"/>
      <c r="M22" s="67"/>
      <c r="N22" s="67"/>
    </row>
    <row r="23" spans="1:14">
      <c r="A23" s="91" t="s">
        <v>4</v>
      </c>
      <c r="B23" s="90">
        <v>52.2</v>
      </c>
      <c r="C23" s="90">
        <v>-6.8</v>
      </c>
      <c r="D23" s="90">
        <v>-21</v>
      </c>
      <c r="E23" s="90">
        <v>25.5</v>
      </c>
      <c r="F23" s="90">
        <v>1.4</v>
      </c>
      <c r="I23" s="67"/>
      <c r="J23" s="67"/>
      <c r="K23" s="67"/>
      <c r="L23" s="67"/>
      <c r="M23" s="67"/>
      <c r="N23" s="67"/>
    </row>
    <row r="24" spans="1:14">
      <c r="A24" s="91" t="s">
        <v>5</v>
      </c>
      <c r="B24" s="90">
        <v>51.1</v>
      </c>
      <c r="C24" s="90">
        <v>-7.1</v>
      </c>
      <c r="D24" s="90">
        <v>1.6</v>
      </c>
      <c r="E24" s="90">
        <v>16</v>
      </c>
      <c r="F24" s="90">
        <v>1.6</v>
      </c>
      <c r="I24" s="67"/>
      <c r="J24" s="67"/>
      <c r="K24" s="67"/>
      <c r="L24" s="67"/>
      <c r="M24" s="67"/>
      <c r="N24" s="67"/>
    </row>
    <row r="28" spans="1:14">
      <c r="A28" s="63" t="s">
        <v>24</v>
      </c>
    </row>
  </sheetData>
  <pageMargins left="0.7" right="0.7" top="0.75" bottom="0.75" header="0.3" footer="0.3"/>
  <headerFooter>
    <oddFooter>&amp;L_x000D_&amp;1#&amp;"Calibri"&amp;11&amp;K000000 Classification: Public</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06765-5370-4EF1-ACE0-44EEBDFA723E}">
  <sheetPr>
    <tabColor rgb="FF92D050"/>
  </sheetPr>
  <dimension ref="A1:C75"/>
  <sheetViews>
    <sheetView zoomScaleNormal="100" workbookViewId="0">
      <selection activeCell="E16" sqref="E16"/>
    </sheetView>
  </sheetViews>
  <sheetFormatPr defaultColWidth="9.140625" defaultRowHeight="15.75"/>
  <cols>
    <col min="1" max="1" width="12.7109375" style="63" customWidth="1"/>
    <col min="2" max="3" width="24.7109375" style="63" customWidth="1"/>
    <col min="4" max="16384" width="9.140625" style="63"/>
  </cols>
  <sheetData>
    <row r="1" spans="1:3">
      <c r="A1" s="2" t="s">
        <v>334</v>
      </c>
    </row>
    <row r="3" spans="1:3" s="214" customFormat="1" ht="31.5">
      <c r="A3" s="213" t="s">
        <v>25</v>
      </c>
      <c r="B3" s="213" t="s">
        <v>282</v>
      </c>
      <c r="C3" s="213" t="s">
        <v>283</v>
      </c>
    </row>
    <row r="4" spans="1:3">
      <c r="A4" s="92">
        <v>43617</v>
      </c>
      <c r="B4" s="67">
        <v>576.5</v>
      </c>
      <c r="C4" s="67">
        <v>442.9</v>
      </c>
    </row>
    <row r="5" spans="1:3">
      <c r="A5" s="92">
        <v>43647</v>
      </c>
      <c r="B5" s="67">
        <v>582.79999999999995</v>
      </c>
      <c r="C5" s="67">
        <v>427.9</v>
      </c>
    </row>
    <row r="6" spans="1:3">
      <c r="A6" s="92">
        <v>43678</v>
      </c>
      <c r="B6" s="67">
        <v>578.79999999999995</v>
      </c>
      <c r="C6" s="67">
        <v>383.6</v>
      </c>
    </row>
    <row r="7" spans="1:3">
      <c r="A7" s="92">
        <v>43709</v>
      </c>
      <c r="B7" s="67">
        <v>606.29999999999995</v>
      </c>
      <c r="C7" s="67">
        <v>369.7</v>
      </c>
    </row>
    <row r="8" spans="1:3">
      <c r="A8" s="92">
        <v>43739</v>
      </c>
      <c r="B8" s="67">
        <v>614.4</v>
      </c>
      <c r="C8" s="67">
        <v>370</v>
      </c>
    </row>
    <row r="9" spans="1:3">
      <c r="A9" s="92">
        <v>43770</v>
      </c>
      <c r="B9" s="67">
        <v>607.9</v>
      </c>
      <c r="C9" s="67">
        <v>372.7</v>
      </c>
    </row>
    <row r="10" spans="1:3">
      <c r="A10" s="92">
        <v>43800</v>
      </c>
      <c r="B10" s="67">
        <v>601</v>
      </c>
      <c r="C10" s="67">
        <v>393.4</v>
      </c>
    </row>
    <row r="11" spans="1:3">
      <c r="A11" s="92">
        <v>43831</v>
      </c>
      <c r="B11" s="67">
        <v>592.79999999999995</v>
      </c>
      <c r="C11" s="67">
        <v>403.1</v>
      </c>
    </row>
    <row r="12" spans="1:3">
      <c r="A12" s="92">
        <v>43862</v>
      </c>
      <c r="B12" s="67">
        <v>641.70000000000005</v>
      </c>
      <c r="C12" s="67">
        <v>387.2</v>
      </c>
    </row>
    <row r="13" spans="1:3">
      <c r="A13" s="92">
        <v>43891</v>
      </c>
      <c r="B13" s="67">
        <v>626.70000000000005</v>
      </c>
      <c r="C13" s="67">
        <v>350</v>
      </c>
    </row>
    <row r="14" spans="1:3">
      <c r="A14" s="92">
        <v>43922</v>
      </c>
      <c r="B14" s="67">
        <v>575.20000000000005</v>
      </c>
      <c r="C14" s="67">
        <v>319.3</v>
      </c>
    </row>
    <row r="15" spans="1:3">
      <c r="A15" s="92">
        <v>43952</v>
      </c>
      <c r="B15" s="67">
        <v>475.3</v>
      </c>
      <c r="C15" s="67">
        <v>300.89999999999998</v>
      </c>
    </row>
    <row r="16" spans="1:3">
      <c r="A16" s="92">
        <v>43983</v>
      </c>
      <c r="B16" s="67">
        <v>425.2</v>
      </c>
      <c r="C16" s="67">
        <v>266.5</v>
      </c>
    </row>
    <row r="17" spans="1:3">
      <c r="A17" s="92">
        <v>44013</v>
      </c>
      <c r="B17" s="67">
        <v>453.1</v>
      </c>
      <c r="C17" s="67">
        <v>299.2</v>
      </c>
    </row>
    <row r="18" spans="1:3">
      <c r="A18" s="92">
        <v>44044</v>
      </c>
      <c r="B18" s="67">
        <v>504.5</v>
      </c>
      <c r="C18" s="67">
        <v>323</v>
      </c>
    </row>
    <row r="19" spans="1:3">
      <c r="A19" s="92">
        <v>44075</v>
      </c>
      <c r="B19" s="67">
        <v>561.1</v>
      </c>
      <c r="C19" s="67">
        <v>330.5</v>
      </c>
    </row>
    <row r="20" spans="1:3">
      <c r="A20" s="92">
        <v>44105</v>
      </c>
      <c r="B20" s="67">
        <v>598.5</v>
      </c>
      <c r="C20" s="67">
        <v>324.2</v>
      </c>
    </row>
    <row r="21" spans="1:3">
      <c r="A21" s="92">
        <v>44136</v>
      </c>
      <c r="B21" s="67">
        <v>644.4</v>
      </c>
      <c r="C21" s="67">
        <v>327.39999999999998</v>
      </c>
    </row>
    <row r="22" spans="1:3">
      <c r="A22" s="92">
        <v>44166</v>
      </c>
      <c r="B22" s="67">
        <v>661.7</v>
      </c>
      <c r="C22" s="67">
        <v>352.7</v>
      </c>
    </row>
    <row r="23" spans="1:3">
      <c r="A23" s="92">
        <v>44197</v>
      </c>
      <c r="B23" s="67">
        <v>738.8</v>
      </c>
      <c r="C23" s="67">
        <v>327.8</v>
      </c>
    </row>
    <row r="24" spans="1:3">
      <c r="A24" s="92">
        <v>44228</v>
      </c>
      <c r="B24" s="67">
        <v>733.8</v>
      </c>
      <c r="C24" s="67">
        <v>366.6</v>
      </c>
    </row>
    <row r="25" spans="1:3">
      <c r="A25" s="92">
        <v>44256</v>
      </c>
      <c r="B25" s="67">
        <v>785</v>
      </c>
      <c r="C25" s="67">
        <v>386.8</v>
      </c>
    </row>
    <row r="26" spans="1:3">
      <c r="A26" s="92">
        <v>44287</v>
      </c>
      <c r="B26" s="67">
        <v>802.7</v>
      </c>
      <c r="C26" s="67">
        <v>413.4</v>
      </c>
    </row>
    <row r="27" spans="1:3">
      <c r="A27" s="92">
        <v>44317</v>
      </c>
      <c r="B27" s="67">
        <v>826.8</v>
      </c>
      <c r="C27" s="67">
        <v>377.1</v>
      </c>
    </row>
    <row r="28" spans="1:3">
      <c r="A28" s="92">
        <v>44348</v>
      </c>
      <c r="B28" s="67">
        <v>824.2</v>
      </c>
      <c r="C28" s="67">
        <v>419.3</v>
      </c>
    </row>
    <row r="29" spans="1:3">
      <c r="A29" s="92">
        <v>44378</v>
      </c>
      <c r="B29" s="67">
        <v>773.2</v>
      </c>
      <c r="C29" s="67">
        <v>368.3</v>
      </c>
    </row>
    <row r="30" spans="1:3">
      <c r="A30" s="92">
        <v>44409</v>
      </c>
      <c r="B30" s="67">
        <v>751.3</v>
      </c>
      <c r="C30" s="67">
        <v>386.1</v>
      </c>
    </row>
    <row r="31" spans="1:3">
      <c r="A31" s="92">
        <v>44440</v>
      </c>
      <c r="B31" s="67">
        <v>745.5</v>
      </c>
      <c r="C31" s="67">
        <v>418.4</v>
      </c>
    </row>
    <row r="32" spans="1:3">
      <c r="A32" s="92">
        <v>44470</v>
      </c>
      <c r="B32" s="67">
        <v>766.7</v>
      </c>
      <c r="C32" s="67">
        <v>440</v>
      </c>
    </row>
    <row r="33" spans="1:3">
      <c r="A33" s="92">
        <v>44501</v>
      </c>
      <c r="B33" s="67">
        <v>782</v>
      </c>
      <c r="C33" s="67">
        <v>496.1</v>
      </c>
    </row>
    <row r="34" spans="1:3">
      <c r="A34" s="92">
        <v>44531</v>
      </c>
      <c r="B34" s="67">
        <v>815.8</v>
      </c>
      <c r="C34" s="67">
        <v>429.1</v>
      </c>
    </row>
    <row r="35" spans="1:3">
      <c r="A35" s="92">
        <v>44562</v>
      </c>
      <c r="B35" s="67">
        <v>801.2</v>
      </c>
      <c r="C35" s="67">
        <v>481.4</v>
      </c>
    </row>
    <row r="36" spans="1:3">
      <c r="A36" s="92">
        <v>44593</v>
      </c>
      <c r="B36" s="67">
        <v>823.2</v>
      </c>
      <c r="C36" s="67">
        <v>432.7</v>
      </c>
    </row>
    <row r="37" spans="1:3">
      <c r="A37" s="92">
        <v>44621</v>
      </c>
      <c r="B37" s="67">
        <v>809.7</v>
      </c>
      <c r="C37" s="67">
        <v>435.8</v>
      </c>
    </row>
    <row r="38" spans="1:3">
      <c r="A38" s="92">
        <v>44652</v>
      </c>
      <c r="B38" s="67">
        <v>832.7</v>
      </c>
      <c r="C38" s="67">
        <v>428.6</v>
      </c>
    </row>
    <row r="39" spans="1:3">
      <c r="A39" s="92">
        <v>44682</v>
      </c>
      <c r="B39" s="67">
        <v>931.3</v>
      </c>
      <c r="C39" s="67">
        <v>416.4</v>
      </c>
    </row>
    <row r="40" spans="1:3">
      <c r="A40" s="92">
        <v>44713</v>
      </c>
      <c r="B40" s="67">
        <v>968.5</v>
      </c>
      <c r="C40" s="67">
        <v>400.7</v>
      </c>
    </row>
    <row r="41" spans="1:3">
      <c r="A41" s="92">
        <v>44743</v>
      </c>
      <c r="B41" s="67">
        <v>1020.2</v>
      </c>
      <c r="C41" s="67">
        <v>414.2</v>
      </c>
    </row>
    <row r="42" spans="1:3">
      <c r="A42" s="92">
        <v>44774</v>
      </c>
      <c r="B42" s="67">
        <v>956.5</v>
      </c>
      <c r="C42" s="67">
        <v>423.8</v>
      </c>
    </row>
    <row r="43" spans="1:3">
      <c r="A43" s="92">
        <v>44805</v>
      </c>
      <c r="B43" s="67">
        <v>912.3</v>
      </c>
      <c r="C43" s="67">
        <v>439.9</v>
      </c>
    </row>
    <row r="44" spans="1:3">
      <c r="A44" s="92">
        <v>44835</v>
      </c>
      <c r="B44" s="67">
        <v>839.3</v>
      </c>
      <c r="C44" s="67">
        <v>400.9</v>
      </c>
    </row>
    <row r="45" spans="1:3">
      <c r="A45" s="92">
        <v>44866</v>
      </c>
      <c r="B45" s="67">
        <v>805.2</v>
      </c>
      <c r="C45" s="67">
        <v>372</v>
      </c>
    </row>
    <row r="46" spans="1:3">
      <c r="A46" s="92">
        <v>44896</v>
      </c>
      <c r="B46" s="67">
        <v>789.5</v>
      </c>
      <c r="C46" s="67">
        <v>378.9</v>
      </c>
    </row>
    <row r="47" spans="1:3">
      <c r="A47" s="92">
        <v>44927</v>
      </c>
      <c r="B47" s="67">
        <v>790.9</v>
      </c>
      <c r="C47" s="67">
        <v>381.7</v>
      </c>
    </row>
    <row r="48" spans="1:3">
      <c r="A48" s="92">
        <v>44958</v>
      </c>
      <c r="B48" s="67">
        <v>766.4</v>
      </c>
      <c r="C48" s="67">
        <v>436.7</v>
      </c>
    </row>
    <row r="49" spans="1:3">
      <c r="A49" s="92">
        <v>44986</v>
      </c>
      <c r="B49" s="67">
        <v>764.3</v>
      </c>
      <c r="C49" s="67">
        <v>469</v>
      </c>
    </row>
    <row r="50" spans="1:3">
      <c r="A50" s="92">
        <v>45017</v>
      </c>
      <c r="B50" s="67">
        <v>750.4</v>
      </c>
      <c r="C50" s="67">
        <v>455.8</v>
      </c>
    </row>
    <row r="51" spans="1:3">
      <c r="A51" s="92">
        <v>45047</v>
      </c>
      <c r="B51" s="67">
        <v>761.1</v>
      </c>
      <c r="C51" s="67">
        <v>468.5</v>
      </c>
    </row>
    <row r="52" spans="1:3">
      <c r="A52" s="92">
        <v>45078</v>
      </c>
      <c r="B52" s="67">
        <v>809.1</v>
      </c>
      <c r="C52" s="67">
        <v>481.2</v>
      </c>
    </row>
    <row r="53" spans="1:3">
      <c r="A53" s="92">
        <v>45108</v>
      </c>
      <c r="B53" s="67">
        <v>828.8</v>
      </c>
      <c r="C53" s="67">
        <v>515.70000000000005</v>
      </c>
    </row>
    <row r="54" spans="1:3">
      <c r="A54" s="92">
        <v>45139</v>
      </c>
      <c r="B54" s="67">
        <v>872.8</v>
      </c>
      <c r="C54" s="67">
        <v>470.3</v>
      </c>
    </row>
    <row r="55" spans="1:3">
      <c r="A55" s="92">
        <v>45170</v>
      </c>
      <c r="B55" s="67">
        <v>859.4</v>
      </c>
      <c r="C55" s="67">
        <v>409.1</v>
      </c>
    </row>
    <row r="56" spans="1:3">
      <c r="A56" s="92">
        <v>45200</v>
      </c>
      <c r="B56" s="67">
        <v>925</v>
      </c>
      <c r="C56" s="67">
        <v>427</v>
      </c>
    </row>
    <row r="57" spans="1:3">
      <c r="A57" s="92">
        <v>45231</v>
      </c>
      <c r="B57" s="67">
        <v>970.3</v>
      </c>
      <c r="C57" s="67">
        <v>460.7</v>
      </c>
    </row>
    <row r="58" spans="1:3">
      <c r="A58" s="92">
        <v>45261</v>
      </c>
      <c r="B58" s="67">
        <v>1024.4000000000001</v>
      </c>
      <c r="C58" s="67">
        <v>484.6</v>
      </c>
    </row>
    <row r="59" spans="1:3">
      <c r="A59" s="92">
        <v>45292</v>
      </c>
      <c r="B59" s="67">
        <v>1047.5999999999999</v>
      </c>
      <c r="C59" s="67">
        <v>473.9</v>
      </c>
    </row>
    <row r="60" spans="1:3">
      <c r="A60" s="92">
        <v>45323</v>
      </c>
      <c r="B60" s="67">
        <v>1071.7</v>
      </c>
      <c r="C60" s="67">
        <v>427</v>
      </c>
    </row>
    <row r="61" spans="1:3">
      <c r="A61" s="92">
        <v>45352</v>
      </c>
      <c r="B61" s="67">
        <v>1076.0999999999999</v>
      </c>
      <c r="C61" s="67">
        <v>431.9</v>
      </c>
    </row>
    <row r="62" spans="1:3">
      <c r="A62" s="92">
        <v>45383</v>
      </c>
      <c r="B62" s="67">
        <v>1093.3</v>
      </c>
      <c r="C62" s="67">
        <v>438</v>
      </c>
    </row>
    <row r="63" spans="1:3">
      <c r="A63" s="92">
        <v>45413</v>
      </c>
      <c r="B63" s="67">
        <v>1051.0999999999999</v>
      </c>
      <c r="C63" s="67">
        <v>484.4</v>
      </c>
    </row>
    <row r="64" spans="1:3">
      <c r="A64" s="92">
        <v>45444</v>
      </c>
      <c r="B64" s="67">
        <v>1025.3</v>
      </c>
      <c r="C64" s="67">
        <v>459.9</v>
      </c>
    </row>
    <row r="65" spans="1:3">
      <c r="A65" s="92">
        <v>45474</v>
      </c>
      <c r="B65" s="67">
        <v>995.4</v>
      </c>
      <c r="C65" s="67">
        <v>456.9</v>
      </c>
    </row>
    <row r="66" spans="1:3">
      <c r="A66" s="92">
        <v>45505</v>
      </c>
      <c r="B66" s="67">
        <v>1038.9000000000001</v>
      </c>
      <c r="C66" s="67">
        <v>456.5</v>
      </c>
    </row>
    <row r="67" spans="1:3">
      <c r="A67" s="92">
        <v>45536</v>
      </c>
      <c r="B67" s="67">
        <v>1066.2</v>
      </c>
      <c r="C67" s="67">
        <v>513.29999999999995</v>
      </c>
    </row>
    <row r="68" spans="1:3">
      <c r="A68" s="92">
        <v>45566</v>
      </c>
      <c r="B68" s="67">
        <v>1121</v>
      </c>
      <c r="C68" s="67">
        <v>520.20000000000005</v>
      </c>
    </row>
    <row r="69" spans="1:3">
      <c r="A69" s="92">
        <v>45597</v>
      </c>
      <c r="B69" s="67">
        <v>1143.3</v>
      </c>
      <c r="C69" s="67">
        <v>499.6</v>
      </c>
    </row>
    <row r="70" spans="1:3">
      <c r="A70" s="92">
        <v>45627</v>
      </c>
      <c r="B70" s="67">
        <v>1199.2</v>
      </c>
      <c r="C70" s="67">
        <v>497.2</v>
      </c>
    </row>
    <row r="75" spans="1:3">
      <c r="A75" s="63" t="s">
        <v>284</v>
      </c>
    </row>
  </sheetData>
  <pageMargins left="0.7" right="0.7" top="0.75" bottom="0.75" header="0.3" footer="0.3"/>
  <headerFooter>
    <oddFooter>&amp;L_x000D_&amp;1#&amp;"Calibri"&amp;11&amp;K000000 Classification: Public</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2B61-EA1C-402A-9F43-997F185D760B}">
  <sheetPr>
    <tabColor rgb="FF92D050"/>
  </sheetPr>
  <dimension ref="A1:H27"/>
  <sheetViews>
    <sheetView zoomScaleNormal="100" workbookViewId="0">
      <selection activeCell="H21" sqref="H21"/>
    </sheetView>
  </sheetViews>
  <sheetFormatPr defaultColWidth="8.42578125" defaultRowHeight="15.75"/>
  <cols>
    <col min="1" max="1" width="8.42578125" style="63"/>
    <col min="2" max="4" width="14.7109375" style="63" customWidth="1"/>
    <col min="5" max="16384" width="8.42578125" style="63"/>
  </cols>
  <sheetData>
    <row r="1" spans="1:8">
      <c r="A1" s="1" t="s">
        <v>323</v>
      </c>
    </row>
    <row r="3" spans="1:8" ht="47.25">
      <c r="A3" s="213" t="s">
        <v>23</v>
      </c>
      <c r="B3" s="223" t="s">
        <v>357</v>
      </c>
      <c r="C3" s="223" t="s">
        <v>358</v>
      </c>
      <c r="D3" s="223" t="s">
        <v>356</v>
      </c>
    </row>
    <row r="4" spans="1:8">
      <c r="A4" s="68" t="s">
        <v>6</v>
      </c>
      <c r="B4" s="93">
        <v>2.8</v>
      </c>
      <c r="C4" s="93">
        <v>3.8</v>
      </c>
      <c r="D4" s="93">
        <v>2050.3000000000002</v>
      </c>
      <c r="F4" s="215"/>
      <c r="G4" s="215"/>
      <c r="H4" s="215"/>
    </row>
    <row r="5" spans="1:8">
      <c r="A5" s="68" t="s">
        <v>7</v>
      </c>
      <c r="B5" s="93">
        <v>-1</v>
      </c>
      <c r="C5" s="93">
        <v>6.8</v>
      </c>
      <c r="D5" s="93">
        <v>2030.2</v>
      </c>
      <c r="F5" s="215"/>
      <c r="G5" s="215"/>
      <c r="H5" s="215"/>
    </row>
    <row r="6" spans="1:8">
      <c r="A6" s="68" t="s">
        <v>8</v>
      </c>
      <c r="B6" s="93">
        <v>-0.1</v>
      </c>
      <c r="C6" s="93">
        <v>6.6</v>
      </c>
      <c r="D6" s="93">
        <v>2029.1</v>
      </c>
      <c r="F6" s="215"/>
      <c r="G6" s="215"/>
      <c r="H6" s="215"/>
    </row>
    <row r="7" spans="1:8">
      <c r="A7" s="68" t="s">
        <v>9</v>
      </c>
      <c r="B7" s="93">
        <v>3.5</v>
      </c>
      <c r="C7" s="93">
        <v>5.6</v>
      </c>
      <c r="D7" s="93">
        <v>2101.1</v>
      </c>
      <c r="F7" s="215"/>
      <c r="G7" s="215"/>
      <c r="H7" s="215"/>
    </row>
    <row r="8" spans="1:8">
      <c r="A8" s="68" t="s">
        <v>10</v>
      </c>
      <c r="B8" s="93">
        <v>3.1</v>
      </c>
      <c r="C8" s="93">
        <v>4.7</v>
      </c>
      <c r="D8" s="93">
        <v>2166.1</v>
      </c>
      <c r="F8" s="215"/>
      <c r="G8" s="215"/>
      <c r="H8" s="215"/>
    </row>
    <row r="9" spans="1:8">
      <c r="A9" s="68" t="s">
        <v>11</v>
      </c>
      <c r="B9" s="93">
        <v>2.2999999999999998</v>
      </c>
      <c r="C9" s="93">
        <v>4.5999999999999996</v>
      </c>
      <c r="D9" s="93">
        <v>2215</v>
      </c>
      <c r="F9" s="215"/>
      <c r="G9" s="215"/>
      <c r="H9" s="215"/>
    </row>
    <row r="10" spans="1:8">
      <c r="A10" s="68" t="s">
        <v>12</v>
      </c>
      <c r="B10" s="93">
        <v>1.6</v>
      </c>
      <c r="C10" s="93">
        <v>4.8</v>
      </c>
      <c r="D10" s="93">
        <v>2250.3000000000002</v>
      </c>
      <c r="F10" s="215"/>
      <c r="G10" s="215"/>
      <c r="H10" s="215"/>
    </row>
    <row r="11" spans="1:8">
      <c r="A11" s="68" t="s">
        <v>13</v>
      </c>
      <c r="B11" s="93">
        <v>0.6</v>
      </c>
      <c r="C11" s="93">
        <v>6.1</v>
      </c>
      <c r="D11" s="93">
        <v>2263</v>
      </c>
      <c r="F11" s="215"/>
      <c r="G11" s="215"/>
      <c r="H11" s="215"/>
    </row>
    <row r="12" spans="1:8">
      <c r="A12" s="68" t="s">
        <v>14</v>
      </c>
      <c r="B12" s="93">
        <v>-2.9</v>
      </c>
      <c r="C12" s="93">
        <v>8.1999999999999993</v>
      </c>
      <c r="D12" s="93">
        <v>2198.3000000000002</v>
      </c>
      <c r="F12" s="215"/>
      <c r="G12" s="215"/>
      <c r="H12" s="215"/>
    </row>
    <row r="13" spans="1:8">
      <c r="A13" s="68" t="s">
        <v>15</v>
      </c>
      <c r="B13" s="93">
        <v>0.9</v>
      </c>
      <c r="C13" s="93">
        <v>8</v>
      </c>
      <c r="D13" s="93">
        <v>2218.4</v>
      </c>
      <c r="F13" s="215"/>
      <c r="G13" s="215"/>
      <c r="H13" s="215"/>
    </row>
    <row r="14" spans="1:8">
      <c r="A14" s="68" t="s">
        <v>16</v>
      </c>
      <c r="B14" s="93">
        <v>2.7</v>
      </c>
      <c r="C14" s="93">
        <v>6.5</v>
      </c>
      <c r="D14" s="93">
        <v>2279.3000000000002</v>
      </c>
      <c r="F14" s="215"/>
      <c r="G14" s="215"/>
      <c r="H14" s="215"/>
    </row>
    <row r="15" spans="1:8">
      <c r="A15" s="68" t="s">
        <v>17</v>
      </c>
      <c r="B15" s="93">
        <v>1.1000000000000001</v>
      </c>
      <c r="C15" s="93">
        <v>6.9</v>
      </c>
      <c r="D15" s="93">
        <v>2305.5</v>
      </c>
      <c r="F15" s="215"/>
      <c r="G15" s="215"/>
      <c r="H15" s="215"/>
    </row>
    <row r="16" spans="1:8">
      <c r="A16" s="68" t="s">
        <v>18</v>
      </c>
      <c r="B16" s="93">
        <v>-7.3</v>
      </c>
      <c r="C16" s="93">
        <v>11.4</v>
      </c>
      <c r="D16" s="93">
        <v>2137.1</v>
      </c>
      <c r="F16" s="215"/>
      <c r="G16" s="215"/>
      <c r="H16" s="215"/>
    </row>
    <row r="17" spans="1:8">
      <c r="A17" s="68" t="s">
        <v>19</v>
      </c>
      <c r="B17" s="93">
        <v>5.0999999999999996</v>
      </c>
      <c r="C17" s="93">
        <v>8.6</v>
      </c>
      <c r="D17" s="93">
        <v>2245.9</v>
      </c>
      <c r="F17" s="215"/>
      <c r="G17" s="215"/>
      <c r="H17" s="215"/>
    </row>
    <row r="18" spans="1:8">
      <c r="A18" s="68" t="s">
        <v>20</v>
      </c>
      <c r="B18" s="93">
        <v>4.9000000000000004</v>
      </c>
      <c r="C18" s="93">
        <v>5.8</v>
      </c>
      <c r="D18" s="93">
        <v>2356</v>
      </c>
      <c r="F18" s="215"/>
      <c r="G18" s="215"/>
      <c r="H18" s="215"/>
    </row>
    <row r="19" spans="1:8">
      <c r="A19" s="68" t="s">
        <v>30</v>
      </c>
      <c r="B19" s="93">
        <v>3.7</v>
      </c>
      <c r="C19" s="93">
        <v>5.9</v>
      </c>
      <c r="D19" s="93">
        <v>2442.6</v>
      </c>
      <c r="F19" s="215"/>
      <c r="G19" s="215"/>
      <c r="H19" s="215"/>
    </row>
    <row r="20" spans="1:8">
      <c r="A20" s="68" t="s">
        <v>285</v>
      </c>
      <c r="B20" s="93">
        <v>3.1</v>
      </c>
      <c r="C20" s="93">
        <v>7</v>
      </c>
      <c r="D20" s="93">
        <v>2518.9</v>
      </c>
      <c r="F20" s="215"/>
      <c r="G20" s="215"/>
      <c r="H20" s="215"/>
    </row>
    <row r="21" spans="1:8">
      <c r="A21" s="68" t="s">
        <v>2</v>
      </c>
      <c r="B21" s="93">
        <v>1.9</v>
      </c>
      <c r="C21" s="93">
        <v>7.4</v>
      </c>
      <c r="D21" s="93">
        <v>2567.3000000000002</v>
      </c>
      <c r="F21" s="215"/>
      <c r="G21" s="215"/>
      <c r="H21" s="215"/>
    </row>
    <row r="22" spans="1:8">
      <c r="A22" s="68" t="s">
        <v>3</v>
      </c>
      <c r="B22" s="93">
        <v>1.6</v>
      </c>
      <c r="C22" s="93">
        <v>7.2</v>
      </c>
      <c r="D22" s="93">
        <v>2608.9</v>
      </c>
      <c r="F22" s="215"/>
      <c r="G22" s="215"/>
      <c r="H22" s="215"/>
    </row>
    <row r="23" spans="1:8">
      <c r="A23" s="68" t="s">
        <v>4</v>
      </c>
      <c r="B23" s="93">
        <v>1.9</v>
      </c>
      <c r="C23" s="93">
        <v>6.9</v>
      </c>
      <c r="D23" s="93">
        <v>2659</v>
      </c>
      <c r="F23" s="215"/>
      <c r="G23" s="215"/>
      <c r="H23" s="215"/>
    </row>
    <row r="24" spans="1:8">
      <c r="A24" s="68" t="s">
        <v>5</v>
      </c>
      <c r="B24" s="93">
        <v>2</v>
      </c>
      <c r="C24" s="93">
        <v>6.6</v>
      </c>
      <c r="D24" s="93">
        <v>2713.2</v>
      </c>
      <c r="F24" s="215"/>
      <c r="G24" s="215"/>
      <c r="H24" s="215"/>
    </row>
    <row r="27" spans="1:8">
      <c r="A27" s="63" t="s">
        <v>27</v>
      </c>
    </row>
  </sheetData>
  <pageMargins left="0.7" right="0.7" top="0.75" bottom="0.75" header="0.3" footer="0.3"/>
  <headerFooter>
    <oddFooter>&amp;L_x000D_&amp;1#&amp;"Calibri"&amp;11&amp;K000000 Classification: Public</oddFooter>
  </headerFooter>
  <ignoredErrors>
    <ignoredError sqref="A4:A24"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7F205-0A2E-43E8-8D66-5B127EBFE92F}">
  <sheetPr>
    <tabColor rgb="FF92D050"/>
  </sheetPr>
  <dimension ref="A1:H73"/>
  <sheetViews>
    <sheetView zoomScaleNormal="100" workbookViewId="0">
      <selection activeCell="H10" sqref="H10"/>
    </sheetView>
  </sheetViews>
  <sheetFormatPr defaultColWidth="9.140625" defaultRowHeight="15.75"/>
  <cols>
    <col min="1" max="4" width="12.7109375" style="70" customWidth="1"/>
    <col min="5" max="16384" width="9.140625" style="70"/>
  </cols>
  <sheetData>
    <row r="1" spans="1:8">
      <c r="A1" s="1" t="s">
        <v>324</v>
      </c>
    </row>
    <row r="3" spans="1:8" ht="31.5">
      <c r="A3" s="213" t="s">
        <v>25</v>
      </c>
      <c r="B3" s="218" t="s">
        <v>359</v>
      </c>
      <c r="C3" s="218" t="s">
        <v>360</v>
      </c>
      <c r="D3" s="218" t="s">
        <v>361</v>
      </c>
    </row>
    <row r="4" spans="1:8">
      <c r="A4" s="94">
        <v>43617</v>
      </c>
      <c r="B4" s="221">
        <v>1.42</v>
      </c>
      <c r="C4" s="221">
        <v>1.86</v>
      </c>
      <c r="D4" s="221">
        <v>4.4000000000000004</v>
      </c>
      <c r="F4" s="95"/>
      <c r="G4" s="95"/>
      <c r="H4" s="95"/>
    </row>
    <row r="5" spans="1:8">
      <c r="A5" s="94">
        <v>43647</v>
      </c>
      <c r="B5" s="221">
        <v>1.27</v>
      </c>
      <c r="C5" s="221">
        <v>0.83</v>
      </c>
      <c r="D5" s="221">
        <v>4.72</v>
      </c>
      <c r="F5" s="95"/>
      <c r="G5" s="95"/>
      <c r="H5" s="95"/>
    </row>
    <row r="6" spans="1:8">
      <c r="A6" s="94">
        <v>43678</v>
      </c>
      <c r="B6" s="221">
        <v>1.27</v>
      </c>
      <c r="C6" s="221">
        <v>1.6</v>
      </c>
      <c r="D6" s="221">
        <v>3.88</v>
      </c>
      <c r="F6" s="95"/>
      <c r="G6" s="95"/>
      <c r="H6" s="95"/>
    </row>
    <row r="7" spans="1:8">
      <c r="A7" s="94">
        <v>43709</v>
      </c>
      <c r="B7" s="221">
        <v>1.28</v>
      </c>
      <c r="C7" s="221">
        <v>1.84</v>
      </c>
      <c r="D7" s="221">
        <v>3.88</v>
      </c>
      <c r="F7" s="95"/>
      <c r="G7" s="95"/>
      <c r="H7" s="95"/>
    </row>
    <row r="8" spans="1:8">
      <c r="A8" s="94">
        <v>43739</v>
      </c>
      <c r="B8" s="221">
        <v>1.56</v>
      </c>
      <c r="C8" s="221">
        <v>2.1800000000000002</v>
      </c>
      <c r="D8" s="221">
        <v>4.01</v>
      </c>
      <c r="F8" s="95"/>
      <c r="G8" s="95"/>
      <c r="H8" s="95"/>
    </row>
    <row r="9" spans="1:8">
      <c r="A9" s="94">
        <v>43770</v>
      </c>
      <c r="B9" s="221">
        <v>2.06</v>
      </c>
      <c r="C9" s="221">
        <v>1.76</v>
      </c>
      <c r="D9" s="221">
        <v>3.65</v>
      </c>
      <c r="F9" s="95"/>
      <c r="G9" s="95"/>
      <c r="H9" s="95"/>
    </row>
    <row r="10" spans="1:8">
      <c r="A10" s="94">
        <v>43800</v>
      </c>
      <c r="B10" s="221">
        <v>2.2799999999999998</v>
      </c>
      <c r="C10" s="221">
        <v>2.46</v>
      </c>
      <c r="D10" s="221">
        <v>3.5</v>
      </c>
      <c r="F10" s="95"/>
      <c r="G10" s="95"/>
      <c r="H10" s="95"/>
    </row>
    <row r="11" spans="1:8">
      <c r="A11" s="94">
        <v>43831</v>
      </c>
      <c r="B11" s="221">
        <v>2.99</v>
      </c>
      <c r="C11" s="221">
        <v>1.69</v>
      </c>
      <c r="D11" s="221">
        <v>4.63</v>
      </c>
      <c r="F11" s="95"/>
      <c r="G11" s="95"/>
      <c r="H11" s="95"/>
    </row>
    <row r="12" spans="1:8">
      <c r="A12" s="94">
        <v>43862</v>
      </c>
      <c r="B12" s="221">
        <v>2.46</v>
      </c>
      <c r="C12" s="221">
        <v>1.8</v>
      </c>
      <c r="D12" s="221">
        <v>3.32</v>
      </c>
      <c r="F12" s="95"/>
      <c r="G12" s="95"/>
      <c r="H12" s="95"/>
    </row>
    <row r="13" spans="1:8">
      <c r="A13" s="94">
        <v>43891</v>
      </c>
      <c r="B13" s="221">
        <v>0.7</v>
      </c>
      <c r="C13" s="221">
        <v>0.28999999999999998</v>
      </c>
      <c r="D13" s="221">
        <v>3.44</v>
      </c>
      <c r="F13" s="95"/>
      <c r="G13" s="95"/>
      <c r="H13" s="95"/>
    </row>
    <row r="14" spans="1:8">
      <c r="A14" s="94">
        <v>43922</v>
      </c>
      <c r="B14" s="221">
        <v>-0.49</v>
      </c>
      <c r="C14" s="221">
        <v>0.06</v>
      </c>
      <c r="D14" s="221">
        <v>3.66</v>
      </c>
      <c r="F14" s="95"/>
      <c r="G14" s="95"/>
      <c r="H14" s="95"/>
    </row>
    <row r="15" spans="1:8">
      <c r="A15" s="94">
        <v>43952</v>
      </c>
      <c r="B15" s="221">
        <v>7.0000000000000007E-2</v>
      </c>
      <c r="C15" s="221">
        <v>0.69</v>
      </c>
      <c r="D15" s="221">
        <v>3.91</v>
      </c>
      <c r="F15" s="95"/>
      <c r="G15" s="95"/>
      <c r="H15" s="95"/>
    </row>
    <row r="16" spans="1:8">
      <c r="A16" s="94">
        <v>43983</v>
      </c>
      <c r="B16" s="221">
        <v>1.61</v>
      </c>
      <c r="C16" s="221">
        <v>2.6</v>
      </c>
      <c r="D16" s="221">
        <v>3.01</v>
      </c>
      <c r="F16" s="95"/>
      <c r="G16" s="95"/>
      <c r="H16" s="95"/>
    </row>
    <row r="17" spans="1:8">
      <c r="A17" s="94">
        <v>44013</v>
      </c>
      <c r="B17" s="221">
        <v>0.91</v>
      </c>
      <c r="C17" s="221">
        <v>2.71</v>
      </c>
      <c r="D17" s="221">
        <v>1.86</v>
      </c>
      <c r="F17" s="95"/>
      <c r="G17" s="95"/>
      <c r="H17" s="95"/>
    </row>
    <row r="18" spans="1:8">
      <c r="A18" s="94">
        <v>44044</v>
      </c>
      <c r="B18" s="221">
        <v>0.56000000000000005</v>
      </c>
      <c r="C18" s="221">
        <v>1.52</v>
      </c>
      <c r="D18" s="221">
        <v>1.53</v>
      </c>
      <c r="F18" s="95"/>
      <c r="G18" s="95"/>
      <c r="H18" s="95"/>
    </row>
    <row r="19" spans="1:8">
      <c r="A19" s="94">
        <v>44075</v>
      </c>
      <c r="B19" s="221">
        <v>1.47</v>
      </c>
      <c r="C19" s="221">
        <v>2.21</v>
      </c>
      <c r="D19" s="221">
        <v>1.6</v>
      </c>
      <c r="F19" s="95"/>
      <c r="G19" s="95"/>
      <c r="H19" s="95"/>
    </row>
    <row r="20" spans="1:8">
      <c r="A20" s="94">
        <v>44105</v>
      </c>
      <c r="B20" s="221">
        <v>1.1100000000000001</v>
      </c>
      <c r="C20" s="221">
        <v>0.87</v>
      </c>
      <c r="D20" s="221">
        <v>1.6</v>
      </c>
      <c r="F20" s="95"/>
      <c r="G20" s="95"/>
      <c r="H20" s="95"/>
    </row>
    <row r="21" spans="1:8">
      <c r="A21" s="94">
        <v>44136</v>
      </c>
      <c r="B21" s="221">
        <v>1.25</v>
      </c>
      <c r="C21" s="221">
        <v>1.1499999999999999</v>
      </c>
      <c r="D21" s="221">
        <v>2.06</v>
      </c>
      <c r="F21" s="95"/>
      <c r="G21" s="95"/>
      <c r="H21" s="95"/>
    </row>
    <row r="22" spans="1:8">
      <c r="A22" s="94">
        <v>44166</v>
      </c>
      <c r="B22" s="221">
        <v>0.77</v>
      </c>
      <c r="C22" s="221">
        <v>0.63</v>
      </c>
      <c r="D22" s="221">
        <v>1.19</v>
      </c>
      <c r="F22" s="95"/>
      <c r="G22" s="95"/>
      <c r="H22" s="95"/>
    </row>
    <row r="23" spans="1:8">
      <c r="A23" s="94">
        <v>44197</v>
      </c>
      <c r="B23" s="221">
        <v>0.76</v>
      </c>
      <c r="C23" s="221">
        <v>1.0900000000000001</v>
      </c>
      <c r="D23" s="221">
        <v>0.33</v>
      </c>
      <c r="F23" s="95"/>
      <c r="G23" s="95"/>
      <c r="H23" s="95"/>
    </row>
    <row r="24" spans="1:8">
      <c r="A24" s="94">
        <v>44228</v>
      </c>
      <c r="B24" s="221">
        <v>0.62</v>
      </c>
      <c r="C24" s="221">
        <v>0.91</v>
      </c>
      <c r="D24" s="221">
        <v>1.51</v>
      </c>
      <c r="F24" s="95"/>
      <c r="G24" s="95"/>
      <c r="H24" s="95"/>
    </row>
    <row r="25" spans="1:8">
      <c r="A25" s="94">
        <v>44256</v>
      </c>
      <c r="B25" s="221">
        <v>1.94</v>
      </c>
      <c r="C25" s="221">
        <v>2.13</v>
      </c>
      <c r="D25" s="221">
        <v>1.7</v>
      </c>
      <c r="F25" s="95"/>
      <c r="G25" s="95"/>
      <c r="H25" s="95"/>
    </row>
    <row r="26" spans="1:8">
      <c r="A26" s="94">
        <v>44287</v>
      </c>
      <c r="B26" s="221">
        <v>3.29</v>
      </c>
      <c r="C26" s="221">
        <v>2.25</v>
      </c>
      <c r="D26" s="221">
        <v>1.63</v>
      </c>
      <c r="F26" s="95"/>
      <c r="G26" s="95"/>
      <c r="H26" s="95"/>
    </row>
    <row r="27" spans="1:8">
      <c r="A27" s="94">
        <v>44317</v>
      </c>
      <c r="B27" s="221">
        <v>3.12</v>
      </c>
      <c r="C27" s="221">
        <v>2.13</v>
      </c>
      <c r="D27" s="221">
        <v>2.14</v>
      </c>
      <c r="F27" s="95"/>
      <c r="G27" s="95"/>
      <c r="H27" s="95"/>
    </row>
    <row r="28" spans="1:8">
      <c r="A28" s="94">
        <v>44348</v>
      </c>
      <c r="B28" s="221">
        <v>2.69</v>
      </c>
      <c r="C28" s="221">
        <v>2.99</v>
      </c>
      <c r="D28" s="221">
        <v>2.21</v>
      </c>
      <c r="F28" s="95"/>
      <c r="G28" s="95"/>
      <c r="H28" s="95"/>
    </row>
    <row r="29" spans="1:8">
      <c r="A29" s="94">
        <v>44378</v>
      </c>
      <c r="B29" s="221">
        <v>3.73</v>
      </c>
      <c r="C29" s="221">
        <v>4.3</v>
      </c>
      <c r="D29" s="221">
        <v>2.41</v>
      </c>
      <c r="F29" s="95"/>
      <c r="G29" s="95"/>
      <c r="H29" s="95"/>
    </row>
    <row r="30" spans="1:8">
      <c r="A30" s="94">
        <v>44409</v>
      </c>
      <c r="B30" s="221">
        <v>4.72</v>
      </c>
      <c r="C30" s="221">
        <v>5.41</v>
      </c>
      <c r="D30" s="221">
        <v>3.48</v>
      </c>
      <c r="F30" s="95"/>
      <c r="G30" s="95"/>
      <c r="H30" s="95"/>
    </row>
    <row r="31" spans="1:8">
      <c r="A31" s="94">
        <v>44440</v>
      </c>
      <c r="B31" s="221">
        <v>4</v>
      </c>
      <c r="C31" s="221">
        <v>3.59</v>
      </c>
      <c r="D31" s="221">
        <v>4.13</v>
      </c>
      <c r="F31" s="95"/>
      <c r="G31" s="95"/>
      <c r="H31" s="95"/>
    </row>
    <row r="32" spans="1:8">
      <c r="A32" s="94">
        <v>44470</v>
      </c>
      <c r="B32" s="221">
        <v>4.34</v>
      </c>
      <c r="C32" s="221">
        <v>4.24</v>
      </c>
      <c r="D32" s="221">
        <v>3.99</v>
      </c>
      <c r="F32" s="95"/>
      <c r="G32" s="95"/>
      <c r="H32" s="95"/>
    </row>
    <row r="33" spans="1:8">
      <c r="A33" s="94">
        <v>44501</v>
      </c>
      <c r="B33" s="221">
        <v>4.26</v>
      </c>
      <c r="C33" s="221">
        <v>4.2699999999999996</v>
      </c>
      <c r="D33" s="221">
        <v>3.97</v>
      </c>
      <c r="F33" s="95"/>
      <c r="G33" s="95"/>
      <c r="H33" s="95"/>
    </row>
    <row r="34" spans="1:8">
      <c r="A34" s="94">
        <v>44531</v>
      </c>
      <c r="B34" s="221">
        <v>4.7699999999999996</v>
      </c>
      <c r="C34" s="221">
        <v>4.9400000000000004</v>
      </c>
      <c r="D34" s="221">
        <v>5.25</v>
      </c>
      <c r="F34" s="95"/>
      <c r="G34" s="95"/>
      <c r="H34" s="95"/>
    </row>
    <row r="35" spans="1:8">
      <c r="A35" s="94">
        <v>44562</v>
      </c>
      <c r="B35" s="221">
        <v>4.8</v>
      </c>
      <c r="C35" s="221">
        <v>5.5</v>
      </c>
      <c r="D35" s="221">
        <v>5.71</v>
      </c>
      <c r="F35" s="95"/>
      <c r="G35" s="95"/>
      <c r="H35" s="95"/>
    </row>
    <row r="36" spans="1:8">
      <c r="A36" s="94">
        <v>44593</v>
      </c>
      <c r="B36" s="221">
        <v>5.53</v>
      </c>
      <c r="C36" s="221">
        <v>6.56</v>
      </c>
      <c r="D36" s="221">
        <v>6.19</v>
      </c>
      <c r="F36" s="95"/>
      <c r="G36" s="95"/>
      <c r="H36" s="95"/>
    </row>
    <row r="37" spans="1:8">
      <c r="A37" s="94">
        <v>44621</v>
      </c>
      <c r="B37" s="221">
        <v>6.54</v>
      </c>
      <c r="C37" s="221">
        <v>5.58</v>
      </c>
      <c r="D37" s="221">
        <v>6.8</v>
      </c>
      <c r="F37" s="95"/>
      <c r="G37" s="95"/>
      <c r="H37" s="95"/>
    </row>
    <row r="38" spans="1:8">
      <c r="A38" s="94">
        <v>44652</v>
      </c>
      <c r="B38" s="221">
        <v>6.3</v>
      </c>
      <c r="C38" s="221">
        <v>7.05</v>
      </c>
      <c r="D38" s="221">
        <v>7.72</v>
      </c>
      <c r="F38" s="95"/>
      <c r="G38" s="95"/>
      <c r="H38" s="95"/>
    </row>
    <row r="39" spans="1:8">
      <c r="A39" s="94">
        <v>44682</v>
      </c>
      <c r="B39" s="221">
        <v>7.13</v>
      </c>
      <c r="C39" s="221">
        <v>7.88</v>
      </c>
      <c r="D39" s="221">
        <v>7.24</v>
      </c>
      <c r="F39" s="95"/>
      <c r="G39" s="95"/>
      <c r="H39" s="95"/>
    </row>
    <row r="40" spans="1:8">
      <c r="A40" s="94">
        <v>44713</v>
      </c>
      <c r="B40" s="221">
        <v>8.39</v>
      </c>
      <c r="C40" s="221">
        <v>8.7100000000000009</v>
      </c>
      <c r="D40" s="221">
        <v>7.56</v>
      </c>
      <c r="F40" s="95"/>
      <c r="G40" s="95"/>
      <c r="H40" s="95"/>
    </row>
    <row r="41" spans="1:8">
      <c r="A41" s="94">
        <v>44743</v>
      </c>
      <c r="B41" s="221">
        <v>7.39</v>
      </c>
      <c r="C41" s="221">
        <v>6.37</v>
      </c>
      <c r="D41" s="221">
        <v>8.39</v>
      </c>
      <c r="F41" s="95"/>
      <c r="G41" s="95"/>
      <c r="H41" s="95"/>
    </row>
    <row r="42" spans="1:8">
      <c r="A42" s="94">
        <v>44774</v>
      </c>
      <c r="B42" s="221">
        <v>5.96</v>
      </c>
      <c r="C42" s="221">
        <v>4.75</v>
      </c>
      <c r="D42" s="221">
        <v>9.4499999999999993</v>
      </c>
      <c r="F42" s="95"/>
      <c r="G42" s="95"/>
      <c r="H42" s="95"/>
    </row>
    <row r="43" spans="1:8">
      <c r="A43" s="94">
        <v>44805</v>
      </c>
      <c r="B43" s="221">
        <v>6.17</v>
      </c>
      <c r="C43" s="221">
        <v>6.16</v>
      </c>
      <c r="D43" s="221">
        <v>9.6999999999999993</v>
      </c>
      <c r="F43" s="95"/>
      <c r="G43" s="95"/>
      <c r="H43" s="95"/>
    </row>
    <row r="44" spans="1:8">
      <c r="A44" s="94">
        <v>44835</v>
      </c>
      <c r="B44" s="221">
        <v>6.8</v>
      </c>
      <c r="C44" s="221">
        <v>6.7</v>
      </c>
      <c r="D44" s="221">
        <v>10.26</v>
      </c>
      <c r="F44" s="95"/>
      <c r="G44" s="95"/>
      <c r="H44" s="95"/>
    </row>
    <row r="45" spans="1:8">
      <c r="A45" s="94">
        <v>44866</v>
      </c>
      <c r="B45" s="221">
        <v>6.6</v>
      </c>
      <c r="C45" s="221">
        <v>6.5</v>
      </c>
      <c r="D45" s="221">
        <v>10.58</v>
      </c>
      <c r="F45" s="95"/>
      <c r="G45" s="95"/>
      <c r="H45" s="95"/>
    </row>
    <row r="46" spans="1:8">
      <c r="A46" s="94">
        <v>44896</v>
      </c>
      <c r="B46" s="221">
        <v>6</v>
      </c>
      <c r="C46" s="221">
        <v>7.57</v>
      </c>
      <c r="D46" s="221">
        <v>10.029999999999999</v>
      </c>
      <c r="F46" s="95"/>
      <c r="G46" s="95"/>
      <c r="H46" s="95"/>
    </row>
    <row r="47" spans="1:8">
      <c r="A47" s="94">
        <v>44927</v>
      </c>
      <c r="B47" s="221">
        <v>5.04</v>
      </c>
      <c r="C47" s="221">
        <v>4.3499999999999996</v>
      </c>
      <c r="D47" s="221">
        <v>10.5</v>
      </c>
      <c r="F47" s="95"/>
      <c r="G47" s="95"/>
      <c r="H47" s="95"/>
    </row>
    <row r="48" spans="1:8">
      <c r="A48" s="94">
        <v>44958</v>
      </c>
      <c r="B48" s="221">
        <v>3.62</v>
      </c>
      <c r="C48" s="221">
        <v>2.23</v>
      </c>
      <c r="D48" s="221">
        <v>9.66</v>
      </c>
      <c r="F48" s="95"/>
      <c r="G48" s="95"/>
      <c r="H48" s="95"/>
    </row>
    <row r="49" spans="1:8">
      <c r="A49" s="94">
        <v>44986</v>
      </c>
      <c r="B49" s="221">
        <v>3.32</v>
      </c>
      <c r="C49" s="221">
        <v>4.49</v>
      </c>
      <c r="D49" s="221">
        <v>8.41</v>
      </c>
      <c r="F49" s="95"/>
      <c r="G49" s="95"/>
      <c r="H49" s="95"/>
    </row>
    <row r="50" spans="1:8">
      <c r="A50" s="94">
        <v>45017</v>
      </c>
      <c r="B50" s="221">
        <v>4.2699999999999996</v>
      </c>
      <c r="C50" s="221">
        <v>5.64</v>
      </c>
      <c r="D50" s="221">
        <v>8.1199999999999992</v>
      </c>
      <c r="F50" s="95"/>
      <c r="G50" s="95"/>
      <c r="H50" s="95"/>
    </row>
    <row r="51" spans="1:8">
      <c r="A51" s="94">
        <v>45047</v>
      </c>
      <c r="B51" s="221">
        <v>3.08</v>
      </c>
      <c r="C51" s="221">
        <v>5.0599999999999996</v>
      </c>
      <c r="D51" s="221">
        <v>8.2899999999999991</v>
      </c>
      <c r="F51" s="95"/>
      <c r="G51" s="95"/>
      <c r="H51" s="95"/>
    </row>
    <row r="52" spans="1:8">
      <c r="A52" s="94">
        <v>45078</v>
      </c>
      <c r="B52" s="221">
        <v>1.86</v>
      </c>
      <c r="C52" s="221">
        <v>4.57</v>
      </c>
      <c r="D52" s="221">
        <v>7.91</v>
      </c>
      <c r="F52" s="95"/>
      <c r="G52" s="95"/>
      <c r="H52" s="95"/>
    </row>
    <row r="53" spans="1:8">
      <c r="A53" s="94">
        <v>45108</v>
      </c>
      <c r="B53" s="221">
        <v>2.85</v>
      </c>
      <c r="C53" s="221">
        <v>7.54</v>
      </c>
      <c r="D53" s="221">
        <v>7.62</v>
      </c>
      <c r="F53" s="95"/>
      <c r="G53" s="95"/>
      <c r="H53" s="95"/>
    </row>
    <row r="54" spans="1:8">
      <c r="A54" s="94">
        <v>45139</v>
      </c>
      <c r="B54" s="221">
        <v>4.25</v>
      </c>
      <c r="C54" s="221">
        <v>10.57</v>
      </c>
      <c r="D54" s="221">
        <v>6.2</v>
      </c>
      <c r="F54" s="95"/>
      <c r="G54" s="95"/>
      <c r="H54" s="95"/>
    </row>
    <row r="55" spans="1:8">
      <c r="A55" s="94">
        <v>45170</v>
      </c>
      <c r="B55" s="221">
        <v>3.69</v>
      </c>
      <c r="C55" s="221">
        <v>9.74</v>
      </c>
      <c r="D55" s="221">
        <v>5.46</v>
      </c>
      <c r="F55" s="95"/>
      <c r="G55" s="95"/>
      <c r="H55" s="95"/>
    </row>
    <row r="56" spans="1:8">
      <c r="A56" s="94">
        <v>45200</v>
      </c>
      <c r="B56" s="221">
        <v>2.1</v>
      </c>
      <c r="C56" s="221">
        <v>8.34</v>
      </c>
      <c r="D56" s="221">
        <v>4.74</v>
      </c>
      <c r="F56" s="95"/>
      <c r="G56" s="95"/>
      <c r="H56" s="95"/>
    </row>
    <row r="57" spans="1:8">
      <c r="A57" s="94">
        <v>45231</v>
      </c>
      <c r="B57" s="221">
        <v>2.48</v>
      </c>
      <c r="C57" s="221">
        <v>8.4600000000000009</v>
      </c>
      <c r="D57" s="221">
        <v>4.58</v>
      </c>
      <c r="F57" s="95"/>
      <c r="G57" s="95"/>
      <c r="H57" s="95"/>
    </row>
    <row r="58" spans="1:8">
      <c r="A58" s="94">
        <v>45261</v>
      </c>
      <c r="B58" s="221">
        <v>2.99</v>
      </c>
      <c r="C58" s="221">
        <v>7.74</v>
      </c>
      <c r="D58" s="221">
        <v>5.0999999999999996</v>
      </c>
      <c r="F58" s="95"/>
      <c r="G58" s="95"/>
      <c r="H58" s="95"/>
    </row>
    <row r="59" spans="1:8">
      <c r="A59" s="94">
        <v>45292</v>
      </c>
      <c r="B59" s="221">
        <v>3.36</v>
      </c>
      <c r="C59" s="221">
        <v>10.039999999999999</v>
      </c>
      <c r="D59" s="221">
        <v>4.1100000000000003</v>
      </c>
      <c r="F59" s="95"/>
      <c r="G59" s="95"/>
      <c r="H59" s="95"/>
    </row>
    <row r="60" spans="1:8">
      <c r="A60" s="94">
        <v>45323</v>
      </c>
      <c r="B60" s="221">
        <v>4.18</v>
      </c>
      <c r="C60" s="221">
        <v>12.77</v>
      </c>
      <c r="D60" s="221">
        <v>3.93</v>
      </c>
      <c r="F60" s="95"/>
      <c r="G60" s="95"/>
      <c r="H60" s="95"/>
    </row>
    <row r="61" spans="1:8">
      <c r="A61" s="94">
        <v>45352</v>
      </c>
      <c r="B61" s="221">
        <v>3.46</v>
      </c>
      <c r="C61" s="221">
        <v>10.119999999999999</v>
      </c>
      <c r="D61" s="221">
        <v>3.77</v>
      </c>
      <c r="F61" s="95"/>
      <c r="G61" s="95"/>
      <c r="H61" s="95"/>
    </row>
    <row r="62" spans="1:8">
      <c r="A62" s="94">
        <v>45383</v>
      </c>
      <c r="B62" s="221">
        <v>2.99</v>
      </c>
      <c r="C62" s="221">
        <v>8.48</v>
      </c>
      <c r="D62" s="221">
        <v>3.15</v>
      </c>
      <c r="F62" s="95"/>
      <c r="G62" s="95"/>
      <c r="H62" s="95"/>
    </row>
    <row r="63" spans="1:8">
      <c r="A63" s="94">
        <v>45413</v>
      </c>
      <c r="B63" s="221">
        <v>3.05</v>
      </c>
      <c r="C63" s="221">
        <v>7.99</v>
      </c>
      <c r="D63" s="221">
        <v>2.74</v>
      </c>
      <c r="F63" s="95"/>
      <c r="G63" s="95"/>
      <c r="H63" s="95"/>
    </row>
    <row r="64" spans="1:8">
      <c r="A64" s="94">
        <v>45444</v>
      </c>
      <c r="B64" s="221">
        <v>3.04</v>
      </c>
      <c r="C64" s="221">
        <v>7.27</v>
      </c>
      <c r="D64" s="221">
        <v>3.61</v>
      </c>
      <c r="F64" s="95"/>
      <c r="G64" s="95"/>
      <c r="H64" s="95"/>
    </row>
    <row r="65" spans="1:8">
      <c r="A65" s="94">
        <v>45474</v>
      </c>
      <c r="B65" s="221">
        <v>2.65</v>
      </c>
      <c r="C65" s="221">
        <v>4.9400000000000004</v>
      </c>
      <c r="D65" s="221">
        <v>3.49</v>
      </c>
      <c r="F65" s="95"/>
      <c r="G65" s="95"/>
      <c r="H65" s="95"/>
    </row>
    <row r="66" spans="1:8">
      <c r="A66" s="94">
        <v>45505</v>
      </c>
      <c r="B66" s="221">
        <v>2.04</v>
      </c>
      <c r="C66" s="221">
        <v>3.77</v>
      </c>
      <c r="D66" s="221">
        <v>3.49</v>
      </c>
      <c r="F66" s="95"/>
      <c r="G66" s="95"/>
      <c r="H66" s="95"/>
    </row>
    <row r="67" spans="1:8">
      <c r="A67" s="94">
        <v>45536</v>
      </c>
      <c r="B67" s="221">
        <v>1.93</v>
      </c>
      <c r="C67" s="221">
        <v>4.1500000000000004</v>
      </c>
      <c r="D67" s="221">
        <v>3.21</v>
      </c>
      <c r="F67" s="95"/>
      <c r="G67" s="95"/>
      <c r="H67" s="95"/>
    </row>
    <row r="68" spans="1:8">
      <c r="A68" s="94">
        <v>45566</v>
      </c>
      <c r="B68" s="221">
        <v>2.97</v>
      </c>
      <c r="C68" s="221">
        <v>5.61</v>
      </c>
      <c r="D68" s="221">
        <v>3.76</v>
      </c>
      <c r="F68" s="95"/>
      <c r="G68" s="95"/>
      <c r="H68" s="95"/>
    </row>
    <row r="69" spans="1:8">
      <c r="A69" s="94">
        <v>45597</v>
      </c>
      <c r="B69" s="221">
        <v>2.78</v>
      </c>
      <c r="C69" s="221">
        <v>5.62</v>
      </c>
      <c r="D69" s="221">
        <v>3.08</v>
      </c>
      <c r="F69" s="95"/>
      <c r="G69" s="95"/>
      <c r="H69" s="95"/>
    </row>
    <row r="70" spans="1:8">
      <c r="A70" s="94">
        <v>45627</v>
      </c>
      <c r="B70" s="221">
        <v>2.48</v>
      </c>
      <c r="C70" s="221">
        <v>4.62</v>
      </c>
      <c r="D70" s="221">
        <v>1.72</v>
      </c>
      <c r="F70" s="95"/>
      <c r="G70" s="95"/>
      <c r="H70" s="95"/>
    </row>
    <row r="73" spans="1:8">
      <c r="A73" s="63" t="s">
        <v>31</v>
      </c>
    </row>
  </sheetData>
  <pageMargins left="0.7" right="0.7" top="0.75" bottom="0.75" header="0.3" footer="0.3"/>
  <headerFooter>
    <oddFooter>&amp;L_x000D_&amp;1#&amp;"Calibri"&amp;11&amp;K000000 Classification: Public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EF323-06B8-484C-A9CC-EFF743FE3020}">
  <sheetPr>
    <tabColor rgb="FF92D050"/>
  </sheetPr>
  <dimension ref="A1:G44"/>
  <sheetViews>
    <sheetView topLeftCell="A15" zoomScaleNormal="100" workbookViewId="0">
      <selection activeCell="F21" sqref="F21"/>
    </sheetView>
  </sheetViews>
  <sheetFormatPr defaultColWidth="9.140625" defaultRowHeight="15.75"/>
  <cols>
    <col min="1" max="1" width="12.7109375" style="63" customWidth="1"/>
    <col min="2" max="2" width="19" style="63" customWidth="1"/>
    <col min="3" max="3" width="12.7109375" style="63" customWidth="1"/>
    <col min="4" max="16384" width="9.140625" style="63"/>
  </cols>
  <sheetData>
    <row r="1" spans="1:7">
      <c r="A1" s="1" t="s">
        <v>325</v>
      </c>
    </row>
    <row r="3" spans="1:7" ht="31.5">
      <c r="A3" s="96" t="s">
        <v>23</v>
      </c>
      <c r="B3" s="231" t="s">
        <v>362</v>
      </c>
      <c r="C3" s="223" t="s">
        <v>363</v>
      </c>
    </row>
    <row r="4" spans="1:7">
      <c r="A4" s="97" t="s">
        <v>7</v>
      </c>
      <c r="B4" s="222">
        <v>33.1</v>
      </c>
      <c r="C4" s="222">
        <v>-3.5</v>
      </c>
      <c r="F4" s="118"/>
      <c r="G4" s="118"/>
    </row>
    <row r="5" spans="1:7">
      <c r="A5" s="97" t="s">
        <v>8</v>
      </c>
      <c r="B5" s="222">
        <v>34</v>
      </c>
      <c r="C5" s="222">
        <v>2.7</v>
      </c>
      <c r="F5" s="118"/>
      <c r="G5" s="118"/>
    </row>
    <row r="6" spans="1:7">
      <c r="A6" s="97" t="s">
        <v>9</v>
      </c>
      <c r="B6" s="222">
        <v>34.9</v>
      </c>
      <c r="C6" s="222">
        <v>2.5</v>
      </c>
      <c r="F6" s="118"/>
      <c r="G6" s="118"/>
    </row>
    <row r="7" spans="1:7">
      <c r="A7" s="97" t="s">
        <v>10</v>
      </c>
      <c r="B7" s="222">
        <v>35.5</v>
      </c>
      <c r="C7" s="222">
        <v>1.9</v>
      </c>
      <c r="F7" s="118"/>
      <c r="G7" s="118"/>
    </row>
    <row r="8" spans="1:7">
      <c r="A8" s="97" t="s">
        <v>11</v>
      </c>
      <c r="B8" s="222">
        <v>36.299999999999997</v>
      </c>
      <c r="C8" s="222">
        <v>2.1</v>
      </c>
      <c r="F8" s="118"/>
      <c r="G8" s="118"/>
    </row>
    <row r="9" spans="1:7">
      <c r="A9" s="97" t="s">
        <v>12</v>
      </c>
      <c r="B9" s="222">
        <v>36.700000000000003</v>
      </c>
      <c r="C9" s="222">
        <v>1.2</v>
      </c>
      <c r="F9" s="118"/>
      <c r="G9" s="118"/>
    </row>
    <row r="10" spans="1:7">
      <c r="A10" s="97" t="s">
        <v>13</v>
      </c>
      <c r="B10" s="222">
        <v>36.299999999999997</v>
      </c>
      <c r="C10" s="222">
        <v>-1.2</v>
      </c>
      <c r="F10" s="118"/>
      <c r="G10" s="118"/>
    </row>
    <row r="11" spans="1:7">
      <c r="A11" s="97" t="s">
        <v>14</v>
      </c>
      <c r="B11" s="222">
        <v>35.799999999999997</v>
      </c>
      <c r="C11" s="222">
        <v>-1.4</v>
      </c>
      <c r="F11" s="118"/>
      <c r="G11" s="118"/>
    </row>
    <row r="12" spans="1:7">
      <c r="A12" s="97" t="s">
        <v>15</v>
      </c>
      <c r="B12" s="222">
        <v>36.4</v>
      </c>
      <c r="C12" s="222">
        <v>1.9</v>
      </c>
      <c r="F12" s="118"/>
      <c r="G12" s="118"/>
    </row>
    <row r="13" spans="1:7">
      <c r="A13" s="97" t="s">
        <v>16</v>
      </c>
      <c r="B13" s="222">
        <v>36.6</v>
      </c>
      <c r="C13" s="222">
        <v>0.5</v>
      </c>
      <c r="F13" s="118"/>
      <c r="G13" s="118"/>
    </row>
    <row r="14" spans="1:7">
      <c r="A14" s="97" t="s">
        <v>17</v>
      </c>
      <c r="B14" s="222">
        <v>36.200000000000003</v>
      </c>
      <c r="C14" s="222">
        <v>-1</v>
      </c>
      <c r="F14" s="118"/>
      <c r="G14" s="118"/>
    </row>
    <row r="15" spans="1:7">
      <c r="A15" s="97" t="s">
        <v>18</v>
      </c>
      <c r="B15" s="222">
        <v>33.5</v>
      </c>
      <c r="C15" s="222">
        <v>-7.6</v>
      </c>
      <c r="F15" s="118"/>
      <c r="G15" s="118"/>
    </row>
    <row r="16" spans="1:7">
      <c r="A16" s="97" t="s">
        <v>19</v>
      </c>
      <c r="B16" s="222">
        <v>35.1</v>
      </c>
      <c r="C16" s="222">
        <v>5</v>
      </c>
      <c r="F16" s="118"/>
      <c r="G16" s="118"/>
    </row>
    <row r="17" spans="1:7">
      <c r="A17" s="97" t="s">
        <v>20</v>
      </c>
      <c r="B17" s="222">
        <v>35.6</v>
      </c>
      <c r="C17" s="222">
        <v>1.2</v>
      </c>
      <c r="F17" s="118"/>
      <c r="G17" s="118"/>
    </row>
    <row r="18" spans="1:7">
      <c r="A18" s="97" t="s">
        <v>30</v>
      </c>
      <c r="B18" s="222">
        <v>35.4</v>
      </c>
      <c r="C18" s="222">
        <v>-0.5</v>
      </c>
      <c r="F18" s="118"/>
      <c r="G18" s="118"/>
    </row>
    <row r="19" spans="1:7">
      <c r="A19" s="97" t="s">
        <v>1</v>
      </c>
      <c r="B19" s="222">
        <v>35</v>
      </c>
      <c r="C19" s="222">
        <v>-1.1000000000000001</v>
      </c>
      <c r="F19" s="118"/>
      <c r="G19" s="118"/>
    </row>
    <row r="20" spans="1:7">
      <c r="A20" s="97" t="s">
        <v>2</v>
      </c>
      <c r="B20" s="222">
        <v>34.799999999999997</v>
      </c>
      <c r="C20" s="222">
        <v>-0.5</v>
      </c>
      <c r="F20" s="118"/>
      <c r="G20" s="118"/>
    </row>
    <row r="21" spans="1:7">
      <c r="A21" s="97" t="s">
        <v>3</v>
      </c>
      <c r="B21" s="222">
        <v>34.799999999999997</v>
      </c>
      <c r="C21" s="222">
        <v>0.2</v>
      </c>
      <c r="F21" s="118"/>
      <c r="G21" s="118"/>
    </row>
    <row r="22" spans="1:7">
      <c r="A22" s="97" t="s">
        <v>4</v>
      </c>
      <c r="B22" s="222">
        <v>35</v>
      </c>
      <c r="C22" s="222">
        <v>0.5</v>
      </c>
      <c r="F22" s="118"/>
      <c r="G22" s="118"/>
    </row>
    <row r="23" spans="1:7">
      <c r="A23" s="97" t="s">
        <v>5</v>
      </c>
      <c r="B23" s="222">
        <v>35.299999999999997</v>
      </c>
      <c r="C23" s="222">
        <v>0.7</v>
      </c>
      <c r="F23" s="118"/>
      <c r="G23" s="118"/>
    </row>
    <row r="24" spans="1:7">
      <c r="A24" s="86"/>
      <c r="B24" s="78"/>
    </row>
    <row r="25" spans="1:7">
      <c r="A25" s="86"/>
      <c r="B25" s="78"/>
    </row>
    <row r="26" spans="1:7">
      <c r="A26" s="63" t="s">
        <v>24</v>
      </c>
      <c r="B26" s="78"/>
    </row>
    <row r="27" spans="1:7">
      <c r="A27" s="86"/>
      <c r="B27" s="78"/>
    </row>
    <row r="28" spans="1:7">
      <c r="A28" s="86"/>
      <c r="B28" s="78"/>
    </row>
    <row r="29" spans="1:7">
      <c r="A29" s="86"/>
      <c r="B29" s="78"/>
    </row>
    <row r="30" spans="1:7">
      <c r="A30" s="86"/>
      <c r="B30" s="78"/>
    </row>
    <row r="31" spans="1:7">
      <c r="A31" s="86"/>
      <c r="B31" s="78"/>
    </row>
    <row r="32" spans="1:7">
      <c r="A32" s="86"/>
      <c r="B32" s="78"/>
    </row>
    <row r="33" spans="1:2">
      <c r="A33" s="86"/>
      <c r="B33" s="78"/>
    </row>
    <row r="34" spans="1:2">
      <c r="A34" s="86"/>
      <c r="B34" s="78"/>
    </row>
    <row r="35" spans="1:2">
      <c r="A35" s="86"/>
      <c r="B35" s="78"/>
    </row>
    <row r="36" spans="1:2">
      <c r="A36" s="86"/>
      <c r="B36" s="78"/>
    </row>
    <row r="37" spans="1:2">
      <c r="A37" s="86"/>
      <c r="B37" s="78"/>
    </row>
    <row r="38" spans="1:2">
      <c r="A38" s="86"/>
      <c r="B38" s="78"/>
    </row>
    <row r="39" spans="1:2">
      <c r="A39" s="86"/>
      <c r="B39" s="78"/>
    </row>
    <row r="40" spans="1:2">
      <c r="A40" s="86"/>
      <c r="B40" s="78"/>
    </row>
    <row r="41" spans="1:2">
      <c r="A41" s="86"/>
      <c r="B41" s="78"/>
    </row>
    <row r="44" spans="1:2">
      <c r="A44" s="68"/>
    </row>
  </sheetData>
  <pageMargins left="0.7" right="0.7" top="0.75" bottom="0.75" header="0.3" footer="0.3"/>
  <headerFooter>
    <oddFooter>&amp;L_x000D_&amp;1#&amp;"Calibri"&amp;11&amp;K000000 Classification: Public</oddFooter>
  </headerFooter>
  <ignoredErrors>
    <ignoredError sqref="A4:A23"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F72B-0E35-460D-BD3C-77804A39F796}">
  <sheetPr>
    <tabColor rgb="FF92D050"/>
  </sheetPr>
  <dimension ref="A1:F35"/>
  <sheetViews>
    <sheetView showGridLines="0" zoomScaleNormal="100" workbookViewId="0">
      <selection activeCell="F21" sqref="F21"/>
    </sheetView>
  </sheetViews>
  <sheetFormatPr defaultColWidth="8.85546875" defaultRowHeight="15.75"/>
  <cols>
    <col min="1" max="1" width="34.42578125" style="63" customWidth="1"/>
    <col min="2" max="5" width="9.5703125" style="63" customWidth="1"/>
    <col min="6" max="16384" width="8.85546875" style="63"/>
  </cols>
  <sheetData>
    <row r="1" spans="1:6">
      <c r="A1" s="98" t="s">
        <v>63</v>
      </c>
      <c r="B1" s="99"/>
      <c r="C1" s="98"/>
      <c r="D1" s="98"/>
      <c r="E1" s="100"/>
      <c r="F1" s="101"/>
    </row>
    <row r="2" spans="1:6">
      <c r="A2" s="98"/>
      <c r="B2" s="100"/>
      <c r="C2" s="100"/>
      <c r="D2" s="100"/>
      <c r="E2" s="100"/>
      <c r="F2" s="100"/>
    </row>
    <row r="3" spans="1:6">
      <c r="A3" s="102" t="s">
        <v>64</v>
      </c>
      <c r="B3" s="103" t="str">
        <f>'[8]Baseline Econ'!C3</f>
        <v>2025-26</v>
      </c>
      <c r="C3" s="103" t="str">
        <f>'[8]Baseline Econ'!D3</f>
        <v>2026-27</v>
      </c>
      <c r="D3" s="103" t="str">
        <f>'[8]Baseline Econ'!E3</f>
        <v>2027-28</v>
      </c>
      <c r="E3" s="104"/>
      <c r="F3" s="104"/>
    </row>
    <row r="4" spans="1:6">
      <c r="A4" s="105" t="s">
        <v>42</v>
      </c>
      <c r="B4" s="106"/>
      <c r="C4" s="106"/>
      <c r="D4" s="106"/>
      <c r="E4" s="104"/>
      <c r="F4" s="107"/>
    </row>
    <row r="5" spans="1:6">
      <c r="A5" s="108" t="s">
        <v>66</v>
      </c>
      <c r="B5" s="109">
        <f>ROUND('[8]Baseline Econ'!C6/0.5,0)*0.5</f>
        <v>68</v>
      </c>
      <c r="C5" s="109">
        <f>ROUND('[8]Baseline Econ'!D6/0.5,0)*0.5</f>
        <v>71</v>
      </c>
      <c r="D5" s="109">
        <f>ROUND('[8]Baseline Econ'!E6/0.5,0)*0.5</f>
        <v>71.5</v>
      </c>
      <c r="E5" s="104"/>
      <c r="F5" s="107"/>
    </row>
    <row r="6" spans="1:6">
      <c r="A6" s="110" t="s">
        <v>67</v>
      </c>
      <c r="B6" s="109">
        <f>ROUND('[8]High Econ'!C6/0.5,0)*0.5</f>
        <v>70</v>
      </c>
      <c r="C6" s="109">
        <f>ROUND('[8]High Econ'!D6/0.5,0)*0.5</f>
        <v>73</v>
      </c>
      <c r="D6" s="109">
        <f>ROUND('[8]High Econ'!E6/0.5,0)*0.5</f>
        <v>73.5</v>
      </c>
      <c r="E6" s="104"/>
      <c r="F6" s="107"/>
    </row>
    <row r="7" spans="1:6">
      <c r="A7" s="110" t="s">
        <v>68</v>
      </c>
      <c r="B7" s="109">
        <f>ROUND('[8]Low Econ'!C6/0.5,0)*0.5</f>
        <v>65</v>
      </c>
      <c r="C7" s="109">
        <f>ROUND('[8]Low Econ'!D6/0.5,0)*0.5</f>
        <v>68</v>
      </c>
      <c r="D7" s="109">
        <f>ROUND('[8]Low Econ'!E6/0.5,0)*0.5</f>
        <v>71</v>
      </c>
      <c r="E7" s="104"/>
      <c r="F7" s="107"/>
    </row>
    <row r="8" spans="1:6">
      <c r="A8" s="105" t="s">
        <v>43</v>
      </c>
      <c r="B8" s="109"/>
      <c r="C8" s="109"/>
      <c r="D8" s="109"/>
      <c r="E8" s="104"/>
      <c r="F8" s="107"/>
    </row>
    <row r="9" spans="1:6">
      <c r="A9" s="108" t="s">
        <v>66</v>
      </c>
      <c r="B9" s="109">
        <f>-ROUND('[8]Baseline Econ'!C8,1)</f>
        <v>17.100000000000001</v>
      </c>
      <c r="C9" s="109">
        <f>-ROUND('[8]Baseline Econ'!D8,1)</f>
        <v>16.5</v>
      </c>
      <c r="D9" s="109">
        <f>-ROUND('[8]Baseline Econ'!E8,1)</f>
        <v>15.6</v>
      </c>
      <c r="E9" s="104"/>
      <c r="F9" s="107"/>
    </row>
    <row r="10" spans="1:6">
      <c r="A10" s="110" t="s">
        <v>67</v>
      </c>
      <c r="B10" s="109">
        <f>-ROUND('[8]High Econ'!C8,1)</f>
        <v>14.3</v>
      </c>
      <c r="C10" s="109">
        <f>-ROUND('[8]High Econ'!D8,1)</f>
        <v>15</v>
      </c>
      <c r="D10" s="109">
        <f>-ROUND('[8]High Econ'!E8,1)</f>
        <v>15</v>
      </c>
      <c r="E10" s="104"/>
      <c r="F10" s="107"/>
    </row>
    <row r="11" spans="1:6">
      <c r="A11" s="110" t="s">
        <v>68</v>
      </c>
      <c r="B11" s="109">
        <f>-ROUND('[8]Low Econ'!C8,1)</f>
        <v>19.3</v>
      </c>
      <c r="C11" s="109">
        <f>-ROUND('[8]Low Econ'!D8,1)</f>
        <v>17.899999999999999</v>
      </c>
      <c r="D11" s="109">
        <f>-ROUND('[8]Low Econ'!E8,1)</f>
        <v>17.100000000000001</v>
      </c>
      <c r="E11" s="104"/>
      <c r="F11" s="107"/>
    </row>
    <row r="12" spans="1:6">
      <c r="A12" s="105" t="s">
        <v>69</v>
      </c>
      <c r="B12" s="109"/>
      <c r="C12" s="109"/>
      <c r="D12" s="109"/>
      <c r="E12" s="104"/>
      <c r="F12" s="107"/>
    </row>
    <row r="13" spans="1:6">
      <c r="A13" s="108" t="s">
        <v>66</v>
      </c>
      <c r="B13" s="111">
        <f>'[8]Baseline Econ'!C10</f>
        <v>69.628740966266463</v>
      </c>
      <c r="C13" s="111">
        <f>'[8]Baseline Econ'!D10</f>
        <v>71.923942326496686</v>
      </c>
      <c r="D13" s="111">
        <f>'[8]Baseline Econ'!E10</f>
        <v>73.799710155996607</v>
      </c>
      <c r="E13" s="104"/>
      <c r="F13" s="107"/>
    </row>
    <row r="14" spans="1:6">
      <c r="A14" s="110" t="s">
        <v>67</v>
      </c>
      <c r="B14" s="111">
        <f>'[8]High Econ'!C10</f>
        <v>72.0544176075271</v>
      </c>
      <c r="C14" s="111">
        <f>'[8]High Econ'!D10</f>
        <v>74.751709394779368</v>
      </c>
      <c r="D14" s="111">
        <f>'[8]High Econ'!E10</f>
        <v>76.501240448657725</v>
      </c>
      <c r="E14" s="104"/>
      <c r="F14" s="107"/>
    </row>
    <row r="15" spans="1:6">
      <c r="A15" s="110" t="s">
        <v>68</v>
      </c>
      <c r="B15" s="111">
        <f>'[8]Low Econ'!C10</f>
        <v>68.051278390796</v>
      </c>
      <c r="C15" s="111">
        <f>'[8]Low Econ'!D10</f>
        <v>71.315465341048593</v>
      </c>
      <c r="D15" s="111">
        <f>'[8]Low Econ'!E10</f>
        <v>73.749460131013905</v>
      </c>
      <c r="E15" s="104"/>
      <c r="F15" s="107"/>
    </row>
    <row r="16" spans="1:6">
      <c r="A16" s="105" t="s">
        <v>70</v>
      </c>
      <c r="B16" s="112"/>
      <c r="C16" s="112"/>
      <c r="D16" s="112"/>
      <c r="E16" s="104"/>
      <c r="F16" s="107"/>
    </row>
    <row r="17" spans="1:6">
      <c r="A17" s="108" t="s">
        <v>66</v>
      </c>
      <c r="B17" s="111">
        <f>('[8]Baseline Revenue'!C8+'[8]Baseline Revenue'!C18+'[8]Baseline Revenue'!C26)/1000</f>
        <v>42.608909985569461</v>
      </c>
      <c r="C17" s="111">
        <f>('[8]Baseline Revenue'!D8+'[8]Baseline Revenue'!D18+'[8]Baseline Revenue'!D26)/1000</f>
        <v>44.16410057034301</v>
      </c>
      <c r="D17" s="111">
        <f>('[8]Baseline Revenue'!E8+'[8]Baseline Revenue'!E18+'[8]Baseline Revenue'!E26)/1000</f>
        <v>45.458529926099096</v>
      </c>
      <c r="E17" s="111"/>
      <c r="F17" s="107"/>
    </row>
    <row r="18" spans="1:6">
      <c r="A18" s="113" t="s">
        <v>71</v>
      </c>
      <c r="B18" s="114"/>
      <c r="C18" s="114"/>
      <c r="D18" s="114"/>
      <c r="E18" s="104"/>
      <c r="F18" s="107"/>
    </row>
    <row r="19" spans="1:6">
      <c r="A19" s="110" t="s">
        <v>67</v>
      </c>
      <c r="B19" s="111">
        <f>'[8]High Revenue'!C25</f>
        <v>2.2510900144305412</v>
      </c>
      <c r="C19" s="111">
        <f>'[8]High Revenue'!D25</f>
        <v>1.9288994296569886</v>
      </c>
      <c r="D19" s="111">
        <f>'[8]High Revenue'!E25</f>
        <v>1.8314700739009067</v>
      </c>
      <c r="E19" s="111"/>
      <c r="F19" s="107"/>
    </row>
    <row r="20" spans="1:6">
      <c r="A20" s="110" t="s">
        <v>68</v>
      </c>
      <c r="B20" s="111">
        <f>'[8]Low Revenue'!C25</f>
        <v>-3.4899274916494569</v>
      </c>
      <c r="C20" s="111">
        <f>'[8]Low Revenue'!D25</f>
        <v>-4.5989790764230163</v>
      </c>
      <c r="D20" s="111">
        <f>'[8]Low Revenue'!E25</f>
        <v>-3.4462971821790949</v>
      </c>
      <c r="E20" s="111"/>
      <c r="F20" s="107"/>
    </row>
    <row r="21" spans="1:6">
      <c r="A21" s="102" t="s">
        <v>72</v>
      </c>
      <c r="B21" s="103">
        <f>'[8]Baseline Econ'!B11</f>
        <v>2025</v>
      </c>
      <c r="C21" s="103">
        <f>'[8]Baseline Econ'!C11</f>
        <v>2026</v>
      </c>
      <c r="D21" s="103">
        <f>'[8]Baseline Econ'!D11</f>
        <v>2027</v>
      </c>
      <c r="E21" s="103">
        <f>'[8]Baseline Econ'!E11</f>
        <v>2028</v>
      </c>
      <c r="F21" s="104"/>
    </row>
    <row r="22" spans="1:6">
      <c r="A22" s="105" t="s">
        <v>73</v>
      </c>
      <c r="B22" s="115"/>
      <c r="C22" s="115"/>
      <c r="D22" s="115"/>
      <c r="E22" s="115"/>
      <c r="F22" s="104"/>
    </row>
    <row r="23" spans="1:6">
      <c r="A23" s="108" t="s">
        <v>66</v>
      </c>
      <c r="B23" s="116">
        <f>'[8]Baseline Econ'!B13</f>
        <v>1.8</v>
      </c>
      <c r="C23" s="116">
        <f>'[8]Baseline Econ'!C13</f>
        <v>1.7</v>
      </c>
      <c r="D23" s="116">
        <f>'[8]Baseline Econ'!D13</f>
        <v>2.1</v>
      </c>
      <c r="E23" s="116">
        <f>'[8]Baseline Econ'!E13</f>
        <v>2.2000000000000002</v>
      </c>
      <c r="F23" s="104"/>
    </row>
    <row r="24" spans="1:6">
      <c r="A24" s="110" t="s">
        <v>67</v>
      </c>
      <c r="B24" s="111">
        <f>'[8]High Econ'!B13</f>
        <v>2.6</v>
      </c>
      <c r="C24" s="111">
        <f>'[8]High Econ'!C13</f>
        <v>2.7</v>
      </c>
      <c r="D24" s="111">
        <f>'[8]High Econ'!D13</f>
        <v>2.5</v>
      </c>
      <c r="E24" s="111">
        <f>'[8]High Econ'!E13</f>
        <v>2.4</v>
      </c>
      <c r="F24" s="104"/>
    </row>
    <row r="25" spans="1:6">
      <c r="A25" s="110" t="s">
        <v>68</v>
      </c>
      <c r="B25" s="111">
        <f>'[8]Low Econ'!B13</f>
        <v>0.5</v>
      </c>
      <c r="C25" s="111">
        <f>'[8]Low Econ'!C13</f>
        <v>0.6</v>
      </c>
      <c r="D25" s="111">
        <f>'[8]Low Econ'!D13</f>
        <v>1.6</v>
      </c>
      <c r="E25" s="111">
        <f>'[8]Low Econ'!E13</f>
        <v>2</v>
      </c>
      <c r="F25" s="104"/>
    </row>
    <row r="26" spans="1:6">
      <c r="A26" s="105" t="s">
        <v>74</v>
      </c>
      <c r="B26" s="115"/>
      <c r="C26" s="115"/>
      <c r="D26" s="115"/>
      <c r="E26" s="115"/>
      <c r="F26" s="104"/>
    </row>
    <row r="27" spans="1:6">
      <c r="A27" s="108" t="s">
        <v>66</v>
      </c>
      <c r="B27" s="116">
        <f>'[8]Baseline Econ'!B15</f>
        <v>1.2</v>
      </c>
      <c r="C27" s="116">
        <f>'[8]Baseline Econ'!C15</f>
        <v>3</v>
      </c>
      <c r="D27" s="116">
        <f>'[8]Baseline Econ'!D15</f>
        <v>3.5</v>
      </c>
      <c r="E27" s="116">
        <f>'[8]Baseline Econ'!E15</f>
        <v>4.3</v>
      </c>
      <c r="F27" s="104"/>
    </row>
    <row r="28" spans="1:6">
      <c r="A28" s="110" t="s">
        <v>67</v>
      </c>
      <c r="B28" s="111">
        <f>'[8]High Econ'!B15</f>
        <v>3.7</v>
      </c>
      <c r="C28" s="111">
        <f>'[8]High Econ'!C15</f>
        <v>4.2</v>
      </c>
      <c r="D28" s="111">
        <f>'[8]High Econ'!D15</f>
        <v>4.5</v>
      </c>
      <c r="E28" s="111">
        <f>'[8]High Econ'!E15</f>
        <v>4.7</v>
      </c>
      <c r="F28" s="104"/>
    </row>
    <row r="29" spans="1:6">
      <c r="A29" s="110" t="s">
        <v>68</v>
      </c>
      <c r="B29" s="111">
        <f>'[8]Low Econ'!B15</f>
        <v>-1.6</v>
      </c>
      <c r="C29" s="111">
        <f>'[8]Low Econ'!C15</f>
        <v>1.8</v>
      </c>
      <c r="D29" s="111">
        <f>'[8]Low Econ'!D15</f>
        <v>3.5</v>
      </c>
      <c r="E29" s="111">
        <f>'[8]Low Econ'!E15</f>
        <v>3.9</v>
      </c>
      <c r="F29" s="104"/>
    </row>
    <row r="30" spans="1:6">
      <c r="A30" s="105" t="s">
        <v>28</v>
      </c>
      <c r="B30" s="111"/>
      <c r="C30" s="111"/>
      <c r="D30" s="111"/>
      <c r="E30" s="111"/>
      <c r="F30" s="104"/>
    </row>
    <row r="31" spans="1:6">
      <c r="A31" s="108" t="s">
        <v>66</v>
      </c>
      <c r="B31" s="117">
        <f>'[8]Baseline Econ'!B17</f>
        <v>2567.3000000000002</v>
      </c>
      <c r="C31" s="117">
        <f>'[8]Baseline Econ'!C17</f>
        <v>2608.9</v>
      </c>
      <c r="D31" s="117">
        <f>'[8]Baseline Econ'!D17</f>
        <v>2659</v>
      </c>
      <c r="E31" s="117">
        <f>'[8]Baseline Econ'!E17</f>
        <v>2713.2</v>
      </c>
      <c r="F31" s="104"/>
    </row>
    <row r="32" spans="1:6">
      <c r="A32" s="110" t="s">
        <v>67</v>
      </c>
      <c r="B32" s="117">
        <f>'[8]High Econ'!B17</f>
        <v>2575.1</v>
      </c>
      <c r="C32" s="117">
        <f>'[8]High Econ'!C17</f>
        <v>2634.9</v>
      </c>
      <c r="D32" s="117">
        <f>'[8]High Econ'!D17</f>
        <v>2693.4</v>
      </c>
      <c r="E32" s="117">
        <f>'[8]High Econ'!E17</f>
        <v>2747.2</v>
      </c>
      <c r="F32" s="104"/>
    </row>
    <row r="33" spans="1:6">
      <c r="A33" s="110" t="s">
        <v>68</v>
      </c>
      <c r="B33" s="117">
        <f>'[8]Low Econ'!B17</f>
        <v>2552</v>
      </c>
      <c r="C33" s="117">
        <f>'[8]Low Econ'!C17</f>
        <v>2575</v>
      </c>
      <c r="D33" s="117">
        <f>'[8]Low Econ'!D17</f>
        <v>2617</v>
      </c>
      <c r="E33" s="117">
        <f>'[8]Low Econ'!E17</f>
        <v>2674</v>
      </c>
      <c r="F33" s="104"/>
    </row>
    <row r="35" spans="1:6">
      <c r="B35" s="118"/>
      <c r="C35" s="118"/>
      <c r="D35" s="118"/>
      <c r="E35" s="118"/>
    </row>
  </sheetData>
  <pageMargins left="0.7" right="0.7" top="0.75" bottom="0.75" header="0.3" footer="0.3"/>
  <pageSetup orientation="portrait" r:id="rId1"/>
  <headerFooter>
    <oddFooter>&amp;L_x000D_&amp;1#&amp;"Calibri"&amp;11&amp;K000000 Classification: Public</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BF3E2-EF99-46BE-9A47-A8B0B1AD9540}">
  <sheetPr>
    <tabColor rgb="FF92D050"/>
  </sheetPr>
  <dimension ref="A1:E71"/>
  <sheetViews>
    <sheetView zoomScaleNormal="100" workbookViewId="0">
      <selection activeCell="E29" sqref="E29"/>
    </sheetView>
  </sheetViews>
  <sheetFormatPr defaultColWidth="9.140625" defaultRowHeight="15.75"/>
  <cols>
    <col min="1" max="1" width="50.7109375" style="120" customWidth="1"/>
    <col min="2" max="3" width="9.7109375" style="119" customWidth="1"/>
    <col min="4" max="5" width="9.7109375" style="120" customWidth="1"/>
    <col min="6" max="16384" width="9.140625" style="18"/>
  </cols>
  <sheetData>
    <row r="1" spans="1:5">
      <c r="A1" s="3" t="s">
        <v>75</v>
      </c>
    </row>
    <row r="2" spans="1:5">
      <c r="A2" s="15" t="s">
        <v>76</v>
      </c>
    </row>
    <row r="3" spans="1:5">
      <c r="A3" s="121" t="s">
        <v>77</v>
      </c>
      <c r="B3" s="122">
        <v>2025</v>
      </c>
      <c r="C3" s="122">
        <v>2026</v>
      </c>
      <c r="D3" s="122">
        <v>2027</v>
      </c>
      <c r="E3" s="122">
        <v>2028</v>
      </c>
    </row>
    <row r="4" spans="1:5">
      <c r="A4" s="3" t="s">
        <v>78</v>
      </c>
      <c r="B4" s="120"/>
      <c r="C4" s="120"/>
    </row>
    <row r="5" spans="1:5">
      <c r="A5" s="29" t="s">
        <v>286</v>
      </c>
      <c r="B5" s="123">
        <v>72.775000000000006</v>
      </c>
      <c r="C5" s="123">
        <v>74.05</v>
      </c>
      <c r="D5" s="123">
        <v>77.012500000000003</v>
      </c>
      <c r="E5" s="123">
        <v>78.862499999999997</v>
      </c>
    </row>
    <row r="6" spans="1:5">
      <c r="A6" s="29" t="s">
        <v>287</v>
      </c>
      <c r="B6" s="123">
        <v>74</v>
      </c>
      <c r="C6" s="123">
        <v>76</v>
      </c>
      <c r="D6" s="123">
        <v>77.5</v>
      </c>
      <c r="E6" s="123">
        <v>79</v>
      </c>
    </row>
    <row r="7" spans="1:5">
      <c r="A7" s="19" t="s">
        <v>79</v>
      </c>
      <c r="B7" s="123"/>
      <c r="C7" s="123"/>
      <c r="D7" s="123"/>
      <c r="E7" s="123"/>
    </row>
    <row r="8" spans="1:5">
      <c r="A8" s="29" t="s">
        <v>288</v>
      </c>
      <c r="B8" s="123">
        <v>70</v>
      </c>
      <c r="C8" s="123">
        <v>69.349999999999994</v>
      </c>
      <c r="D8" s="123">
        <v>70.75</v>
      </c>
      <c r="E8" s="123">
        <v>72.150000000000006</v>
      </c>
    </row>
    <row r="9" spans="1:5">
      <c r="A9" s="29" t="s">
        <v>289</v>
      </c>
      <c r="B9" s="123">
        <v>71</v>
      </c>
      <c r="C9" s="123">
        <v>75</v>
      </c>
      <c r="D9" s="123" t="s">
        <v>80</v>
      </c>
      <c r="E9" s="123" t="s">
        <v>80</v>
      </c>
    </row>
    <row r="10" spans="1:5">
      <c r="A10" s="29" t="s">
        <v>290</v>
      </c>
      <c r="B10" s="123">
        <v>66</v>
      </c>
      <c r="C10" s="123">
        <v>69</v>
      </c>
      <c r="D10" s="123" t="s">
        <v>80</v>
      </c>
      <c r="E10" s="123" t="s">
        <v>80</v>
      </c>
    </row>
    <row r="11" spans="1:5">
      <c r="A11" s="29" t="s">
        <v>291</v>
      </c>
      <c r="B11" s="123">
        <v>60.92</v>
      </c>
      <c r="C11" s="123">
        <v>57.68</v>
      </c>
      <c r="D11" s="123" t="s">
        <v>80</v>
      </c>
      <c r="E11" s="123" t="s">
        <v>80</v>
      </c>
    </row>
    <row r="12" spans="1:5">
      <c r="A12" s="29" t="s">
        <v>292</v>
      </c>
      <c r="B12" s="123">
        <v>66</v>
      </c>
      <c r="C12" s="123">
        <v>65</v>
      </c>
      <c r="D12" s="123" t="s">
        <v>80</v>
      </c>
      <c r="E12" s="123" t="s">
        <v>80</v>
      </c>
    </row>
    <row r="13" spans="1:5">
      <c r="A13" s="29" t="s">
        <v>293</v>
      </c>
      <c r="B13" s="123">
        <v>69.5</v>
      </c>
      <c r="C13" s="123">
        <v>70.5</v>
      </c>
      <c r="D13" s="123" t="s">
        <v>80</v>
      </c>
      <c r="E13" s="123" t="s">
        <v>80</v>
      </c>
    </row>
    <row r="14" spans="1:5">
      <c r="A14" s="29" t="s">
        <v>81</v>
      </c>
      <c r="B14" s="123"/>
      <c r="C14" s="123"/>
      <c r="D14" s="123"/>
      <c r="E14" s="123"/>
    </row>
    <row r="15" spans="1:5">
      <c r="A15" s="29" t="s">
        <v>294</v>
      </c>
      <c r="B15" s="123">
        <v>70.335000000000008</v>
      </c>
      <c r="C15" s="123">
        <v>68.492500000000007</v>
      </c>
      <c r="D15" s="123" t="s">
        <v>80</v>
      </c>
      <c r="E15" s="123" t="s">
        <v>80</v>
      </c>
    </row>
    <row r="16" spans="1:5">
      <c r="A16" s="29" t="s">
        <v>295</v>
      </c>
      <c r="B16" s="123">
        <v>71.25</v>
      </c>
      <c r="C16" s="123">
        <v>73.5</v>
      </c>
      <c r="D16" s="123">
        <v>76</v>
      </c>
      <c r="E16" s="123">
        <v>78.53</v>
      </c>
    </row>
    <row r="17" spans="1:5">
      <c r="A17" s="19" t="s">
        <v>296</v>
      </c>
      <c r="B17" s="123">
        <v>71.341666666666669</v>
      </c>
      <c r="C17" s="123">
        <v>76</v>
      </c>
      <c r="D17" s="123">
        <v>76</v>
      </c>
      <c r="E17" s="123">
        <v>77.52</v>
      </c>
    </row>
    <row r="18" spans="1:5">
      <c r="A18" s="29" t="s">
        <v>85</v>
      </c>
      <c r="B18" s="123"/>
      <c r="C18" s="123"/>
      <c r="D18" s="123"/>
      <c r="E18" s="123"/>
    </row>
    <row r="19" spans="1:5">
      <c r="A19" s="29" t="s">
        <v>82</v>
      </c>
      <c r="B19" s="123">
        <v>70.5</v>
      </c>
      <c r="C19" s="123">
        <v>68</v>
      </c>
      <c r="D19" s="123">
        <v>75</v>
      </c>
      <c r="E19" s="123">
        <v>77</v>
      </c>
    </row>
    <row r="20" spans="1:5">
      <c r="A20" s="29" t="s">
        <v>67</v>
      </c>
      <c r="B20" s="123">
        <v>74</v>
      </c>
      <c r="C20" s="123">
        <v>78.5</v>
      </c>
      <c r="D20" s="123">
        <v>81</v>
      </c>
      <c r="E20" s="123">
        <v>81.507141648000001</v>
      </c>
    </row>
    <row r="21" spans="1:5">
      <c r="A21" s="19" t="s">
        <v>68</v>
      </c>
      <c r="B21" s="123">
        <v>60.92</v>
      </c>
      <c r="C21" s="123">
        <v>57.68</v>
      </c>
      <c r="D21" s="123">
        <v>65.497088287121997</v>
      </c>
      <c r="E21" s="123">
        <v>68.995269220919795</v>
      </c>
    </row>
    <row r="22" spans="1:5">
      <c r="A22" s="60" t="s">
        <v>83</v>
      </c>
      <c r="B22" s="124">
        <v>69.5</v>
      </c>
      <c r="C22" s="124">
        <v>70</v>
      </c>
      <c r="D22" s="124">
        <v>75.5</v>
      </c>
      <c r="E22" s="124">
        <v>77</v>
      </c>
    </row>
    <row r="23" spans="1:5">
      <c r="A23" s="125" t="s">
        <v>84</v>
      </c>
      <c r="B23" s="123">
        <v>69</v>
      </c>
      <c r="C23" s="123">
        <v>70</v>
      </c>
      <c r="D23" s="123">
        <v>71.5</v>
      </c>
      <c r="E23" s="123">
        <v>71.5</v>
      </c>
    </row>
    <row r="24" spans="1:5">
      <c r="A24" s="126" t="s">
        <v>297</v>
      </c>
      <c r="B24" s="127"/>
      <c r="C24" s="127"/>
      <c r="D24" s="127"/>
      <c r="E24" s="127"/>
    </row>
    <row r="25" spans="1:5" ht="15" customHeight="1">
      <c r="A25" s="126" t="s">
        <v>298</v>
      </c>
      <c r="B25" s="128"/>
      <c r="C25" s="128"/>
      <c r="D25" s="128"/>
      <c r="E25" s="128"/>
    </row>
    <row r="26" spans="1:5">
      <c r="A26" s="243"/>
      <c r="B26" s="243"/>
      <c r="C26" s="243"/>
      <c r="D26" s="243"/>
      <c r="E26" s="243"/>
    </row>
    <row r="27" spans="1:5" ht="45" customHeight="1">
      <c r="A27" s="241" t="s">
        <v>299</v>
      </c>
      <c r="B27" s="242"/>
      <c r="C27" s="242"/>
      <c r="D27" s="242"/>
      <c r="E27" s="242"/>
    </row>
    <row r="28" spans="1:5">
      <c r="A28" s="129"/>
      <c r="B28" s="129"/>
      <c r="C28" s="129"/>
      <c r="D28" s="129"/>
      <c r="E28" s="129"/>
    </row>
    <row r="29" spans="1:5">
      <c r="A29" s="129"/>
      <c r="B29" s="129"/>
      <c r="C29" s="129"/>
      <c r="D29" s="129"/>
      <c r="E29" s="129"/>
    </row>
    <row r="30" spans="1:5">
      <c r="B30" s="130"/>
      <c r="C30" s="123"/>
      <c r="D30" s="131"/>
    </row>
    <row r="55" spans="4:5">
      <c r="D55" s="119"/>
      <c r="E55" s="119"/>
    </row>
    <row r="56" spans="4:5">
      <c r="D56" s="119"/>
      <c r="E56" s="119"/>
    </row>
    <row r="57" spans="4:5">
      <c r="D57" s="119"/>
      <c r="E57" s="119"/>
    </row>
    <row r="58" spans="4:5">
      <c r="D58" s="119"/>
      <c r="E58" s="119"/>
    </row>
    <row r="59" spans="4:5">
      <c r="D59" s="119"/>
      <c r="E59" s="119"/>
    </row>
    <row r="60" spans="4:5">
      <c r="D60" s="119"/>
      <c r="E60" s="119"/>
    </row>
    <row r="61" spans="4:5">
      <c r="D61" s="119"/>
      <c r="E61" s="119"/>
    </row>
    <row r="62" spans="4:5">
      <c r="D62" s="119"/>
      <c r="E62" s="119"/>
    </row>
    <row r="63" spans="4:5">
      <c r="D63" s="119"/>
      <c r="E63" s="119"/>
    </row>
    <row r="64" spans="4:5">
      <c r="D64" s="119"/>
      <c r="E64" s="119"/>
    </row>
    <row r="65" spans="4:5">
      <c r="D65" s="119"/>
      <c r="E65" s="119"/>
    </row>
    <row r="66" spans="4:5">
      <c r="D66" s="119"/>
      <c r="E66" s="119"/>
    </row>
    <row r="67" spans="4:5">
      <c r="D67" s="119"/>
      <c r="E67" s="119"/>
    </row>
    <row r="68" spans="4:5">
      <c r="D68" s="119"/>
      <c r="E68" s="119"/>
    </row>
    <row r="69" spans="4:5">
      <c r="D69" s="119"/>
      <c r="E69" s="119"/>
    </row>
    <row r="70" spans="4:5">
      <c r="D70" s="119"/>
      <c r="E70" s="119"/>
    </row>
    <row r="71" spans="4:5">
      <c r="D71" s="119"/>
      <c r="E71" s="119"/>
    </row>
  </sheetData>
  <mergeCells count="2">
    <mergeCell ref="A27:E27"/>
    <mergeCell ref="A26:E26"/>
  </mergeCells>
  <pageMargins left="0.7" right="0.7" top="0.75" bottom="0.75" header="0.3" footer="0.3"/>
  <headerFooter>
    <oddFooter>&amp;L_x000D_&amp;1#&amp;"Calibri"&amp;11&amp;K000000 Classification: Public</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61E8A-86B9-4BAC-8CAD-DC6C5D37973B}">
  <sheetPr>
    <tabColor rgb="FF92D050"/>
  </sheetPr>
  <dimension ref="A1:B13"/>
  <sheetViews>
    <sheetView zoomScaleNormal="100" workbookViewId="0">
      <selection activeCell="B18" sqref="B18"/>
    </sheetView>
  </sheetViews>
  <sheetFormatPr defaultColWidth="10.28515625" defaultRowHeight="15.75"/>
  <cols>
    <col min="1" max="1" width="46.140625" style="137" customWidth="1"/>
    <col min="2" max="2" width="30" style="139" bestFit="1" customWidth="1"/>
    <col min="3" max="16384" width="10.28515625" style="137"/>
  </cols>
  <sheetData>
    <row r="1" spans="1:2" s="120" customFormat="1">
      <c r="A1" s="3" t="s">
        <v>310</v>
      </c>
      <c r="B1" s="119"/>
    </row>
    <row r="2" spans="1:2" s="120" customFormat="1">
      <c r="A2" s="132" t="s">
        <v>76</v>
      </c>
      <c r="B2" s="15"/>
    </row>
    <row r="3" spans="1:2" s="120" customFormat="1">
      <c r="B3" s="133"/>
    </row>
    <row r="4" spans="1:2" s="120" customFormat="1">
      <c r="A4" s="121" t="s">
        <v>105</v>
      </c>
      <c r="B4" s="134" t="s">
        <v>311</v>
      </c>
    </row>
    <row r="5" spans="1:2" s="120" customFormat="1">
      <c r="A5" s="15" t="s">
        <v>106</v>
      </c>
      <c r="B5" s="123">
        <v>76.233333325000004</v>
      </c>
    </row>
    <row r="6" spans="1:2" s="15" customFormat="1">
      <c r="A6" s="15" t="s">
        <v>107</v>
      </c>
      <c r="B6" s="123">
        <v>76.168333333333337</v>
      </c>
    </row>
    <row r="7" spans="1:2" s="120" customFormat="1">
      <c r="A7" s="15" t="s">
        <v>108</v>
      </c>
      <c r="B7" s="123">
        <v>75.49666666666667</v>
      </c>
    </row>
    <row r="8" spans="1:2" s="120" customFormat="1">
      <c r="A8" s="15" t="s">
        <v>109</v>
      </c>
      <c r="B8" s="123">
        <v>79</v>
      </c>
    </row>
    <row r="9" spans="1:2">
      <c r="A9" s="135" t="s">
        <v>82</v>
      </c>
      <c r="B9" s="136">
        <v>77</v>
      </c>
    </row>
    <row r="10" spans="1:2">
      <c r="A10" s="135" t="s">
        <v>84</v>
      </c>
      <c r="B10" s="136">
        <v>74</v>
      </c>
    </row>
    <row r="11" spans="1:2">
      <c r="A11" s="135" t="s">
        <v>312</v>
      </c>
      <c r="B11" s="136">
        <v>75.72</v>
      </c>
    </row>
    <row r="12" spans="1:2">
      <c r="B12" s="138"/>
    </row>
    <row r="13" spans="1:2">
      <c r="A13" s="100" t="s">
        <v>110</v>
      </c>
      <c r="B13" s="137"/>
    </row>
  </sheetData>
  <pageMargins left="0.7" right="0.7" top="0.75" bottom="0.75" header="0.3" footer="0.3"/>
  <headerFooter>
    <oddFooter>&amp;L_x000D_&amp;1#&amp;"Calibri"&amp;11&amp;K000000 Classification: Public</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0827A-4979-4DDB-BD15-F5D836E8B440}">
  <sheetPr>
    <tabColor rgb="FF92D050"/>
  </sheetPr>
  <dimension ref="A1:E19"/>
  <sheetViews>
    <sheetView zoomScaleNormal="100" workbookViewId="0">
      <selection activeCell="I19" sqref="I19"/>
    </sheetView>
  </sheetViews>
  <sheetFormatPr defaultColWidth="9.140625" defaultRowHeight="15.75"/>
  <cols>
    <col min="1" max="1" width="50.7109375" style="18" customWidth="1"/>
    <col min="2" max="5" width="9.7109375" style="18" customWidth="1"/>
    <col min="6" max="16384" width="9.140625" style="18"/>
  </cols>
  <sheetData>
    <row r="1" spans="1:5">
      <c r="A1" s="4" t="s">
        <v>88</v>
      </c>
      <c r="B1" s="144"/>
      <c r="C1" s="144"/>
      <c r="D1" s="145"/>
      <c r="E1" s="145"/>
    </row>
    <row r="2" spans="1:5">
      <c r="A2" s="144" t="s">
        <v>89</v>
      </c>
      <c r="B2" s="144"/>
      <c r="C2" s="144"/>
      <c r="D2" s="146"/>
      <c r="E2" s="145"/>
    </row>
    <row r="3" spans="1:5">
      <c r="A3" s="147" t="s">
        <v>77</v>
      </c>
      <c r="B3" s="148">
        <v>2025</v>
      </c>
      <c r="C3" s="148">
        <v>2026</v>
      </c>
      <c r="D3" s="148">
        <v>2027</v>
      </c>
      <c r="E3" s="148">
        <v>2028</v>
      </c>
    </row>
    <row r="4" spans="1:5">
      <c r="A4" s="4" t="s">
        <v>78</v>
      </c>
      <c r="B4" s="149"/>
      <c r="C4" s="149"/>
      <c r="D4" s="149"/>
      <c r="E4" s="149"/>
    </row>
    <row r="5" spans="1:5">
      <c r="A5" s="150" t="s">
        <v>286</v>
      </c>
      <c r="B5" s="151">
        <v>13.350000000000009</v>
      </c>
      <c r="C5" s="151">
        <v>13.037499999999994</v>
      </c>
      <c r="D5" s="151">
        <v>13.125000000000007</v>
      </c>
      <c r="E5" s="151">
        <v>13.293750000000003</v>
      </c>
    </row>
    <row r="6" spans="1:5">
      <c r="A6" s="4" t="s">
        <v>90</v>
      </c>
      <c r="B6" s="149"/>
      <c r="C6" s="149"/>
      <c r="D6" s="149"/>
      <c r="E6" s="149"/>
    </row>
    <row r="7" spans="1:5">
      <c r="A7" s="150" t="s">
        <v>295</v>
      </c>
      <c r="B7" s="152">
        <v>13.07</v>
      </c>
      <c r="C7" s="152">
        <v>13.49</v>
      </c>
      <c r="D7" s="152">
        <v>14</v>
      </c>
      <c r="E7" s="152">
        <v>14.8</v>
      </c>
    </row>
    <row r="8" spans="1:5">
      <c r="A8" s="150" t="s">
        <v>289</v>
      </c>
      <c r="B8" s="149">
        <v>16</v>
      </c>
      <c r="C8" s="149">
        <v>14</v>
      </c>
      <c r="D8" s="149" t="s">
        <v>80</v>
      </c>
      <c r="E8" s="149" t="s">
        <v>80</v>
      </c>
    </row>
    <row r="9" spans="1:5">
      <c r="A9" s="150" t="s">
        <v>291</v>
      </c>
      <c r="B9" s="149">
        <v>13.22</v>
      </c>
      <c r="C9" s="149">
        <v>13.25</v>
      </c>
      <c r="D9" s="149" t="s">
        <v>80</v>
      </c>
      <c r="E9" s="149" t="s">
        <v>80</v>
      </c>
    </row>
    <row r="10" spans="1:5">
      <c r="A10" s="150" t="s">
        <v>292</v>
      </c>
      <c r="B10" s="149">
        <v>14</v>
      </c>
      <c r="C10" s="149">
        <v>14</v>
      </c>
      <c r="D10" s="149" t="s">
        <v>80</v>
      </c>
      <c r="E10" s="149" t="s">
        <v>80</v>
      </c>
    </row>
    <row r="11" spans="1:5">
      <c r="A11" s="150" t="s">
        <v>296</v>
      </c>
      <c r="B11" s="152">
        <f>12.2/12+11*12.5/12</f>
        <v>12.475000000000001</v>
      </c>
      <c r="C11" s="152">
        <v>12.5</v>
      </c>
      <c r="D11" s="152">
        <v>12.5</v>
      </c>
      <c r="E11" s="152">
        <v>12.75</v>
      </c>
    </row>
    <row r="12" spans="1:5" ht="18.75">
      <c r="A12" s="4" t="s">
        <v>326</v>
      </c>
      <c r="B12" s="149"/>
      <c r="C12" s="149"/>
      <c r="D12" s="149"/>
      <c r="E12" s="149"/>
    </row>
    <row r="13" spans="1:5">
      <c r="A13" s="153" t="s">
        <v>87</v>
      </c>
      <c r="B13" s="154" t="str">
        <f>IFERROR(ROUND(AVERAGE(D24:D27),1),"n/a")</f>
        <v>n/a</v>
      </c>
      <c r="C13" s="154" t="str">
        <f t="shared" ref="C13:D13" si="0">IFERROR(ROUND(AVERAGE(E24:E27),1),"n/a")</f>
        <v>n/a</v>
      </c>
      <c r="D13" s="154" t="str">
        <f t="shared" si="0"/>
        <v>n/a</v>
      </c>
      <c r="E13" s="154" t="str">
        <f>IFERROR(ROUND(AVERAGE(G24:G27),1),"n/a")</f>
        <v>n/a</v>
      </c>
    </row>
    <row r="14" spans="1:5">
      <c r="A14" s="144" t="s">
        <v>67</v>
      </c>
      <c r="B14" s="149">
        <f>IF(MAX(B5:B11,D24:D27)&lt;&gt;0,MAX(B5:B11,D24:D27),"n/a")</f>
        <v>16</v>
      </c>
      <c r="C14" s="149">
        <f t="shared" ref="C14:D14" si="1">IF(MAX(C5:C11,E24:E27)&lt;&gt;0,MAX(C5:C11,E24:E27),"n/a")</f>
        <v>14</v>
      </c>
      <c r="D14" s="149">
        <f t="shared" si="1"/>
        <v>14</v>
      </c>
      <c r="E14" s="149">
        <f>IF(MAX(E5:E11,G24:G27)&lt;&gt;0,MAX(E5:E11,G24:G27),"n/a")</f>
        <v>14.8</v>
      </c>
    </row>
    <row r="15" spans="1:5">
      <c r="A15" s="144" t="s">
        <v>68</v>
      </c>
      <c r="B15" s="149">
        <f>IF(MIN(B5:B11,D24:D27)&lt;&gt;0,MIN(B5:B11,D24:D27),"n/a")</f>
        <v>12.475000000000001</v>
      </c>
      <c r="C15" s="149">
        <f t="shared" ref="C15:D15" si="2">IF(MIN(C5:C11,E24:E27)&lt;&gt;0,MIN(C5:C11,E24:E27),"n/a")</f>
        <v>12.5</v>
      </c>
      <c r="D15" s="149">
        <f t="shared" si="2"/>
        <v>12.5</v>
      </c>
      <c r="E15" s="149">
        <f>IF(MIN(E5:E11,G24:G27)&lt;&gt;0,MIN(E5:E11,G24:G27),"n/a")</f>
        <v>12.75</v>
      </c>
    </row>
    <row r="16" spans="1:5">
      <c r="A16" s="4" t="s">
        <v>83</v>
      </c>
      <c r="B16" s="155">
        <f>IFERROR(ROUND(AVERAGE(B5:B11,E24:E27),1),"n/a")</f>
        <v>13.7</v>
      </c>
      <c r="C16" s="155">
        <f>IFERROR(ROUND(AVERAGE(C5:C11,F24:F27),1),"n/a")</f>
        <v>13.4</v>
      </c>
      <c r="D16" s="155">
        <f>IFERROR(ROUND(AVERAGE(D5:D11,G24:G27),1),"n/a")</f>
        <v>13.2</v>
      </c>
      <c r="E16" s="155">
        <f>IFERROR(ROUND(AVERAGE(E5:E11,H24:H27),1),"n/a")</f>
        <v>13.6</v>
      </c>
    </row>
    <row r="17" spans="1:5">
      <c r="A17" s="4" t="s">
        <v>84</v>
      </c>
      <c r="B17" s="155">
        <v>16.2</v>
      </c>
      <c r="C17" s="155">
        <v>16.399999999999999</v>
      </c>
      <c r="D17" s="155">
        <v>15.7</v>
      </c>
      <c r="E17" s="155">
        <v>15</v>
      </c>
    </row>
    <row r="18" spans="1:5" ht="31.5">
      <c r="A18" s="156" t="str">
        <f>"Includes forecasts finalized on or before "&amp;'[9]Contacts, Cutoffs, and Data'!B1&amp;"."</f>
        <v>Includes forecasts finalized on or before February 7, 2025.</v>
      </c>
      <c r="B18" s="157"/>
      <c r="C18" s="157"/>
      <c r="D18" s="157"/>
      <c r="E18" s="158"/>
    </row>
    <row r="19" spans="1:5" ht="67.5" customHeight="1">
      <c r="A19" s="244" t="s">
        <v>327</v>
      </c>
      <c r="B19" s="244"/>
      <c r="C19" s="244"/>
      <c r="D19" s="244"/>
      <c r="E19" s="244"/>
    </row>
  </sheetData>
  <mergeCells count="1">
    <mergeCell ref="A19:E19"/>
  </mergeCells>
  <pageMargins left="0.7" right="0.7" top="0.75" bottom="0.75" header="0.3" footer="0.3"/>
  <headerFooter>
    <oddFooter>&amp;L_x000D_&amp;1#&amp;"Calibri"&amp;11&amp;K000000 Classification: Public</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0D9FD-8455-4011-A069-160F847BFA5F}">
  <sheetPr>
    <tabColor rgb="FF92D050"/>
  </sheetPr>
  <dimension ref="A1:E27"/>
  <sheetViews>
    <sheetView zoomScaleNormal="100" workbookViewId="0">
      <selection activeCell="L32" sqref="L32"/>
    </sheetView>
  </sheetViews>
  <sheetFormatPr defaultColWidth="9.140625" defaultRowHeight="15.75"/>
  <cols>
    <col min="1" max="1" width="50.7109375" style="18" customWidth="1"/>
    <col min="2" max="5" width="9.7109375" style="18" customWidth="1"/>
    <col min="6" max="16384" width="9.140625" style="18"/>
  </cols>
  <sheetData>
    <row r="1" spans="1:5">
      <c r="A1" s="4" t="s">
        <v>86</v>
      </c>
      <c r="B1" s="144"/>
      <c r="C1" s="145"/>
      <c r="D1" s="145"/>
      <c r="E1" s="145"/>
    </row>
    <row r="2" spans="1:5" ht="18.75">
      <c r="A2" s="159" t="s">
        <v>328</v>
      </c>
      <c r="B2" s="144"/>
      <c r="C2" s="145"/>
      <c r="D2" s="145"/>
      <c r="E2" s="145"/>
    </row>
    <row r="3" spans="1:5">
      <c r="A3" s="147" t="s">
        <v>77</v>
      </c>
      <c r="B3" s="148">
        <v>2025</v>
      </c>
      <c r="C3" s="148">
        <v>2026</v>
      </c>
      <c r="D3" s="148">
        <v>2027</v>
      </c>
      <c r="E3" s="148">
        <v>2028</v>
      </c>
    </row>
    <row r="4" spans="1:5">
      <c r="A4" s="4" t="s">
        <v>78</v>
      </c>
      <c r="B4" s="144"/>
      <c r="C4" s="144"/>
      <c r="D4" s="144"/>
      <c r="E4" s="144"/>
    </row>
    <row r="5" spans="1:5">
      <c r="A5" s="150" t="s">
        <v>286</v>
      </c>
      <c r="B5" s="151">
        <v>3.0249999999999999</v>
      </c>
      <c r="C5" s="151">
        <v>3.5562499999999999</v>
      </c>
      <c r="D5" s="151">
        <v>3.8656249999999996</v>
      </c>
      <c r="E5" s="151">
        <v>4.0906250000000002</v>
      </c>
    </row>
    <row r="6" spans="1:5">
      <c r="A6" s="160" t="s">
        <v>287</v>
      </c>
      <c r="B6" s="151">
        <v>3.25</v>
      </c>
      <c r="C6" s="151">
        <v>3.75</v>
      </c>
      <c r="D6" s="151">
        <v>4.05</v>
      </c>
      <c r="E6" s="151">
        <v>4.25</v>
      </c>
    </row>
    <row r="7" spans="1:5">
      <c r="A7" s="4" t="s">
        <v>79</v>
      </c>
      <c r="B7" s="149"/>
      <c r="C7" s="149"/>
      <c r="D7" s="149"/>
      <c r="E7" s="149"/>
    </row>
    <row r="8" spans="1:5" ht="18.75">
      <c r="A8" s="161" t="s">
        <v>329</v>
      </c>
      <c r="B8" s="149">
        <v>3.25</v>
      </c>
      <c r="C8" s="149">
        <v>3.85</v>
      </c>
      <c r="D8" s="149">
        <v>4.1500000000000004</v>
      </c>
      <c r="E8" s="149">
        <v>4.25</v>
      </c>
    </row>
    <row r="9" spans="1:5">
      <c r="A9" s="150" t="s">
        <v>289</v>
      </c>
      <c r="B9" s="149">
        <v>3.5</v>
      </c>
      <c r="C9" s="149">
        <v>3.5</v>
      </c>
      <c r="D9" s="149" t="s">
        <v>80</v>
      </c>
      <c r="E9" s="149" t="s">
        <v>80</v>
      </c>
    </row>
    <row r="10" spans="1:5">
      <c r="A10" s="150" t="s">
        <v>291</v>
      </c>
      <c r="B10" s="149">
        <v>3.3</v>
      </c>
      <c r="C10" s="149">
        <v>3.5</v>
      </c>
      <c r="D10" s="149" t="s">
        <v>80</v>
      </c>
      <c r="E10" s="149" t="s">
        <v>80</v>
      </c>
    </row>
    <row r="11" spans="1:5">
      <c r="A11" s="150" t="s">
        <v>292</v>
      </c>
      <c r="B11" s="149">
        <v>3.75</v>
      </c>
      <c r="C11" s="149">
        <v>4</v>
      </c>
      <c r="D11" s="149" t="s">
        <v>80</v>
      </c>
      <c r="E11" s="149" t="s">
        <v>80</v>
      </c>
    </row>
    <row r="12" spans="1:5">
      <c r="A12" s="161" t="s">
        <v>293</v>
      </c>
      <c r="B12" s="149">
        <v>3.1500000000000004</v>
      </c>
      <c r="C12" s="149">
        <v>3.5</v>
      </c>
      <c r="D12" s="149" t="s">
        <v>80</v>
      </c>
      <c r="E12" s="149" t="s">
        <v>80</v>
      </c>
    </row>
    <row r="13" spans="1:5">
      <c r="A13" s="4" t="s">
        <v>81</v>
      </c>
      <c r="B13" s="149"/>
      <c r="C13" s="149"/>
      <c r="D13" s="149"/>
      <c r="E13" s="149"/>
    </row>
    <row r="14" spans="1:5">
      <c r="A14" s="161" t="s">
        <v>294</v>
      </c>
      <c r="B14" s="149">
        <v>3.1425000000000001</v>
      </c>
      <c r="C14" s="149">
        <v>3.9724999999999997</v>
      </c>
      <c r="D14" s="149" t="s">
        <v>80</v>
      </c>
      <c r="E14" s="149" t="s">
        <v>80</v>
      </c>
    </row>
    <row r="15" spans="1:5">
      <c r="A15" s="150" t="s">
        <v>295</v>
      </c>
      <c r="B15" s="151">
        <v>3.19</v>
      </c>
      <c r="C15" s="162">
        <v>3.85</v>
      </c>
      <c r="D15" s="151">
        <v>4.16</v>
      </c>
      <c r="E15" s="151">
        <v>4.25</v>
      </c>
    </row>
    <row r="16" spans="1:5">
      <c r="A16" s="150" t="s">
        <v>296</v>
      </c>
      <c r="B16" s="162">
        <v>3.2891666666666666</v>
      </c>
      <c r="C16" s="162">
        <v>3.5</v>
      </c>
      <c r="D16" s="162">
        <v>3.5</v>
      </c>
      <c r="E16" s="162">
        <v>3.57</v>
      </c>
    </row>
    <row r="17" spans="1:5" ht="18.75">
      <c r="A17" s="4" t="s">
        <v>330</v>
      </c>
      <c r="B17" s="149"/>
      <c r="C17" s="149"/>
      <c r="D17" s="149"/>
      <c r="E17" s="149"/>
    </row>
    <row r="18" spans="1:5">
      <c r="A18" s="153" t="s">
        <v>87</v>
      </c>
      <c r="B18" s="154">
        <v>3.5</v>
      </c>
      <c r="C18" s="154">
        <v>4.2</v>
      </c>
      <c r="D18" s="154">
        <v>4.2</v>
      </c>
      <c r="E18" s="154">
        <v>3.8</v>
      </c>
    </row>
    <row r="19" spans="1:5">
      <c r="A19" s="144" t="s">
        <v>67</v>
      </c>
      <c r="B19" s="149">
        <v>4.1094664130474721</v>
      </c>
      <c r="C19" s="149">
        <v>6.2868044481085548</v>
      </c>
      <c r="D19" s="149">
        <v>5.7635656894467537</v>
      </c>
      <c r="E19" s="149">
        <v>4.25</v>
      </c>
    </row>
    <row r="20" spans="1:5">
      <c r="A20" s="144" t="s">
        <v>68</v>
      </c>
      <c r="B20" s="149">
        <v>3.0249999999999999</v>
      </c>
      <c r="C20" s="149">
        <v>3.44</v>
      </c>
      <c r="D20" s="149">
        <v>3.5</v>
      </c>
      <c r="E20" s="149">
        <v>3.5</v>
      </c>
    </row>
    <row r="21" spans="1:5">
      <c r="A21" s="140" t="s">
        <v>83</v>
      </c>
      <c r="B21" s="141">
        <v>3.3</v>
      </c>
      <c r="C21" s="141">
        <v>3.9</v>
      </c>
      <c r="D21" s="141">
        <v>4.0999999999999996</v>
      </c>
      <c r="E21" s="141">
        <v>4</v>
      </c>
    </row>
    <row r="22" spans="1:5">
      <c r="A22" s="142" t="s">
        <v>84</v>
      </c>
      <c r="B22" s="143">
        <v>3.2</v>
      </c>
      <c r="C22" s="143">
        <v>3.8</v>
      </c>
      <c r="D22" s="143">
        <v>3.9</v>
      </c>
      <c r="E22" s="143">
        <v>3.7</v>
      </c>
    </row>
    <row r="23" spans="1:5">
      <c r="A23" s="164" t="str">
        <f>"Includes forecasts finalized on or before "&amp;'[9]Contacts, Cutoffs, and Data'!B1&amp;"."</f>
        <v>Includes forecasts finalized on or before February 7, 2025.</v>
      </c>
      <c r="B23" s="5"/>
      <c r="C23" s="5"/>
      <c r="D23" s="6"/>
      <c r="E23" s="6"/>
    </row>
    <row r="24" spans="1:5" ht="80.099999999999994" customHeight="1">
      <c r="A24" s="245" t="s">
        <v>331</v>
      </c>
      <c r="B24" s="245"/>
      <c r="C24" s="245"/>
      <c r="D24" s="245"/>
      <c r="E24" s="245"/>
    </row>
    <row r="25" spans="1:5">
      <c r="A25" s="165" t="s">
        <v>332</v>
      </c>
      <c r="B25" s="166"/>
      <c r="C25" s="166"/>
      <c r="D25" s="166"/>
      <c r="E25" s="166"/>
    </row>
    <row r="26" spans="1:5" ht="60" customHeight="1">
      <c r="A26" s="246" t="s">
        <v>333</v>
      </c>
      <c r="B26" s="245"/>
      <c r="C26" s="245"/>
      <c r="D26" s="245"/>
      <c r="E26" s="245"/>
    </row>
    <row r="27" spans="1:5">
      <c r="A27" s="163"/>
      <c r="B27" s="163"/>
      <c r="C27" s="163"/>
      <c r="D27" s="163"/>
      <c r="E27" s="163"/>
    </row>
  </sheetData>
  <mergeCells count="2">
    <mergeCell ref="A24:E24"/>
    <mergeCell ref="A26:E26"/>
  </mergeCells>
  <pageMargins left="0.7" right="0.7" top="0.75" bottom="0.75" header="0.3" footer="0.3"/>
  <headerFooter>
    <oddFooter>&amp;L_x000D_&amp;1#&amp;"Calibri"&amp;11&amp;K000000 Classification: Public</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F8B69-B2C0-4968-A2C2-EC8015F4D6BC}">
  <sheetPr>
    <tabColor rgb="FF92D050"/>
  </sheetPr>
  <dimension ref="A1:B13"/>
  <sheetViews>
    <sheetView zoomScaleNormal="100" workbookViewId="0">
      <selection activeCell="A29" sqref="A29"/>
    </sheetView>
  </sheetViews>
  <sheetFormatPr defaultColWidth="10.28515625" defaultRowHeight="15.75"/>
  <cols>
    <col min="1" max="1" width="46.140625" style="137" customWidth="1"/>
    <col min="2" max="2" width="30" style="139" bestFit="1" customWidth="1"/>
    <col min="3" max="16384" width="10.28515625" style="137"/>
  </cols>
  <sheetData>
    <row r="1" spans="1:2" s="120" customFormat="1">
      <c r="A1" s="3" t="s">
        <v>313</v>
      </c>
      <c r="B1" s="119"/>
    </row>
    <row r="2" spans="1:2" s="120" customFormat="1">
      <c r="A2" s="132" t="s">
        <v>112</v>
      </c>
      <c r="B2" s="15"/>
    </row>
    <row r="3" spans="1:2" s="120" customFormat="1">
      <c r="B3" s="133"/>
    </row>
    <row r="4" spans="1:2" s="120" customFormat="1">
      <c r="A4" s="121" t="s">
        <v>105</v>
      </c>
      <c r="B4" s="134" t="s">
        <v>111</v>
      </c>
    </row>
    <row r="5" spans="1:2" s="120" customFormat="1">
      <c r="A5" s="15" t="s">
        <v>106</v>
      </c>
      <c r="B5" s="123">
        <v>3.0902500000000002</v>
      </c>
    </row>
    <row r="6" spans="1:2" s="15" customFormat="1">
      <c r="A6" s="15" t="s">
        <v>113</v>
      </c>
      <c r="B6" s="123">
        <v>3.0798760848601736</v>
      </c>
    </row>
    <row r="7" spans="1:2" s="120" customFormat="1">
      <c r="A7" s="15" t="s">
        <v>108</v>
      </c>
      <c r="B7" s="123">
        <v>2.72</v>
      </c>
    </row>
    <row r="8" spans="1:2" s="120" customFormat="1">
      <c r="A8" s="15" t="s">
        <v>114</v>
      </c>
      <c r="B8" s="123">
        <v>2.9</v>
      </c>
    </row>
    <row r="9" spans="1:2">
      <c r="A9" s="135" t="s">
        <v>82</v>
      </c>
      <c r="B9" s="136">
        <v>2.9</v>
      </c>
    </row>
    <row r="10" spans="1:2">
      <c r="A10" s="135" t="s">
        <v>84</v>
      </c>
      <c r="B10" s="136">
        <v>3.1</v>
      </c>
    </row>
    <row r="11" spans="1:2">
      <c r="A11" s="135" t="s">
        <v>312</v>
      </c>
      <c r="B11" s="136">
        <v>2.41</v>
      </c>
    </row>
    <row r="12" spans="1:2">
      <c r="B12" s="138"/>
    </row>
    <row r="13" spans="1:2">
      <c r="A13" s="100" t="s">
        <v>110</v>
      </c>
      <c r="B13" s="137"/>
    </row>
  </sheetData>
  <pageMargins left="0.7" right="0.7" top="0.75" bottom="0.75" header="0.3" footer="0.3"/>
  <headerFooter>
    <oddFooter>&amp;L_x000D_&amp;1#&amp;"Calibri"&amp;11&amp;K000000 Classification: Public</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C15CA-C279-4920-8973-6EF825EBBE9D}">
  <sheetPr>
    <tabColor rgb="FF92D050"/>
  </sheetPr>
  <dimension ref="A1:F20"/>
  <sheetViews>
    <sheetView zoomScaleNormal="100" workbookViewId="0"/>
  </sheetViews>
  <sheetFormatPr defaultColWidth="9.140625" defaultRowHeight="15.75"/>
  <cols>
    <col min="1" max="1" width="45.7109375" style="18" customWidth="1"/>
    <col min="2" max="5" width="9.7109375" style="18" customWidth="1"/>
    <col min="6" max="16384" width="9.140625" style="18"/>
  </cols>
  <sheetData>
    <row r="1" spans="1:5">
      <c r="A1" s="7" t="s">
        <v>94</v>
      </c>
      <c r="B1" s="167"/>
      <c r="C1" s="167"/>
      <c r="D1" s="167"/>
      <c r="E1" s="167"/>
    </row>
    <row r="2" spans="1:5">
      <c r="A2" s="168" t="s">
        <v>95</v>
      </c>
      <c r="B2" s="167"/>
      <c r="C2" s="167"/>
      <c r="D2" s="167"/>
      <c r="E2" s="167"/>
    </row>
    <row r="3" spans="1:5">
      <c r="A3" s="169" t="s">
        <v>77</v>
      </c>
      <c r="B3" s="170">
        <v>2025</v>
      </c>
      <c r="C3" s="170">
        <v>2026</v>
      </c>
      <c r="D3" s="170">
        <v>2027</v>
      </c>
      <c r="E3" s="170">
        <v>2028</v>
      </c>
    </row>
    <row r="4" spans="1:5">
      <c r="A4" s="7" t="s">
        <v>78</v>
      </c>
      <c r="B4" s="171"/>
      <c r="C4" s="171"/>
      <c r="D4" s="171"/>
      <c r="E4" s="171"/>
    </row>
    <row r="5" spans="1:5">
      <c r="A5" s="160" t="s">
        <v>300</v>
      </c>
      <c r="B5" s="172">
        <v>70.361872871223525</v>
      </c>
      <c r="C5" s="172">
        <v>70.645903129277954</v>
      </c>
      <c r="D5" s="172">
        <v>70.71763192109043</v>
      </c>
      <c r="E5" s="172">
        <v>70.742595637799326</v>
      </c>
    </row>
    <row r="6" spans="1:5">
      <c r="A6" s="160" t="s">
        <v>287</v>
      </c>
      <c r="B6" s="173">
        <v>71</v>
      </c>
      <c r="C6" s="172">
        <v>73.3</v>
      </c>
      <c r="D6" s="172">
        <v>73.5</v>
      </c>
      <c r="E6" s="173">
        <v>73.900000000000006</v>
      </c>
    </row>
    <row r="7" spans="1:5">
      <c r="A7" s="7" t="s">
        <v>93</v>
      </c>
      <c r="B7" s="174"/>
      <c r="C7" s="174"/>
      <c r="D7" s="174"/>
      <c r="E7" s="174"/>
    </row>
    <row r="8" spans="1:5">
      <c r="A8" s="160" t="s">
        <v>301</v>
      </c>
      <c r="B8" s="175">
        <v>70.349999999999994</v>
      </c>
      <c r="C8" s="175">
        <v>73.074999999999989</v>
      </c>
      <c r="D8" s="175" t="s">
        <v>80</v>
      </c>
      <c r="E8" s="175" t="s">
        <v>80</v>
      </c>
    </row>
    <row r="9" spans="1:5">
      <c r="A9" s="160" t="s">
        <v>302</v>
      </c>
      <c r="B9" s="175">
        <v>69</v>
      </c>
      <c r="C9" s="175">
        <v>71</v>
      </c>
      <c r="D9" s="175" t="s">
        <v>80</v>
      </c>
      <c r="E9" s="175" t="s">
        <v>80</v>
      </c>
    </row>
    <row r="10" spans="1:5">
      <c r="A10" s="160" t="s">
        <v>288</v>
      </c>
      <c r="B10" s="175">
        <v>72</v>
      </c>
      <c r="C10" s="175">
        <v>74</v>
      </c>
      <c r="D10" s="175">
        <v>76</v>
      </c>
      <c r="E10" s="175">
        <v>80</v>
      </c>
    </row>
    <row r="11" spans="1:5">
      <c r="A11" s="160" t="s">
        <v>303</v>
      </c>
      <c r="B11" s="175" t="s">
        <v>80</v>
      </c>
      <c r="C11" s="175" t="s">
        <v>80</v>
      </c>
      <c r="D11" s="175" t="s">
        <v>80</v>
      </c>
      <c r="E11" s="175" t="s">
        <v>80</v>
      </c>
    </row>
    <row r="12" spans="1:5">
      <c r="A12" s="160" t="s">
        <v>290</v>
      </c>
      <c r="B12" s="175">
        <v>70.948566652938609</v>
      </c>
      <c r="C12" s="175">
        <v>73.52941176470587</v>
      </c>
      <c r="D12" s="175" t="s">
        <v>80</v>
      </c>
      <c r="E12" s="175" t="s">
        <v>80</v>
      </c>
    </row>
    <row r="13" spans="1:5">
      <c r="A13" s="160" t="s">
        <v>304</v>
      </c>
      <c r="B13" s="175">
        <v>70.424281542052</v>
      </c>
      <c r="C13" s="175" t="s">
        <v>80</v>
      </c>
      <c r="D13" s="175" t="s">
        <v>80</v>
      </c>
      <c r="E13" s="175" t="s">
        <v>80</v>
      </c>
    </row>
    <row r="14" spans="1:5">
      <c r="A14" s="160" t="s">
        <v>292</v>
      </c>
      <c r="B14" s="175">
        <v>69.447793585724625</v>
      </c>
      <c r="C14" s="175">
        <v>70.436507936507937</v>
      </c>
      <c r="D14" s="175" t="s">
        <v>80</v>
      </c>
      <c r="E14" s="175" t="s">
        <v>80</v>
      </c>
    </row>
    <row r="15" spans="1:5">
      <c r="A15" s="176" t="s">
        <v>305</v>
      </c>
      <c r="B15" s="177">
        <v>70</v>
      </c>
      <c r="C15" s="177">
        <v>73</v>
      </c>
      <c r="D15" s="177" t="s">
        <v>80</v>
      </c>
      <c r="E15" s="177" t="s">
        <v>80</v>
      </c>
    </row>
    <row r="16" spans="1:5">
      <c r="A16" s="168" t="s">
        <v>67</v>
      </c>
      <c r="B16" s="175">
        <v>72</v>
      </c>
      <c r="C16" s="175">
        <v>74</v>
      </c>
      <c r="D16" s="175">
        <v>76</v>
      </c>
      <c r="E16" s="175">
        <v>80</v>
      </c>
    </row>
    <row r="17" spans="1:6">
      <c r="A17" s="168" t="s">
        <v>68</v>
      </c>
      <c r="B17" s="175">
        <v>69</v>
      </c>
      <c r="C17" s="175">
        <v>70.436507936507937</v>
      </c>
      <c r="D17" s="175">
        <v>70.71763192109043</v>
      </c>
      <c r="E17" s="175">
        <v>70.742595637799326</v>
      </c>
    </row>
    <row r="18" spans="1:6">
      <c r="A18" s="178" t="s">
        <v>83</v>
      </c>
      <c r="B18" s="179">
        <v>70.392501627993198</v>
      </c>
      <c r="C18" s="179">
        <v>72.373352853811468</v>
      </c>
      <c r="D18" s="179">
        <v>73.405877307030138</v>
      </c>
      <c r="E18" s="179">
        <v>74.880865212599772</v>
      </c>
      <c r="F18" s="180"/>
    </row>
    <row r="19" spans="1:6">
      <c r="A19" s="181" t="s">
        <v>84</v>
      </c>
      <c r="B19" s="182">
        <v>69.289999999999992</v>
      </c>
      <c r="C19" s="182">
        <v>71.33</v>
      </c>
      <c r="D19" s="182">
        <v>73.350000000000009</v>
      </c>
      <c r="E19" s="182">
        <v>75.38</v>
      </c>
      <c r="F19" s="180"/>
    </row>
    <row r="20" spans="1:6">
      <c r="A20" s="212" t="s">
        <v>297</v>
      </c>
      <c r="B20" s="183"/>
      <c r="C20" s="184"/>
      <c r="D20" s="184"/>
      <c r="E20" s="184"/>
    </row>
  </sheetData>
  <pageMargins left="0.7" right="0.7" top="0.75" bottom="0.75" header="0.3" footer="0.3"/>
  <headerFooter>
    <oddFooter>&amp;L_x000D_&amp;1#&amp;"Calibri"&amp;11&amp;K000000 Classification: Public</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69543-ACD2-4E7E-88C8-C08955BE09E7}">
  <sheetPr>
    <tabColor rgb="FF92D050"/>
  </sheetPr>
  <dimension ref="A1:F20"/>
  <sheetViews>
    <sheetView zoomScaleNormal="100" workbookViewId="0">
      <selection activeCell="A20" sqref="A20"/>
    </sheetView>
  </sheetViews>
  <sheetFormatPr defaultColWidth="9.140625" defaultRowHeight="15.75"/>
  <cols>
    <col min="1" max="1" width="50.7109375" style="18" customWidth="1"/>
    <col min="2" max="5" width="9.7109375" style="18" customWidth="1"/>
    <col min="6" max="16384" width="9.140625" style="18"/>
  </cols>
  <sheetData>
    <row r="1" spans="1:5">
      <c r="A1" s="7" t="s">
        <v>91</v>
      </c>
      <c r="B1" s="168"/>
      <c r="C1" s="183"/>
      <c r="D1" s="183"/>
      <c r="E1" s="183"/>
    </row>
    <row r="2" spans="1:5">
      <c r="A2" s="168" t="s">
        <v>92</v>
      </c>
      <c r="B2" s="168"/>
      <c r="C2" s="183"/>
      <c r="D2" s="183"/>
      <c r="E2" s="183"/>
    </row>
    <row r="3" spans="1:5">
      <c r="A3" s="169" t="s">
        <v>77</v>
      </c>
      <c r="B3" s="170">
        <v>2025</v>
      </c>
      <c r="C3" s="170">
        <v>2026</v>
      </c>
      <c r="D3" s="170">
        <v>2027</v>
      </c>
      <c r="E3" s="170">
        <v>2028</v>
      </c>
    </row>
    <row r="4" spans="1:5">
      <c r="A4" s="7" t="s">
        <v>78</v>
      </c>
      <c r="B4" s="168"/>
      <c r="C4" s="168"/>
      <c r="D4" s="168"/>
      <c r="E4" s="168"/>
    </row>
    <row r="5" spans="1:5">
      <c r="A5" s="160" t="s">
        <v>300</v>
      </c>
      <c r="B5" s="185">
        <v>3.3685317499999998</v>
      </c>
      <c r="C5" s="185">
        <v>3.4227262499999997</v>
      </c>
      <c r="D5" s="185">
        <v>3.4227265</v>
      </c>
      <c r="E5" s="185">
        <v>3.4227275000000001</v>
      </c>
    </row>
    <row r="6" spans="1:5">
      <c r="A6" s="160" t="s">
        <v>287</v>
      </c>
      <c r="B6" s="186">
        <v>3.18</v>
      </c>
      <c r="C6" s="186">
        <v>3.01</v>
      </c>
      <c r="D6" s="186">
        <v>3.14</v>
      </c>
      <c r="E6" s="186">
        <v>3.55</v>
      </c>
    </row>
    <row r="7" spans="1:5">
      <c r="A7" s="7" t="s">
        <v>93</v>
      </c>
      <c r="B7" s="168"/>
      <c r="C7" s="168"/>
      <c r="D7" s="168"/>
      <c r="E7" s="168"/>
    </row>
    <row r="8" spans="1:5">
      <c r="A8" s="160" t="s">
        <v>301</v>
      </c>
      <c r="B8" s="186">
        <v>3.1624999999999996</v>
      </c>
      <c r="C8" s="186">
        <v>2.9249999999999998</v>
      </c>
      <c r="D8" s="186" t="s">
        <v>80</v>
      </c>
      <c r="E8" s="186" t="s">
        <v>80</v>
      </c>
    </row>
    <row r="9" spans="1:5">
      <c r="A9" s="160" t="s">
        <v>302</v>
      </c>
      <c r="B9" s="186">
        <v>3.2</v>
      </c>
      <c r="C9" s="186">
        <v>3.4</v>
      </c>
      <c r="D9" s="186" t="s">
        <v>80</v>
      </c>
      <c r="E9" s="186" t="s">
        <v>80</v>
      </c>
    </row>
    <row r="10" spans="1:5">
      <c r="A10" s="160" t="s">
        <v>306</v>
      </c>
      <c r="B10" s="186">
        <v>3.0775000000000001</v>
      </c>
      <c r="C10" s="186">
        <v>3.01</v>
      </c>
      <c r="D10" s="186" t="s">
        <v>80</v>
      </c>
      <c r="E10" s="186" t="s">
        <v>80</v>
      </c>
    </row>
    <row r="11" spans="1:5">
      <c r="A11" s="160" t="s">
        <v>303</v>
      </c>
      <c r="B11" s="186" t="s">
        <v>80</v>
      </c>
      <c r="C11" s="186" t="s">
        <v>80</v>
      </c>
      <c r="D11" s="186" t="s">
        <v>80</v>
      </c>
      <c r="E11" s="186" t="s">
        <v>80</v>
      </c>
    </row>
    <row r="12" spans="1:5">
      <c r="A12" s="160" t="s">
        <v>290</v>
      </c>
      <c r="B12" s="186">
        <v>2.7625000000000002</v>
      </c>
      <c r="C12" s="186">
        <v>3</v>
      </c>
      <c r="D12" s="186" t="s">
        <v>80</v>
      </c>
      <c r="E12" s="186" t="s">
        <v>80</v>
      </c>
    </row>
    <row r="13" spans="1:5">
      <c r="A13" s="160" t="s">
        <v>304</v>
      </c>
      <c r="B13" s="186">
        <v>2.8624999999999998</v>
      </c>
      <c r="C13" s="186" t="s">
        <v>80</v>
      </c>
      <c r="D13" s="186" t="s">
        <v>80</v>
      </c>
      <c r="E13" s="186" t="s">
        <v>80</v>
      </c>
    </row>
    <row r="14" spans="1:5">
      <c r="A14" s="160" t="s">
        <v>292</v>
      </c>
      <c r="B14" s="186">
        <v>3.3875000000000002</v>
      </c>
      <c r="C14" s="186">
        <v>3.875</v>
      </c>
      <c r="D14" s="186" t="s">
        <v>80</v>
      </c>
      <c r="E14" s="186" t="s">
        <v>80</v>
      </c>
    </row>
    <row r="15" spans="1:5">
      <c r="A15" s="176" t="s">
        <v>305</v>
      </c>
      <c r="B15" s="187">
        <v>3.05</v>
      </c>
      <c r="C15" s="187">
        <v>3</v>
      </c>
      <c r="D15" s="187" t="s">
        <v>80</v>
      </c>
      <c r="E15" s="187" t="s">
        <v>80</v>
      </c>
    </row>
    <row r="16" spans="1:5">
      <c r="A16" s="168" t="s">
        <v>67</v>
      </c>
      <c r="B16" s="186">
        <v>3.3875000000000002</v>
      </c>
      <c r="C16" s="186">
        <v>3.875</v>
      </c>
      <c r="D16" s="186">
        <v>3.4227265</v>
      </c>
      <c r="E16" s="186">
        <v>3.55</v>
      </c>
    </row>
    <row r="17" spans="1:6">
      <c r="A17" s="168" t="s">
        <v>68</v>
      </c>
      <c r="B17" s="186">
        <v>2.7625000000000002</v>
      </c>
      <c r="C17" s="186">
        <v>2.9249999999999998</v>
      </c>
      <c r="D17" s="186">
        <v>3.14</v>
      </c>
      <c r="E17" s="186">
        <v>3.4227275000000001</v>
      </c>
    </row>
    <row r="18" spans="1:6">
      <c r="A18" s="178" t="s">
        <v>83</v>
      </c>
      <c r="B18" s="179">
        <v>3.1</v>
      </c>
      <c r="C18" s="179">
        <v>3.2</v>
      </c>
      <c r="D18" s="179">
        <v>3.3</v>
      </c>
      <c r="E18" s="179">
        <v>3.5</v>
      </c>
      <c r="F18" s="180"/>
    </row>
    <row r="19" spans="1:6">
      <c r="A19" s="181" t="s">
        <v>84</v>
      </c>
      <c r="B19" s="182">
        <v>3.2</v>
      </c>
      <c r="C19" s="182">
        <v>3.1</v>
      </c>
      <c r="D19" s="182">
        <v>3.1</v>
      </c>
      <c r="E19" s="182">
        <v>3.1</v>
      </c>
      <c r="F19" s="180"/>
    </row>
    <row r="20" spans="1:6">
      <c r="A20" s="212" t="s">
        <v>297</v>
      </c>
      <c r="B20" s="188"/>
      <c r="C20" s="183"/>
      <c r="D20" s="183"/>
      <c r="E20" s="183"/>
    </row>
  </sheetData>
  <pageMargins left="0.7" right="0.7" top="0.75" bottom="0.75" header="0.3" footer="0.3"/>
  <headerFooter>
    <oddFooter>&amp;L_x000D_&amp;1#&amp;"Calibri"&amp;11&amp;K000000 Classification: Public</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911A-F9A2-4016-A5FF-47AC0409FF1F}">
  <sheetPr>
    <tabColor rgb="FF92D050"/>
  </sheetPr>
  <dimension ref="A1:F19"/>
  <sheetViews>
    <sheetView zoomScaleNormal="100" workbookViewId="0">
      <selection activeCell="A19" sqref="A19"/>
    </sheetView>
  </sheetViews>
  <sheetFormatPr defaultColWidth="9.140625" defaultRowHeight="15.75"/>
  <cols>
    <col min="1" max="1" width="45.7109375" style="18" customWidth="1"/>
    <col min="2" max="6" width="9.7109375" style="18" customWidth="1"/>
    <col min="7" max="16384" width="9.140625" style="18"/>
  </cols>
  <sheetData>
    <row r="1" spans="1:6">
      <c r="A1" s="7" t="s">
        <v>96</v>
      </c>
      <c r="B1" s="168"/>
      <c r="C1" s="145"/>
      <c r="D1" s="189"/>
      <c r="E1" s="190"/>
      <c r="F1" s="190"/>
    </row>
    <row r="2" spans="1:6">
      <c r="A2" s="168" t="s">
        <v>97</v>
      </c>
      <c r="B2" s="168"/>
      <c r="C2" s="145"/>
      <c r="D2" s="189"/>
      <c r="E2" s="189"/>
      <c r="F2" s="189"/>
    </row>
    <row r="3" spans="1:6">
      <c r="A3" s="169" t="s">
        <v>77</v>
      </c>
      <c r="B3" s="170">
        <v>2024</v>
      </c>
      <c r="C3" s="170">
        <v>2025</v>
      </c>
      <c r="D3" s="170">
        <v>2026</v>
      </c>
      <c r="E3" s="191">
        <v>2027</v>
      </c>
      <c r="F3" s="191">
        <v>2028</v>
      </c>
    </row>
    <row r="4" spans="1:6">
      <c r="A4" s="7" t="s">
        <v>78</v>
      </c>
      <c r="B4" s="175"/>
      <c r="C4" s="175"/>
      <c r="D4" s="175"/>
      <c r="E4" s="192"/>
      <c r="F4" s="192"/>
    </row>
    <row r="5" spans="1:6">
      <c r="A5" s="160" t="s">
        <v>307</v>
      </c>
      <c r="B5" s="175">
        <v>2.2000000000000002</v>
      </c>
      <c r="C5" s="175">
        <v>2.1</v>
      </c>
      <c r="D5" s="175">
        <v>2.2999999999999998</v>
      </c>
      <c r="E5" s="193">
        <v>2.5</v>
      </c>
      <c r="F5" s="193">
        <v>2.5</v>
      </c>
    </row>
    <row r="6" spans="1:6">
      <c r="A6" s="160" t="s">
        <v>287</v>
      </c>
      <c r="B6" s="172">
        <v>1.7</v>
      </c>
      <c r="C6" s="172">
        <v>2.2000000000000002</v>
      </c>
      <c r="D6" s="172">
        <v>1.5</v>
      </c>
      <c r="E6" s="193">
        <v>1.9</v>
      </c>
      <c r="F6" s="193">
        <v>1.7</v>
      </c>
    </row>
    <row r="7" spans="1:6">
      <c r="A7" s="7" t="s">
        <v>93</v>
      </c>
      <c r="B7" s="175"/>
      <c r="C7" s="175"/>
      <c r="D7" s="175"/>
      <c r="E7" s="194"/>
      <c r="F7" s="194"/>
    </row>
    <row r="8" spans="1:6">
      <c r="A8" s="160" t="s">
        <v>301</v>
      </c>
      <c r="B8" s="175">
        <v>1.7</v>
      </c>
      <c r="C8" s="175">
        <v>2.2999999999999998</v>
      </c>
      <c r="D8" s="175">
        <v>2.2000000000000002</v>
      </c>
      <c r="E8" s="194" t="s">
        <v>80</v>
      </c>
      <c r="F8" s="194" t="s">
        <v>80</v>
      </c>
    </row>
    <row r="9" spans="1:6">
      <c r="A9" s="160" t="s">
        <v>302</v>
      </c>
      <c r="B9" s="175">
        <v>2.2000000000000002</v>
      </c>
      <c r="C9" s="175">
        <v>2.1</v>
      </c>
      <c r="D9" s="194">
        <v>2.7</v>
      </c>
      <c r="E9" s="194" t="s">
        <v>80</v>
      </c>
      <c r="F9" s="194" t="s">
        <v>80</v>
      </c>
    </row>
    <row r="10" spans="1:6">
      <c r="A10" s="160" t="s">
        <v>303</v>
      </c>
      <c r="B10" s="175">
        <v>1.9</v>
      </c>
      <c r="C10" s="175">
        <v>1.8</v>
      </c>
      <c r="D10" s="175" t="s">
        <v>80</v>
      </c>
      <c r="E10" s="194" t="s">
        <v>80</v>
      </c>
      <c r="F10" s="194" t="s">
        <v>80</v>
      </c>
    </row>
    <row r="11" spans="1:6">
      <c r="A11" s="160" t="s">
        <v>290</v>
      </c>
      <c r="B11" s="175">
        <v>2.2999999999999998</v>
      </c>
      <c r="C11" s="175">
        <v>2.2999999999999998</v>
      </c>
      <c r="D11" s="175">
        <v>2.2000000000000002</v>
      </c>
      <c r="E11" s="194" t="s">
        <v>80</v>
      </c>
      <c r="F11" s="194" t="s">
        <v>80</v>
      </c>
    </row>
    <row r="12" spans="1:6">
      <c r="A12" s="160" t="s">
        <v>304</v>
      </c>
      <c r="B12" s="175">
        <v>2.7</v>
      </c>
      <c r="C12" s="175">
        <v>2.8</v>
      </c>
      <c r="D12" s="175">
        <v>2.5</v>
      </c>
      <c r="E12" s="194" t="s">
        <v>80</v>
      </c>
      <c r="F12" s="194" t="s">
        <v>80</v>
      </c>
    </row>
    <row r="13" spans="1:6">
      <c r="A13" s="160" t="s">
        <v>308</v>
      </c>
      <c r="B13" s="175">
        <v>1.9</v>
      </c>
      <c r="C13" s="175">
        <v>2.6</v>
      </c>
      <c r="D13" s="175">
        <v>2.1</v>
      </c>
      <c r="E13" s="194" t="s">
        <v>80</v>
      </c>
      <c r="F13" s="194" t="s">
        <v>80</v>
      </c>
    </row>
    <row r="14" spans="1:6">
      <c r="A14" s="176" t="s">
        <v>309</v>
      </c>
      <c r="B14" s="177">
        <v>2.2000000000000002</v>
      </c>
      <c r="C14" s="177">
        <v>2</v>
      </c>
      <c r="D14" s="177">
        <v>2</v>
      </c>
      <c r="E14" s="195" t="s">
        <v>80</v>
      </c>
      <c r="F14" s="195" t="s">
        <v>80</v>
      </c>
    </row>
    <row r="15" spans="1:6">
      <c r="A15" s="168" t="s">
        <v>67</v>
      </c>
      <c r="B15" s="175">
        <f>IF(MAX(B5:B14)&lt;&gt;0,MAX(B5:B14),"n/a")</f>
        <v>2.7</v>
      </c>
      <c r="C15" s="175">
        <f>IF(MAX(C5:C14)&lt;&gt;0,MAX(C5:C14),"n/a")</f>
        <v>2.8</v>
      </c>
      <c r="D15" s="175">
        <f>IF(MAX(D5:D14)&lt;&gt;0,MAX(D5:D14),"n/a")</f>
        <v>2.7</v>
      </c>
      <c r="E15" s="175">
        <f>IF(MAX(E5:E14)&lt;&gt;0,MAX(E5:E14),"n/a")</f>
        <v>2.5</v>
      </c>
      <c r="F15" s="175">
        <f>IF(MAX(F5:F14)&lt;&gt;0,MAX(F5:F14),"n/a")</f>
        <v>2.5</v>
      </c>
    </row>
    <row r="16" spans="1:6">
      <c r="A16" s="168" t="s">
        <v>68</v>
      </c>
      <c r="B16" s="175">
        <f>IF(MIN(B5:B14)&lt;&gt;0,MIN(B5:B14),"n/a")</f>
        <v>1.7</v>
      </c>
      <c r="C16" s="175">
        <f>IF(MIN(C5:C14)&lt;&gt;0,MIN(C5:C14),"n/a")</f>
        <v>1.8</v>
      </c>
      <c r="D16" s="175">
        <f>IF(MIN(D5:D14)&lt;&gt;0,MIN(D5:D14),"n/a")</f>
        <v>1.5</v>
      </c>
      <c r="E16" s="175">
        <f>IF(MIN(E5:E14)&lt;&gt;0,MIN(E5:E14),"n/a")</f>
        <v>1.9</v>
      </c>
      <c r="F16" s="175">
        <f>IF(MIN(F5:F14)&lt;&gt;0,MIN(F5:F14),"n/a")</f>
        <v>1.7</v>
      </c>
    </row>
    <row r="17" spans="1:6">
      <c r="A17" s="178" t="s">
        <v>83</v>
      </c>
      <c r="B17" s="179">
        <f>IFERROR(AVERAGE(B5:B14),"n/a")</f>
        <v>2.0888888888888886</v>
      </c>
      <c r="C17" s="179">
        <f>IFERROR(AVERAGE(C5:C14),"n/a")</f>
        <v>2.2444444444444449</v>
      </c>
      <c r="D17" s="179">
        <f>IFERROR(AVERAGE(D5:D14),"n/a")</f>
        <v>2.1875</v>
      </c>
      <c r="E17" s="179">
        <f>IFERROR(AVERAGE(E5:E14),"n/a")</f>
        <v>2.2000000000000002</v>
      </c>
      <c r="F17" s="179">
        <f>IFERROR(AVERAGE(F5:F14),"n/a")</f>
        <v>2.1</v>
      </c>
    </row>
    <row r="18" spans="1:6">
      <c r="A18" s="181" t="s">
        <v>84</v>
      </c>
      <c r="B18" s="182">
        <v>3</v>
      </c>
      <c r="C18" s="182">
        <v>1.8</v>
      </c>
      <c r="D18" s="182">
        <v>1.7</v>
      </c>
      <c r="E18" s="182">
        <v>2.1</v>
      </c>
      <c r="F18" s="182">
        <v>2.2000000000000002</v>
      </c>
    </row>
    <row r="19" spans="1:6">
      <c r="A19" s="212" t="s">
        <v>297</v>
      </c>
      <c r="B19" s="192"/>
      <c r="C19" s="192"/>
      <c r="D19" s="192"/>
      <c r="E19" s="192"/>
      <c r="F19" s="192"/>
    </row>
  </sheetData>
  <pageMargins left="0.7" right="0.7" top="0.75" bottom="0.75" header="0.3" footer="0.3"/>
  <headerFooter>
    <oddFooter>&amp;L_x000D_&amp;1#&amp;"Calibri"&amp;11&amp;K000000 Classification: Public</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F626B-B425-4FF5-9F83-73DBEEB3ECBF}">
  <sheetPr>
    <tabColor rgb="FF92D050"/>
  </sheetPr>
  <dimension ref="A1:F18"/>
  <sheetViews>
    <sheetView zoomScaleNormal="100" workbookViewId="0">
      <selection activeCell="A18" sqref="A18"/>
    </sheetView>
  </sheetViews>
  <sheetFormatPr defaultColWidth="9.140625" defaultRowHeight="15.75"/>
  <cols>
    <col min="1" max="1" width="45.7109375" style="18" customWidth="1"/>
    <col min="2" max="6" width="9.7109375" style="18" customWidth="1"/>
    <col min="7" max="16384" width="9.140625" style="18"/>
  </cols>
  <sheetData>
    <row r="1" spans="1:6">
      <c r="A1" s="7" t="s">
        <v>98</v>
      </c>
      <c r="B1" s="168"/>
      <c r="C1" s="145"/>
      <c r="D1" s="189"/>
      <c r="E1" s="190"/>
      <c r="F1" s="189"/>
    </row>
    <row r="2" spans="1:6">
      <c r="A2" s="168" t="s">
        <v>97</v>
      </c>
      <c r="B2" s="168"/>
      <c r="C2" s="145"/>
      <c r="D2" s="189"/>
      <c r="E2" s="189"/>
      <c r="F2" s="189"/>
    </row>
    <row r="3" spans="1:6">
      <c r="A3" s="169" t="s">
        <v>77</v>
      </c>
      <c r="B3" s="170">
        <v>2024</v>
      </c>
      <c r="C3" s="170">
        <v>2025</v>
      </c>
      <c r="D3" s="170">
        <v>2026</v>
      </c>
      <c r="E3" s="191">
        <v>2027</v>
      </c>
      <c r="F3" s="191">
        <v>2028</v>
      </c>
    </row>
    <row r="4" spans="1:6">
      <c r="A4" s="7" t="s">
        <v>78</v>
      </c>
      <c r="B4" s="175"/>
      <c r="C4" s="175"/>
      <c r="D4" s="175"/>
      <c r="E4" s="192"/>
      <c r="F4" s="192"/>
    </row>
    <row r="5" spans="1:6">
      <c r="A5" s="160" t="s">
        <v>307</v>
      </c>
      <c r="B5" s="175">
        <v>3.7</v>
      </c>
      <c r="C5" s="175">
        <v>3.9</v>
      </c>
      <c r="D5" s="175">
        <v>4.0999999999999996</v>
      </c>
      <c r="E5" s="175">
        <v>4.2</v>
      </c>
      <c r="F5" s="175">
        <v>4.2</v>
      </c>
    </row>
    <row r="6" spans="1:6">
      <c r="A6" s="160" t="s">
        <v>287</v>
      </c>
      <c r="B6" s="175">
        <v>3.8</v>
      </c>
      <c r="C6" s="175">
        <v>5.3</v>
      </c>
      <c r="D6" s="175">
        <v>3.2</v>
      </c>
      <c r="E6" s="175">
        <v>4.4000000000000004</v>
      </c>
      <c r="F6" s="175">
        <v>3.4</v>
      </c>
    </row>
    <row r="7" spans="1:6">
      <c r="A7" s="211" t="s">
        <v>93</v>
      </c>
      <c r="B7" s="175"/>
      <c r="C7" s="175"/>
      <c r="D7" s="175"/>
      <c r="E7" s="192"/>
      <c r="F7" s="192"/>
    </row>
    <row r="8" spans="1:6">
      <c r="A8" s="160" t="s">
        <v>302</v>
      </c>
      <c r="B8" s="175">
        <v>5.2</v>
      </c>
      <c r="C8" s="175">
        <v>4.5999999999999996</v>
      </c>
      <c r="D8" s="175">
        <v>6.5</v>
      </c>
      <c r="E8" s="175" t="s">
        <v>80</v>
      </c>
      <c r="F8" s="175" t="s">
        <v>80</v>
      </c>
    </row>
    <row r="9" spans="1:6">
      <c r="A9" s="160" t="s">
        <v>303</v>
      </c>
      <c r="B9" s="175">
        <v>5.9</v>
      </c>
      <c r="C9" s="175">
        <v>3.7</v>
      </c>
      <c r="D9" s="175" t="s">
        <v>80</v>
      </c>
      <c r="E9" s="175" t="s">
        <v>80</v>
      </c>
      <c r="F9" s="175" t="s">
        <v>80</v>
      </c>
    </row>
    <row r="10" spans="1:6">
      <c r="A10" s="160" t="s">
        <v>290</v>
      </c>
      <c r="B10" s="175">
        <v>4.9000000000000004</v>
      </c>
      <c r="C10" s="175">
        <v>2.2000000000000002</v>
      </c>
      <c r="D10" s="175">
        <v>3.9</v>
      </c>
      <c r="E10" s="175" t="s">
        <v>80</v>
      </c>
      <c r="F10" s="175" t="s">
        <v>80</v>
      </c>
    </row>
    <row r="11" spans="1:6">
      <c r="A11" s="160" t="s">
        <v>304</v>
      </c>
      <c r="B11" s="175">
        <v>4.7</v>
      </c>
      <c r="C11" s="175">
        <v>2.4</v>
      </c>
      <c r="D11" s="175">
        <v>2.9</v>
      </c>
      <c r="E11" s="175" t="s">
        <v>80</v>
      </c>
      <c r="F11" s="175" t="s">
        <v>80</v>
      </c>
    </row>
    <row r="12" spans="1:6">
      <c r="A12" s="160" t="s">
        <v>308</v>
      </c>
      <c r="B12" s="175">
        <v>5.7</v>
      </c>
      <c r="C12" s="175">
        <v>3.4</v>
      </c>
      <c r="D12" s="175">
        <v>4</v>
      </c>
      <c r="E12" s="175" t="s">
        <v>80</v>
      </c>
      <c r="F12" s="175" t="s">
        <v>80</v>
      </c>
    </row>
    <row r="13" spans="1:6">
      <c r="A13" s="176" t="s">
        <v>309</v>
      </c>
      <c r="B13" s="177">
        <v>5.5</v>
      </c>
      <c r="C13" s="177">
        <v>4.4000000000000004</v>
      </c>
      <c r="D13" s="177">
        <v>4.4000000000000004</v>
      </c>
      <c r="E13" s="177" t="s">
        <v>80</v>
      </c>
      <c r="F13" s="177" t="s">
        <v>80</v>
      </c>
    </row>
    <row r="14" spans="1:6">
      <c r="A14" s="168" t="s">
        <v>67</v>
      </c>
      <c r="B14" s="175">
        <f>IF(MAX(B5:B13)&lt;&gt;0,MAX(B5:B13),"n/a")</f>
        <v>5.9</v>
      </c>
      <c r="C14" s="175">
        <f>IF(MAX(C5:C13)&lt;&gt;0,MAX(C5:C13),"n/a")</f>
        <v>5.3</v>
      </c>
      <c r="D14" s="175">
        <f>IF(MAX(D5:D13)&lt;&gt;0,MAX(D5:D13),"n/a")</f>
        <v>6.5</v>
      </c>
      <c r="E14" s="175">
        <f>IF(MAX(E5:E13)&lt;&gt;0,MAX(E5:E13),"n/a")</f>
        <v>4.4000000000000004</v>
      </c>
      <c r="F14" s="175">
        <f>IF(MAX(F5:F13)&lt;&gt;0,MAX(F5:F13),"n/a")</f>
        <v>4.2</v>
      </c>
    </row>
    <row r="15" spans="1:6">
      <c r="A15" s="168" t="s">
        <v>68</v>
      </c>
      <c r="B15" s="175">
        <f>IF(MIN(B5:B13)&lt;&gt;0,MIN(B5:B13),"n/a")</f>
        <v>3.7</v>
      </c>
      <c r="C15" s="175">
        <f>IF(MIN(C5:C13)&lt;&gt;0,MIN(C5:C13),"n/a")</f>
        <v>2.2000000000000002</v>
      </c>
      <c r="D15" s="175">
        <f>IF(MIN(D5:D13)&lt;&gt;0,MIN(D5:D13),"n/a")</f>
        <v>2.9</v>
      </c>
      <c r="E15" s="175">
        <f>IF(MIN(E5:E13)&lt;&gt;0,MIN(E5:E13),"n/a")</f>
        <v>4.2</v>
      </c>
      <c r="F15" s="175">
        <f>IF(MIN(F5:F13)&lt;&gt;0,MIN(F5:F13),"n/a")</f>
        <v>3.4</v>
      </c>
    </row>
    <row r="16" spans="1:6">
      <c r="A16" s="178" t="s">
        <v>83</v>
      </c>
      <c r="B16" s="179">
        <f>IFERROR(AVERAGE(B5:B13),"n/a")</f>
        <v>4.9249999999999998</v>
      </c>
      <c r="C16" s="179">
        <f>IFERROR(AVERAGE(C5:C13),"n/a")</f>
        <v>3.7374999999999998</v>
      </c>
      <c r="D16" s="179">
        <f>IFERROR(AVERAGE(D5:D13),"n/a")</f>
        <v>4.1428571428571432</v>
      </c>
      <c r="E16" s="179">
        <f>IFERROR(AVERAGE(E5:E13),"n/a")</f>
        <v>4.3000000000000007</v>
      </c>
      <c r="F16" s="179">
        <f>IFERROR(AVERAGE(F5:F13),"n/a")</f>
        <v>3.8</v>
      </c>
    </row>
    <row r="17" spans="1:6">
      <c r="A17" s="181" t="s">
        <v>84</v>
      </c>
      <c r="B17" s="182">
        <v>5.3</v>
      </c>
      <c r="C17" s="182">
        <v>1.2</v>
      </c>
      <c r="D17" s="182">
        <v>3</v>
      </c>
      <c r="E17" s="182">
        <v>3.5</v>
      </c>
      <c r="F17" s="182">
        <v>4.3</v>
      </c>
    </row>
    <row r="18" spans="1:6">
      <c r="A18" s="212" t="s">
        <v>297</v>
      </c>
      <c r="B18" s="183"/>
      <c r="C18" s="183"/>
      <c r="D18" s="183"/>
      <c r="E18" s="183"/>
      <c r="F18" s="183"/>
    </row>
  </sheetData>
  <pageMargins left="0.7" right="0.7" top="0.75" bottom="0.75" header="0.3" footer="0.3"/>
  <headerFooter>
    <oddFooter>&amp;L_x000D_&amp;1#&amp;"Calibri"&amp;11&amp;K000000 Classification: Public</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F237C-7AF1-4FEB-A539-A308C8987910}">
  <sheetPr>
    <tabColor rgb="FF92D050"/>
  </sheetPr>
  <dimension ref="A1:E18"/>
  <sheetViews>
    <sheetView zoomScaleNormal="100" workbookViewId="0">
      <selection activeCell="A18" sqref="A18"/>
    </sheetView>
  </sheetViews>
  <sheetFormatPr defaultColWidth="9.140625" defaultRowHeight="15.75"/>
  <cols>
    <col min="1" max="1" width="45.7109375" style="18" customWidth="1"/>
    <col min="2" max="5" width="9.7109375" style="18" customWidth="1"/>
    <col min="6" max="16384" width="9.140625" style="18"/>
  </cols>
  <sheetData>
    <row r="1" spans="1:5">
      <c r="A1" s="7" t="s">
        <v>99</v>
      </c>
      <c r="B1" s="145"/>
      <c r="C1" s="145"/>
      <c r="D1" s="145"/>
      <c r="E1" s="145"/>
    </row>
    <row r="2" spans="1:5">
      <c r="A2" s="168" t="s">
        <v>97</v>
      </c>
      <c r="B2" s="145"/>
      <c r="C2" s="145"/>
      <c r="D2" s="145"/>
      <c r="E2" s="145"/>
    </row>
    <row r="3" spans="1:5">
      <c r="A3" s="169" t="s">
        <v>77</v>
      </c>
      <c r="B3" s="207">
        <v>2025</v>
      </c>
      <c r="C3" s="207">
        <v>2026</v>
      </c>
      <c r="D3" s="207">
        <v>2027</v>
      </c>
      <c r="E3" s="207">
        <v>2028</v>
      </c>
    </row>
    <row r="4" spans="1:5">
      <c r="A4" s="7" t="s">
        <v>78</v>
      </c>
      <c r="B4" s="208"/>
      <c r="C4" s="208"/>
      <c r="D4" s="208"/>
      <c r="E4" s="208"/>
    </row>
    <row r="5" spans="1:5">
      <c r="A5" s="160" t="s">
        <v>307</v>
      </c>
      <c r="B5" s="208">
        <v>2</v>
      </c>
      <c r="C5" s="208">
        <v>2</v>
      </c>
      <c r="D5" s="208">
        <v>1.8</v>
      </c>
      <c r="E5" s="208">
        <v>1.7</v>
      </c>
    </row>
    <row r="6" spans="1:5">
      <c r="A6" s="160" t="s">
        <v>287</v>
      </c>
      <c r="B6" s="208">
        <v>1.7</v>
      </c>
      <c r="C6" s="208">
        <v>0.7</v>
      </c>
      <c r="D6" s="208">
        <v>0.8</v>
      </c>
      <c r="E6" s="208">
        <v>1</v>
      </c>
    </row>
    <row r="7" spans="1:5">
      <c r="A7" s="211" t="s">
        <v>93</v>
      </c>
      <c r="B7" s="208"/>
      <c r="C7" s="208"/>
      <c r="D7" s="208"/>
      <c r="E7" s="208"/>
    </row>
    <row r="8" spans="1:5">
      <c r="A8" s="160" t="s">
        <v>301</v>
      </c>
      <c r="B8" s="208">
        <v>2.6</v>
      </c>
      <c r="C8" s="208">
        <v>1.5</v>
      </c>
      <c r="D8" s="208" t="s">
        <v>80</v>
      </c>
      <c r="E8" s="175" t="s">
        <v>80</v>
      </c>
    </row>
    <row r="9" spans="1:5">
      <c r="A9" s="160" t="s">
        <v>303</v>
      </c>
      <c r="B9" s="175">
        <v>1.9</v>
      </c>
      <c r="C9" s="175" t="s">
        <v>80</v>
      </c>
      <c r="D9" s="175" t="s">
        <v>80</v>
      </c>
      <c r="E9" s="175" t="s">
        <v>80</v>
      </c>
    </row>
    <row r="10" spans="1:5">
      <c r="A10" s="160" t="s">
        <v>290</v>
      </c>
      <c r="B10" s="175">
        <v>1.6</v>
      </c>
      <c r="C10" s="175">
        <v>0.9</v>
      </c>
      <c r="D10" s="175" t="s">
        <v>80</v>
      </c>
      <c r="E10" s="175" t="s">
        <v>80</v>
      </c>
    </row>
    <row r="11" spans="1:5">
      <c r="A11" s="160" t="s">
        <v>304</v>
      </c>
      <c r="B11" s="175">
        <v>2.2000000000000002</v>
      </c>
      <c r="C11" s="175">
        <v>2.2000000000000002</v>
      </c>
      <c r="D11" s="175" t="s">
        <v>80</v>
      </c>
      <c r="E11" s="175" t="s">
        <v>80</v>
      </c>
    </row>
    <row r="12" spans="1:5">
      <c r="A12" s="160" t="s">
        <v>308</v>
      </c>
      <c r="B12" s="175">
        <v>1.9</v>
      </c>
      <c r="C12" s="175">
        <v>1.8</v>
      </c>
      <c r="D12" s="175" t="s">
        <v>80</v>
      </c>
      <c r="E12" s="175" t="s">
        <v>80</v>
      </c>
    </row>
    <row r="13" spans="1:5">
      <c r="A13" s="176" t="s">
        <v>309</v>
      </c>
      <c r="B13" s="177">
        <v>2.2000000000000002</v>
      </c>
      <c r="C13" s="177">
        <v>1</v>
      </c>
      <c r="D13" s="177" t="s">
        <v>80</v>
      </c>
      <c r="E13" s="177" t="s">
        <v>80</v>
      </c>
    </row>
    <row r="14" spans="1:5">
      <c r="A14" s="168" t="s">
        <v>67</v>
      </c>
      <c r="B14" s="208">
        <f>IF(MAX(B5:B13)&lt;&gt;0,MAX(B5:B13),"n/a")</f>
        <v>2.6</v>
      </c>
      <c r="C14" s="208">
        <f>IF(MAX(C5:C13)&lt;&gt;0,MAX(C5:C13),"n/a")</f>
        <v>2.2000000000000002</v>
      </c>
      <c r="D14" s="208">
        <f>IF(MAX(D5:D13)&lt;&gt;0,MAX(D5:D13),"n/a")</f>
        <v>1.8</v>
      </c>
      <c r="E14" s="208">
        <f>IF(MAX(E5:E13)&lt;&gt;0,MAX(E5:E13),"n/a")</f>
        <v>1.7</v>
      </c>
    </row>
    <row r="15" spans="1:5">
      <c r="A15" s="168" t="s">
        <v>68</v>
      </c>
      <c r="B15" s="208">
        <f>IF(MIN(B5:B13)&lt;&gt;0,MIN(B5:B13),"n/a")</f>
        <v>1.6</v>
      </c>
      <c r="C15" s="208">
        <f>IF(MIN(C5:C13)&lt;&gt;0,MIN(C5:C13),"n/a")</f>
        <v>0.7</v>
      </c>
      <c r="D15" s="208">
        <f>IF(MIN(D5:D13)&lt;&gt;0,MIN(D5:D13),"n/a")</f>
        <v>0.8</v>
      </c>
      <c r="E15" s="208">
        <f>IF(MIN(E5:E13)&lt;&gt;0,MIN(E5:E13),"n/a")</f>
        <v>1</v>
      </c>
    </row>
    <row r="16" spans="1:5">
      <c r="A16" s="178" t="s">
        <v>83</v>
      </c>
      <c r="B16" s="179">
        <f>IFERROR(AVERAGE(B5:B13),"n/a")</f>
        <v>2.0125000000000002</v>
      </c>
      <c r="C16" s="179">
        <f>IFERROR(AVERAGE(C5:C13),"n/a")</f>
        <v>1.4428571428571431</v>
      </c>
      <c r="D16" s="179">
        <f>IFERROR(AVERAGE(D5:D13),"n/a")</f>
        <v>1.3</v>
      </c>
      <c r="E16" s="179">
        <f>IFERROR(AVERAGE(E5:E13),"n/a")</f>
        <v>1.35</v>
      </c>
    </row>
    <row r="17" spans="1:5">
      <c r="A17" s="181" t="s">
        <v>84</v>
      </c>
      <c r="B17" s="182">
        <v>1.9</v>
      </c>
      <c r="C17" s="182">
        <v>1.6</v>
      </c>
      <c r="D17" s="182">
        <v>1.9</v>
      </c>
      <c r="E17" s="182">
        <v>2</v>
      </c>
    </row>
    <row r="18" spans="1:5">
      <c r="A18" s="212" t="s">
        <v>297</v>
      </c>
      <c r="B18" s="188"/>
      <c r="C18" s="210"/>
      <c r="D18" s="145"/>
      <c r="E18" s="145"/>
    </row>
  </sheetData>
  <pageMargins left="0.7" right="0.7" top="0.75" bottom="0.75" header="0.3" footer="0.3"/>
  <headerFooter>
    <oddFooter>&amp;L_x000D_&amp;1#&amp;"Calibri"&amp;11&amp;K000000 Classification: Public</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B15C0-86A7-4945-97B7-9EDC1B1217F0}">
  <sheetPr>
    <tabColor rgb="FF92D050"/>
  </sheetPr>
  <dimension ref="A1:E19"/>
  <sheetViews>
    <sheetView zoomScaleNormal="100" workbookViewId="0">
      <selection activeCell="A19" sqref="A19"/>
    </sheetView>
  </sheetViews>
  <sheetFormatPr defaultColWidth="9.140625" defaultRowHeight="15.75"/>
  <cols>
    <col min="1" max="1" width="45.7109375" style="18" customWidth="1"/>
    <col min="2" max="5" width="9.7109375" style="18" customWidth="1"/>
    <col min="6" max="16384" width="9.140625" style="18"/>
  </cols>
  <sheetData>
    <row r="1" spans="1:5">
      <c r="A1" s="7" t="s">
        <v>100</v>
      </c>
      <c r="B1" s="145"/>
      <c r="C1" s="145"/>
      <c r="D1" s="145"/>
      <c r="E1" s="145"/>
    </row>
    <row r="2" spans="1:5">
      <c r="A2" s="168" t="s">
        <v>101</v>
      </c>
      <c r="B2" s="145"/>
      <c r="C2" s="145"/>
      <c r="D2" s="145"/>
      <c r="E2" s="145"/>
    </row>
    <row r="3" spans="1:5">
      <c r="A3" s="169" t="s">
        <v>77</v>
      </c>
      <c r="B3" s="207">
        <v>2025</v>
      </c>
      <c r="C3" s="207">
        <v>2026</v>
      </c>
      <c r="D3" s="207">
        <v>2027</v>
      </c>
      <c r="E3" s="207">
        <v>2028</v>
      </c>
    </row>
    <row r="4" spans="1:5">
      <c r="A4" s="7" t="s">
        <v>78</v>
      </c>
      <c r="B4" s="175"/>
      <c r="C4" s="175"/>
      <c r="D4" s="175"/>
      <c r="E4" s="175"/>
    </row>
    <row r="5" spans="1:5">
      <c r="A5" s="160" t="s">
        <v>307</v>
      </c>
      <c r="B5" s="208">
        <v>7.6</v>
      </c>
      <c r="C5" s="208">
        <v>6.9</v>
      </c>
      <c r="D5" s="208">
        <v>6.5</v>
      </c>
      <c r="E5" s="208">
        <v>6.3</v>
      </c>
    </row>
    <row r="6" spans="1:5">
      <c r="A6" s="160" t="s">
        <v>287</v>
      </c>
      <c r="B6" s="175">
        <v>6.6</v>
      </c>
      <c r="C6" s="175">
        <v>6.3</v>
      </c>
      <c r="D6" s="175">
        <v>6.3</v>
      </c>
      <c r="E6" s="175">
        <v>6.5</v>
      </c>
    </row>
    <row r="7" spans="1:5">
      <c r="A7" s="7" t="s">
        <v>93</v>
      </c>
      <c r="B7" s="175"/>
      <c r="C7" s="175"/>
      <c r="D7" s="175"/>
      <c r="E7" s="175"/>
    </row>
    <row r="8" spans="1:5">
      <c r="A8" s="160" t="s">
        <v>301</v>
      </c>
      <c r="B8" s="208">
        <v>6.9</v>
      </c>
      <c r="C8" s="208">
        <v>6.5</v>
      </c>
      <c r="D8" s="208" t="s">
        <v>80</v>
      </c>
      <c r="E8" s="208" t="s">
        <v>80</v>
      </c>
    </row>
    <row r="9" spans="1:5">
      <c r="A9" s="160" t="s">
        <v>302</v>
      </c>
      <c r="B9" s="175">
        <v>7.2</v>
      </c>
      <c r="C9" s="175">
        <v>6.2</v>
      </c>
      <c r="D9" s="175" t="s">
        <v>80</v>
      </c>
      <c r="E9" s="175" t="s">
        <v>80</v>
      </c>
    </row>
    <row r="10" spans="1:5">
      <c r="A10" s="160" t="s">
        <v>303</v>
      </c>
      <c r="B10" s="175">
        <v>7.4</v>
      </c>
      <c r="C10" s="175" t="s">
        <v>80</v>
      </c>
      <c r="D10" s="175" t="s">
        <v>80</v>
      </c>
      <c r="E10" s="175" t="s">
        <v>80</v>
      </c>
    </row>
    <row r="11" spans="1:5">
      <c r="A11" s="160" t="s">
        <v>290</v>
      </c>
      <c r="B11" s="175">
        <v>7.9</v>
      </c>
      <c r="C11" s="175">
        <v>7.8</v>
      </c>
      <c r="D11" s="175" t="s">
        <v>80</v>
      </c>
      <c r="E11" s="175" t="s">
        <v>80</v>
      </c>
    </row>
    <row r="12" spans="1:5">
      <c r="A12" s="160" t="s">
        <v>304</v>
      </c>
      <c r="B12" s="175">
        <v>7.6</v>
      </c>
      <c r="C12" s="175">
        <v>6.2</v>
      </c>
      <c r="D12" s="175" t="s">
        <v>80</v>
      </c>
      <c r="E12" s="175" t="s">
        <v>80</v>
      </c>
    </row>
    <row r="13" spans="1:5">
      <c r="A13" s="160" t="s">
        <v>308</v>
      </c>
      <c r="B13" s="175">
        <v>7.2</v>
      </c>
      <c r="C13" s="175">
        <v>7</v>
      </c>
      <c r="D13" s="175" t="s">
        <v>80</v>
      </c>
      <c r="E13" s="175" t="s">
        <v>80</v>
      </c>
    </row>
    <row r="14" spans="1:5">
      <c r="A14" s="176" t="s">
        <v>309</v>
      </c>
      <c r="B14" s="177">
        <v>6.8</v>
      </c>
      <c r="C14" s="177">
        <v>6.1</v>
      </c>
      <c r="D14" s="177" t="s">
        <v>80</v>
      </c>
      <c r="E14" s="177" t="s">
        <v>80</v>
      </c>
    </row>
    <row r="15" spans="1:5">
      <c r="A15" s="168" t="s">
        <v>67</v>
      </c>
      <c r="B15" s="175">
        <f>IF(MAX(B5:B14)&lt;&gt;0,MAX(B5:B14),"n/a")</f>
        <v>7.9</v>
      </c>
      <c r="C15" s="175">
        <f>IF(MAX(C5:C14)&lt;&gt;0,MAX(C5:C14),"n/a")</f>
        <v>7.8</v>
      </c>
      <c r="D15" s="175">
        <f>IF(MAX(D5:D14)&lt;&gt;0,MAX(D5:D14),"n/a")</f>
        <v>6.5</v>
      </c>
      <c r="E15" s="175">
        <f>IF(MAX(E5:E14)&lt;&gt;0,MAX(E5:E14),"n/a")</f>
        <v>6.5</v>
      </c>
    </row>
    <row r="16" spans="1:5">
      <c r="A16" s="168" t="s">
        <v>68</v>
      </c>
      <c r="B16" s="175">
        <f>IF(MIN(B5:B14)&lt;&gt;0,MIN(B5:B14),"n/a")</f>
        <v>6.6</v>
      </c>
      <c r="C16" s="175">
        <f>IF(MIN(C5:C14)&lt;&gt;0,MIN(C5:C14),"n/a")</f>
        <v>6.1</v>
      </c>
      <c r="D16" s="175">
        <f>IF(MIN(D5:D14)&lt;&gt;0,MIN(D5:D14),"n/a")</f>
        <v>6.3</v>
      </c>
      <c r="E16" s="175">
        <f>IF(MIN(E5:E14)&lt;&gt;0,MIN(E5:E14),"n/a")</f>
        <v>6.3</v>
      </c>
    </row>
    <row r="17" spans="1:5">
      <c r="A17" s="7" t="s">
        <v>83</v>
      </c>
      <c r="B17" s="209">
        <f>IFERROR(AVERAGE(B5:B14),"n/a")</f>
        <v>7.2444444444444445</v>
      </c>
      <c r="C17" s="209">
        <f>IFERROR(AVERAGE(C5:C14),"n/a")</f>
        <v>6.625</v>
      </c>
      <c r="D17" s="209">
        <f>IFERROR(AVERAGE(D5:D14),"n/a")</f>
        <v>6.4</v>
      </c>
      <c r="E17" s="209">
        <f>IFERROR(AVERAGE(E5:E14),"n/a")</f>
        <v>6.4</v>
      </c>
    </row>
    <row r="18" spans="1:5">
      <c r="A18" s="7" t="s">
        <v>84</v>
      </c>
      <c r="B18" s="209">
        <v>7.4</v>
      </c>
      <c r="C18" s="209">
        <v>7.2</v>
      </c>
      <c r="D18" s="209">
        <v>6.9</v>
      </c>
      <c r="E18" s="209">
        <v>6.6</v>
      </c>
    </row>
    <row r="19" spans="1:5">
      <c r="A19" s="212" t="s">
        <v>297</v>
      </c>
      <c r="B19" s="188"/>
      <c r="C19" s="210"/>
      <c r="D19" s="145"/>
      <c r="E19" s="145"/>
    </row>
  </sheetData>
  <pageMargins left="0.7" right="0.7" top="0.75" bottom="0.75" header="0.3" footer="0.3"/>
  <headerFooter>
    <oddFooter>&amp;L_x000D_&amp;1#&amp;"Calibri"&amp;11&amp;K000000 Classification: Public</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E006F-4257-4DB1-A738-2F55AE28FEE4}">
  <sheetPr>
    <tabColor rgb="FF92D050"/>
  </sheetPr>
  <dimension ref="A1:E19"/>
  <sheetViews>
    <sheetView zoomScaleNormal="100" workbookViewId="0">
      <selection activeCell="A26" sqref="A26"/>
    </sheetView>
  </sheetViews>
  <sheetFormatPr defaultColWidth="9.140625" defaultRowHeight="15.75"/>
  <cols>
    <col min="1" max="1" width="45.7109375" style="18" customWidth="1"/>
    <col min="2" max="5" width="9.7109375" style="18" customWidth="1"/>
    <col min="6" max="16384" width="9.140625" style="18"/>
  </cols>
  <sheetData>
    <row r="1" spans="1:5">
      <c r="A1" s="8" t="s">
        <v>102</v>
      </c>
      <c r="B1" s="145"/>
      <c r="C1" s="145"/>
      <c r="D1" s="145"/>
      <c r="E1" s="145"/>
    </row>
    <row r="2" spans="1:5">
      <c r="A2" s="196" t="s">
        <v>103</v>
      </c>
      <c r="B2" s="145"/>
      <c r="C2" s="145"/>
      <c r="D2" s="145"/>
      <c r="E2" s="145"/>
    </row>
    <row r="3" spans="1:5">
      <c r="A3" s="197" t="s">
        <v>77</v>
      </c>
      <c r="B3" s="198">
        <v>2025</v>
      </c>
      <c r="C3" s="198">
        <v>2026</v>
      </c>
      <c r="D3" s="198">
        <v>2027</v>
      </c>
      <c r="E3" s="198">
        <v>2028</v>
      </c>
    </row>
    <row r="4" spans="1:5">
      <c r="A4" s="8" t="s">
        <v>78</v>
      </c>
      <c r="B4" s="199"/>
      <c r="C4" s="199"/>
      <c r="D4" s="199"/>
      <c r="E4" s="199"/>
    </row>
    <row r="5" spans="1:5">
      <c r="A5" s="200" t="s">
        <v>307</v>
      </c>
      <c r="B5" s="201">
        <v>43.2</v>
      </c>
      <c r="C5" s="201">
        <v>42.9</v>
      </c>
      <c r="D5" s="201">
        <v>42.2</v>
      </c>
      <c r="E5" s="201">
        <v>41.5</v>
      </c>
    </row>
    <row r="6" spans="1:5">
      <c r="A6" s="202" t="s">
        <v>287</v>
      </c>
      <c r="B6" s="201">
        <v>41.142000000000003</v>
      </c>
      <c r="C6" s="201">
        <v>36.549999999999997</v>
      </c>
      <c r="D6" s="201">
        <v>33.058</v>
      </c>
      <c r="E6" s="201">
        <v>32.72</v>
      </c>
    </row>
    <row r="7" spans="1:5">
      <c r="A7" s="8" t="s">
        <v>93</v>
      </c>
      <c r="B7" s="199"/>
      <c r="C7" s="199"/>
      <c r="D7" s="199"/>
      <c r="E7" s="199"/>
    </row>
    <row r="8" spans="1:5">
      <c r="A8" s="200" t="s">
        <v>301</v>
      </c>
      <c r="B8" s="201">
        <v>45</v>
      </c>
      <c r="C8" s="201">
        <v>45</v>
      </c>
      <c r="D8" s="201" t="s">
        <v>80</v>
      </c>
      <c r="E8" s="201" t="s">
        <v>80</v>
      </c>
    </row>
    <row r="9" spans="1:5">
      <c r="A9" s="200" t="s">
        <v>302</v>
      </c>
      <c r="B9" s="201">
        <v>42</v>
      </c>
      <c r="C9" s="201">
        <v>48</v>
      </c>
      <c r="D9" s="201" t="s">
        <v>80</v>
      </c>
      <c r="E9" s="201" t="s">
        <v>80</v>
      </c>
    </row>
    <row r="10" spans="1:5">
      <c r="A10" s="200" t="s">
        <v>303</v>
      </c>
      <c r="B10" s="199">
        <v>40</v>
      </c>
      <c r="C10" s="199" t="s">
        <v>80</v>
      </c>
      <c r="D10" s="199" t="s">
        <v>80</v>
      </c>
      <c r="E10" s="199" t="s">
        <v>80</v>
      </c>
    </row>
    <row r="11" spans="1:5">
      <c r="A11" s="200" t="s">
        <v>290</v>
      </c>
      <c r="B11" s="199">
        <v>49</v>
      </c>
      <c r="C11" s="199">
        <v>50.5</v>
      </c>
      <c r="D11" s="199" t="s">
        <v>80</v>
      </c>
      <c r="E11" s="199" t="s">
        <v>80</v>
      </c>
    </row>
    <row r="12" spans="1:5">
      <c r="A12" s="200" t="s">
        <v>304</v>
      </c>
      <c r="B12" s="199">
        <v>49.5</v>
      </c>
      <c r="C12" s="199">
        <v>50</v>
      </c>
      <c r="D12" s="199" t="s">
        <v>80</v>
      </c>
      <c r="E12" s="199" t="s">
        <v>80</v>
      </c>
    </row>
    <row r="13" spans="1:5">
      <c r="A13" s="200" t="s">
        <v>308</v>
      </c>
      <c r="B13" s="199">
        <v>43</v>
      </c>
      <c r="C13" s="199">
        <v>37</v>
      </c>
      <c r="D13" s="199" t="s">
        <v>80</v>
      </c>
      <c r="E13" s="199" t="s">
        <v>80</v>
      </c>
    </row>
    <row r="14" spans="1:5">
      <c r="A14" s="203" t="s">
        <v>309</v>
      </c>
      <c r="B14" s="204">
        <v>43.6</v>
      </c>
      <c r="C14" s="204">
        <v>37.9</v>
      </c>
      <c r="D14" s="204" t="s">
        <v>80</v>
      </c>
      <c r="E14" s="204" t="s">
        <v>80</v>
      </c>
    </row>
    <row r="15" spans="1:5">
      <c r="A15" s="196" t="s">
        <v>67</v>
      </c>
      <c r="B15" s="199">
        <f>IF(MAX(B5:B14)&lt;&gt;0,MAX(B5:B14),"n/a")</f>
        <v>49.5</v>
      </c>
      <c r="C15" s="199">
        <f>IF(MAX(C5:C14)&lt;&gt;0,MAX(C5:C14),"n/a")</f>
        <v>50.5</v>
      </c>
      <c r="D15" s="199">
        <f>IF(MAX(D5:D14)&lt;&gt;0,MAX(D5:D14),"n/a")</f>
        <v>42.2</v>
      </c>
      <c r="E15" s="199">
        <f>IF(MAX(E5:E14)&lt;&gt;0,MAX(E5:E14),"n/a")</f>
        <v>41.5</v>
      </c>
    </row>
    <row r="16" spans="1:5">
      <c r="A16" s="196" t="s">
        <v>68</v>
      </c>
      <c r="B16" s="199">
        <f>IF(MIN(B5:B14)&lt;&gt;0,MIN(B5:B14),"n/a")</f>
        <v>40</v>
      </c>
      <c r="C16" s="199">
        <f>IF(MIN(C5:C14)&lt;&gt;0,MIN(C5:C14),"n/a")</f>
        <v>36.549999999999997</v>
      </c>
      <c r="D16" s="199">
        <f>IF(MIN(D5:D14)&lt;&gt;0,MIN(D5:D14),"n/a")</f>
        <v>33.058</v>
      </c>
      <c r="E16" s="199">
        <f>IF(MIN(E5:E14)&lt;&gt;0,MIN(E5:E14),"n/a")</f>
        <v>32.72</v>
      </c>
    </row>
    <row r="17" spans="1:5">
      <c r="A17" s="178" t="s">
        <v>83</v>
      </c>
      <c r="B17" s="179">
        <f>IFERROR(AVERAGE(B5:B14),"n/a")</f>
        <v>44.04911111111111</v>
      </c>
      <c r="C17" s="179">
        <f>IFERROR(AVERAGE(C5:C14),"n/a")</f>
        <v>43.481249999999996</v>
      </c>
      <c r="D17" s="179">
        <f>IFERROR(AVERAGE(D5:D14),"n/a")</f>
        <v>37.629000000000005</v>
      </c>
      <c r="E17" s="179">
        <f>IFERROR(AVERAGE(E5:E14),"n/a")</f>
        <v>37.11</v>
      </c>
    </row>
    <row r="18" spans="1:5">
      <c r="A18" s="181" t="s">
        <v>84</v>
      </c>
      <c r="B18" s="182">
        <v>43</v>
      </c>
      <c r="C18" s="182">
        <v>40.799999999999997</v>
      </c>
      <c r="D18" s="182">
        <v>38.299999999999997</v>
      </c>
      <c r="E18" s="182">
        <v>37.799999999999997</v>
      </c>
    </row>
    <row r="19" spans="1:5">
      <c r="A19" s="212" t="s">
        <v>297</v>
      </c>
      <c r="B19" s="205"/>
      <c r="C19" s="206"/>
      <c r="D19" s="145"/>
      <c r="E19" s="205"/>
    </row>
  </sheetData>
  <pageMargins left="0.7" right="0.7" top="0.75" bottom="0.75" header="0.3" footer="0.3"/>
  <headerFooter>
    <oddFooter>&amp;L_x000D_&amp;1#&amp;"Calibri"&amp;11&amp;K000000 Classification: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Cover</vt:lpstr>
      <vt:lpstr>Key Assumptions</vt:lpstr>
      <vt:lpstr>1. AAX (monthly)</vt:lpstr>
      <vt:lpstr>2. Real GDP</vt:lpstr>
      <vt:lpstr>3. Global Growth(uncertainty)</vt:lpstr>
      <vt:lpstr>4. Policy Rates</vt:lpstr>
      <vt:lpstr>5. Exchange Rates</vt:lpstr>
      <vt:lpstr>6. Oil Prices</vt:lpstr>
      <vt:lpstr>7.US Oil Imports</vt:lpstr>
      <vt:lpstr>8. WCSWTI</vt:lpstr>
      <vt:lpstr>9. Oil Investment</vt:lpstr>
      <vt:lpstr>10. Manufacturing Exports</vt:lpstr>
      <vt:lpstr>11. Other Investment</vt:lpstr>
      <vt:lpstr>12. Corporate Profit</vt:lpstr>
      <vt:lpstr>13. Population</vt:lpstr>
      <vt:lpstr>14. Permits</vt:lpstr>
      <vt:lpstr>15. LMI</vt:lpstr>
      <vt:lpstr>16. CPI</vt:lpstr>
      <vt:lpstr>17. Per-Capita Consumption</vt:lpstr>
      <vt:lpstr>Scenarios</vt:lpstr>
      <vt:lpstr>B1. Oil</vt:lpstr>
      <vt:lpstr>B1. Oil Last Year</vt:lpstr>
      <vt:lpstr>B2. Oil Diff</vt:lpstr>
      <vt:lpstr>B3. Natural Gas</vt:lpstr>
      <vt:lpstr>B3. Natural Gas Last Year</vt:lpstr>
      <vt:lpstr>B4. FX Rate</vt:lpstr>
      <vt:lpstr>B5. Long Rates</vt:lpstr>
      <vt:lpstr>B6. Real RGP</vt:lpstr>
      <vt:lpstr>B7. Nominal GDP</vt:lpstr>
      <vt:lpstr>B8. Employment</vt:lpstr>
      <vt:lpstr>B9. Unemployment</vt:lpstr>
      <vt:lpstr>B10. Housing Starts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2024-27 Fiscal Plan – Economic Outlook – Data File (Alberta Budget 2024)</dc:title>
  <dc:creator>Government of Alberta</dc:creator>
  <cp:keywords>Security Classification: Public</cp:keywords>
  <cp:lastModifiedBy>Robert Vanblyderveen</cp:lastModifiedBy>
  <dcterms:created xsi:type="dcterms:W3CDTF">2024-02-26T16:18:30Z</dcterms:created>
  <dcterms:modified xsi:type="dcterms:W3CDTF">2025-02-26T23:47:18Z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0c3ebf9-3c2f-4745-a75f-55836bdb736f_Enabled">
    <vt:lpwstr>true</vt:lpwstr>
  </property>
  <property fmtid="{D5CDD505-2E9C-101B-9397-08002B2CF9AE}" pid="3" name="MSIP_Label_60c3ebf9-3c2f-4745-a75f-55836bdb736f_SetDate">
    <vt:lpwstr>2024-02-29T06:54:19Z</vt:lpwstr>
  </property>
  <property fmtid="{D5CDD505-2E9C-101B-9397-08002B2CF9AE}" pid="4" name="MSIP_Label_60c3ebf9-3c2f-4745-a75f-55836bdb736f_Method">
    <vt:lpwstr>Privileged</vt:lpwstr>
  </property>
  <property fmtid="{D5CDD505-2E9C-101B-9397-08002B2CF9AE}" pid="5" name="MSIP_Label_60c3ebf9-3c2f-4745-a75f-55836bdb736f_Name">
    <vt:lpwstr>Public</vt:lpwstr>
  </property>
  <property fmtid="{D5CDD505-2E9C-101B-9397-08002B2CF9AE}" pid="6" name="MSIP_Label_60c3ebf9-3c2f-4745-a75f-55836bdb736f_SiteId">
    <vt:lpwstr>2bb51c06-af9b-42c5-8bf5-3c3b7b10850b</vt:lpwstr>
  </property>
  <property fmtid="{D5CDD505-2E9C-101B-9397-08002B2CF9AE}" pid="7" name="MSIP_Label_60c3ebf9-3c2f-4745-a75f-55836bdb736f_ActionId">
    <vt:lpwstr>4e5a6479-1325-4411-8fec-2e35085bdf84</vt:lpwstr>
  </property>
  <property fmtid="{D5CDD505-2E9C-101B-9397-08002B2CF9AE}" pid="8" name="MSIP_Label_60c3ebf9-3c2f-4745-a75f-55836bdb736f_ContentBits">
    <vt:lpwstr>2</vt:lpwstr>
  </property>
</Properties>
</file>