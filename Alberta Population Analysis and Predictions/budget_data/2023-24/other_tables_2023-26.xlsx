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M:\CPE\Outreach (612316)\01 Projects\Budget\Embargo\Budget-2023\Public\final web versions\Budget excel files\"/>
    </mc:Choice>
  </mc:AlternateContent>
  <xr:revisionPtr revIDLastSave="0" documentId="13_ncr:1_{A371CF7B-7F3A-4B62-BFEC-105356102754}" xr6:coauthVersionLast="47" xr6:coauthVersionMax="47" xr10:uidLastSave="{00000000-0000-0000-0000-000000000000}"/>
  <bookViews>
    <workbookView xWindow="1170" yWindow="1170" windowWidth="23760" windowHeight="13755" tabRatio="921" xr2:uid="{00000000-000D-0000-FFFF-FFFF00000000}"/>
  </bookViews>
  <sheets>
    <sheet name="COVER" sheetId="31" r:id="rId1"/>
    <sheet name="Summary p1 st ops" sheetId="1" r:id="rId2"/>
    <sheet name="Summary p1 st finp" sheetId="2" r:id="rId3"/>
    <sheet name="Sch 1 Cons Fisc Sum" sheetId="3" r:id="rId4"/>
    <sheet name="Sch 2 Balance Sheet" sheetId="4" r:id="rId5"/>
    <sheet name="Sch 3 Capital assets" sheetId="5" r:id="rId6"/>
    <sheet name="Sch 4 St of Ops" sheetId="6" r:id="rId7"/>
    <sheet name="Sch 5 Revenue" sheetId="7" r:id="rId8"/>
    <sheet name="Sch 6 Oper Exp" sheetId="9" r:id="rId9"/>
    <sheet name="Sch 7 Cap Amort" sheetId="11" r:id="rId10"/>
    <sheet name="Sch 8 Inv Consump" sheetId="12" r:id="rId11"/>
    <sheet name="Sch 9 Inv Acquis" sheetId="13" r:id="rId12"/>
    <sheet name="Sch 10 Debt Serv Costs" sheetId="8" r:id="rId13"/>
    <sheet name="Sch 11 Disaster-emerg" sheetId="10" r:id="rId14"/>
    <sheet name="Sch 12 Pension Liab" sheetId="21" r:id="rId15"/>
    <sheet name="Sch 13 Principal Repayments" sheetId="18" r:id="rId16"/>
    <sheet name="Sch 14 Cash Adjustm" sheetId="22" r:id="rId17"/>
    <sheet name="Sch 15 Capital Plan" sheetId="14" r:id="rId18"/>
    <sheet name="Sch 16 Capital grants" sheetId="15" r:id="rId19"/>
    <sheet name="Sch 17 Capital Invest" sheetId="16" r:id="rId20"/>
    <sheet name="Sch 18 Capital Plan Funding" sheetId="17" r:id="rId21"/>
    <sheet name="Sch 19 Financing Reqt" sheetId="19" r:id="rId22"/>
    <sheet name="Sch 20 Borrowing sources" sheetId="20" r:id="rId23"/>
    <sheet name="Sch 21 Alloc net gam lott rev" sheetId="24" r:id="rId24"/>
    <sheet name="Sch 22 FTEs p16" sheetId="23" r:id="rId25"/>
    <sheet name="Sch 23 Exp by Object" sheetId="26" r:id="rId26"/>
    <sheet name="Sch 24 Exp by Function" sheetId="25" r:id="rId27"/>
    <sheet name="Sch 25 Bud 22 Historical" sheetId="30" r:id="rId28"/>
    <sheet name="END" sheetId="28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__she1">#REF!</definedName>
    <definedName name="_housingandurbanaffairs" localSheetId="3">#REF!</definedName>
    <definedName name="_housingandurbanaffairs" localSheetId="20">#REF!</definedName>
    <definedName name="_housingandurbanaffairs" localSheetId="22">#REF!</definedName>
    <definedName name="_housingandurbanaffairs" localSheetId="5">#REF!</definedName>
    <definedName name="_housingandurbanaffairs" localSheetId="2">#REF!</definedName>
    <definedName name="_housingandurbanaffairs" localSheetId="1">#REF!</definedName>
    <definedName name="_housingandurbanaffairs">#REF!</definedName>
    <definedName name="_new2" localSheetId="3">#REF!</definedName>
    <definedName name="_new2" localSheetId="20">#REF!</definedName>
    <definedName name="_new2" localSheetId="22">#REF!</definedName>
    <definedName name="_new2" localSheetId="5">#REF!</definedName>
    <definedName name="_new2" localSheetId="2">#REF!</definedName>
    <definedName name="_new2" localSheetId="1">#REF!</definedName>
    <definedName name="_new2">#REF!</definedName>
    <definedName name="_Order1" hidden="1">255</definedName>
    <definedName name="_Order2" hidden="1">255</definedName>
    <definedName name="_she1" localSheetId="3">#REF!</definedName>
    <definedName name="_she1" localSheetId="20">#REF!</definedName>
    <definedName name="_she1" localSheetId="22">#REF!</definedName>
    <definedName name="_she1" localSheetId="5">#REF!</definedName>
    <definedName name="_she1" localSheetId="2">#REF!</definedName>
    <definedName name="_she1" localSheetId="1">#REF!</definedName>
    <definedName name="_she1">#REF!</definedName>
    <definedName name="AFLASAF_REV" localSheetId="3">#REF!</definedName>
    <definedName name="AFLASAF_REV" localSheetId="20">#REF!</definedName>
    <definedName name="AFLASAF_REV" localSheetId="22">#REF!</definedName>
    <definedName name="AFLASAF_REV" localSheetId="5">#REF!</definedName>
    <definedName name="AFLASAF_REV" localSheetId="2">#REF!</definedName>
    <definedName name="AFLASAF_REV" localSheetId="1">#REF!</definedName>
    <definedName name="AFLASAF_REV">#REF!</definedName>
    <definedName name="AFSC_REV" localSheetId="3">#REF!</definedName>
    <definedName name="AFSC_REV" localSheetId="20">#REF!</definedName>
    <definedName name="AFSC_REV" localSheetId="22">#REF!</definedName>
    <definedName name="AFSC_REV" localSheetId="5">#REF!</definedName>
    <definedName name="AFSC_REV" localSheetId="2">#REF!</definedName>
    <definedName name="AFSC_REV" localSheetId="1">#REF!</definedName>
    <definedName name="AFSC_REV">#REF!</definedName>
    <definedName name="Amend" localSheetId="3">#REF!</definedName>
    <definedName name="Amend" localSheetId="20">#REF!</definedName>
    <definedName name="Amend" localSheetId="22">#REF!</definedName>
    <definedName name="Amend" localSheetId="5">#REF!</definedName>
    <definedName name="Amend" localSheetId="1">#REF!</definedName>
    <definedName name="Amend">#REF!</definedName>
    <definedName name="AOC_REV" localSheetId="3">#REF!</definedName>
    <definedName name="AOC_REV" localSheetId="20">#REF!</definedName>
    <definedName name="AOC_REV" localSheetId="22">#REF!</definedName>
    <definedName name="AOC_REV" localSheetId="5">#REF!</definedName>
    <definedName name="AOC_REV" localSheetId="1">#REF!</definedName>
    <definedName name="AOC_REV">#REF!</definedName>
    <definedName name="ASD" localSheetId="3">#REF!</definedName>
    <definedName name="ASD" localSheetId="20">#REF!</definedName>
    <definedName name="ASD" localSheetId="22">#REF!</definedName>
    <definedName name="ASD" localSheetId="5">#REF!</definedName>
    <definedName name="ASD" localSheetId="1">#REF!</definedName>
    <definedName name="ASD">#REF!</definedName>
    <definedName name="ASFF_REV" localSheetId="3">#REF!</definedName>
    <definedName name="ASFF_REV" localSheetId="20">#REF!</definedName>
    <definedName name="ASFF_REV" localSheetId="22">#REF!</definedName>
    <definedName name="ASFF_REV" localSheetId="5">#REF!</definedName>
    <definedName name="ASFF_REV" localSheetId="1">#REF!</definedName>
    <definedName name="ASFF_REV">#REF!</definedName>
    <definedName name="Authority_Name" localSheetId="27">'[1]Jurisdiction List'!$A$1:$A$65536</definedName>
    <definedName name="Authority_Name">'[2]Jurisdiction List'!$A$1:$A$65536</definedName>
    <definedName name="backend1">[3]Backend!$A$1:$A$22</definedName>
    <definedName name="BLPH90" localSheetId="3" hidden="1">[4]Data!$A$3</definedName>
    <definedName name="BLPH90" localSheetId="14" hidden="1">[4]Data!$A$3</definedName>
    <definedName name="BLPH90" hidden="1">[4]Data!$A$3</definedName>
    <definedName name="BLPH91" localSheetId="3" hidden="1">[4]Data!$D$3</definedName>
    <definedName name="BLPH91" localSheetId="14" hidden="1">[4]Data!$D$3</definedName>
    <definedName name="BLPH91" hidden="1">[4]Data!$D$3</definedName>
    <definedName name="BLPH92" localSheetId="3" hidden="1">[4]Data!$G$3</definedName>
    <definedName name="BLPH92" localSheetId="14" hidden="1">[4]Data!$G$3</definedName>
    <definedName name="BLPH92" hidden="1">[4]Data!$G$3</definedName>
    <definedName name="BLPH93" localSheetId="3" hidden="1">[4]Data!$J$3</definedName>
    <definedName name="BLPH93" localSheetId="14" hidden="1">[4]Data!$J$3</definedName>
    <definedName name="BLPH93" hidden="1">[4]Data!$J$3</definedName>
    <definedName name="capcode" localSheetId="3">#REF!</definedName>
    <definedName name="capcode" localSheetId="20">#REF!</definedName>
    <definedName name="capcode" localSheetId="22">#REF!</definedName>
    <definedName name="capcode" localSheetId="5">#REF!</definedName>
    <definedName name="capcode" localSheetId="2">#REF!</definedName>
    <definedName name="capcode" localSheetId="1">#REF!</definedName>
    <definedName name="capcode">#REF!</definedName>
    <definedName name="Capital_Investment_in_Government_Owned_Capital" localSheetId="3">#REF!</definedName>
    <definedName name="Capital_Investment_in_Government_Owned_Capital" localSheetId="20">#REF!</definedName>
    <definedName name="Capital_Investment_in_Government_Owned_Capital" localSheetId="22">#REF!</definedName>
    <definedName name="Capital_Investment_in_Government_Owned_Capital" localSheetId="5">#REF!</definedName>
    <definedName name="Capital_Investment_in_Government_Owned_Capital" localSheetId="2">#REF!</definedName>
    <definedName name="Capital_Investment_in_Government_Owned_Capital" localSheetId="1">#REF!</definedName>
    <definedName name="Capital_Investment_in_Government_Owned_Capital">#REF!</definedName>
    <definedName name="catcode" localSheetId="3">#REF!</definedName>
    <definedName name="catcode" localSheetId="20">#REF!</definedName>
    <definedName name="catcode" localSheetId="22">#REF!</definedName>
    <definedName name="catcode" localSheetId="5">#REF!</definedName>
    <definedName name="catcode" localSheetId="2">#REF!</definedName>
    <definedName name="catcode" localSheetId="1">#REF!</definedName>
    <definedName name="catcode">#REF!</definedName>
    <definedName name="Category" localSheetId="3">#REF!</definedName>
    <definedName name="Category" localSheetId="20">#REF!</definedName>
    <definedName name="Category" localSheetId="22">#REF!</definedName>
    <definedName name="Category" localSheetId="5">#REF!</definedName>
    <definedName name="Category" localSheetId="1">#REF!</definedName>
    <definedName name="Category">#REF!</definedName>
    <definedName name="category0">'[5]Table R1 Inters Rev'!$C$224:$F$224</definedName>
    <definedName name="category1">'[6]Table R1 Dept VTD Rev'!$C$224:$F$224</definedName>
    <definedName name="category10" localSheetId="3">#REF!</definedName>
    <definedName name="category10" localSheetId="20">#REF!</definedName>
    <definedName name="category10" localSheetId="22">#REF!</definedName>
    <definedName name="category10" localSheetId="5">#REF!</definedName>
    <definedName name="category10" localSheetId="2">#REF!</definedName>
    <definedName name="category10" localSheetId="1">#REF!</definedName>
    <definedName name="category10">#REF!</definedName>
    <definedName name="category11" localSheetId="3">#REF!</definedName>
    <definedName name="category11" localSheetId="20">#REF!</definedName>
    <definedName name="category11" localSheetId="22">#REF!</definedName>
    <definedName name="category11" localSheetId="5">#REF!</definedName>
    <definedName name="category11" localSheetId="2">#REF!</definedName>
    <definedName name="category11" localSheetId="1">#REF!</definedName>
    <definedName name="category11">#REF!</definedName>
    <definedName name="category12" localSheetId="3">#REF!</definedName>
    <definedName name="category12" localSheetId="20">#REF!</definedName>
    <definedName name="category12" localSheetId="22">#REF!</definedName>
    <definedName name="category12" localSheetId="5">#REF!</definedName>
    <definedName name="category12" localSheetId="2">#REF!</definedName>
    <definedName name="category12" localSheetId="1">#REF!</definedName>
    <definedName name="category12">#REF!</definedName>
    <definedName name="category13" localSheetId="3">#REF!</definedName>
    <definedName name="category13" localSheetId="20">#REF!</definedName>
    <definedName name="category13" localSheetId="22">#REF!</definedName>
    <definedName name="category13" localSheetId="5">#REF!</definedName>
    <definedName name="category13" localSheetId="1">#REF!</definedName>
    <definedName name="category13">#REF!</definedName>
    <definedName name="category14" localSheetId="3">#REF!</definedName>
    <definedName name="category14" localSheetId="20">#REF!</definedName>
    <definedName name="category14" localSheetId="22">#REF!</definedName>
    <definedName name="category14" localSheetId="5">#REF!</definedName>
    <definedName name="category14" localSheetId="1">#REF!</definedName>
    <definedName name="category14">#REF!</definedName>
    <definedName name="category15" localSheetId="3">#REF!</definedName>
    <definedName name="category15" localSheetId="20">#REF!</definedName>
    <definedName name="category15" localSheetId="22">#REF!</definedName>
    <definedName name="category15" localSheetId="5">#REF!</definedName>
    <definedName name="category15" localSheetId="1">#REF!</definedName>
    <definedName name="category15">#REF!</definedName>
    <definedName name="category16" localSheetId="3">#REF!</definedName>
    <definedName name="category16" localSheetId="20">#REF!</definedName>
    <definedName name="category16" localSheetId="22">#REF!</definedName>
    <definedName name="category16" localSheetId="5">#REF!</definedName>
    <definedName name="category16" localSheetId="1">#REF!</definedName>
    <definedName name="category16">#REF!</definedName>
    <definedName name="category17" localSheetId="3">#REF!</definedName>
    <definedName name="category17" localSheetId="20">#REF!</definedName>
    <definedName name="category17" localSheetId="22">#REF!</definedName>
    <definedName name="category17" localSheetId="5">#REF!</definedName>
    <definedName name="category17" localSheetId="1">#REF!</definedName>
    <definedName name="category17">#REF!</definedName>
    <definedName name="category18" localSheetId="3">#REF!</definedName>
    <definedName name="category18" localSheetId="20">#REF!</definedName>
    <definedName name="category18" localSheetId="22">#REF!</definedName>
    <definedName name="category18" localSheetId="5">#REF!</definedName>
    <definedName name="category18" localSheetId="1">#REF!</definedName>
    <definedName name="category18">#REF!</definedName>
    <definedName name="category19" localSheetId="3">#REF!</definedName>
    <definedName name="category19" localSheetId="20">#REF!</definedName>
    <definedName name="category19" localSheetId="22">#REF!</definedName>
    <definedName name="category19" localSheetId="5">#REF!</definedName>
    <definedName name="category19" localSheetId="1">#REF!</definedName>
    <definedName name="category19">#REF!</definedName>
    <definedName name="category2">'[6]Table R2 Dept STAT Exp'!$C$224:$F$224</definedName>
    <definedName name="category20" localSheetId="3">#REF!</definedName>
    <definedName name="category20" localSheetId="20">#REF!</definedName>
    <definedName name="category20" localSheetId="22">#REF!</definedName>
    <definedName name="category20" localSheetId="5">#REF!</definedName>
    <definedName name="category20" localSheetId="2">#REF!</definedName>
    <definedName name="category20" localSheetId="1">#REF!</definedName>
    <definedName name="category20">#REF!</definedName>
    <definedName name="category21" localSheetId="3">#REF!</definedName>
    <definedName name="category21" localSheetId="20">#REF!</definedName>
    <definedName name="category21" localSheetId="22">#REF!</definedName>
    <definedName name="category21" localSheetId="5">#REF!</definedName>
    <definedName name="category21" localSheetId="2">#REF!</definedName>
    <definedName name="category21" localSheetId="1">#REF!</definedName>
    <definedName name="category21">#REF!</definedName>
    <definedName name="category3">'[6]Table R2 Dept VTD Exp'!$C$224:$F$224</definedName>
    <definedName name="category4">'[6]Table R3 Dept VTD CI'!$C$224:$F$224</definedName>
    <definedName name="category5" localSheetId="3">#REF!</definedName>
    <definedName name="category5" localSheetId="20">#REF!</definedName>
    <definedName name="category5" localSheetId="22">#REF!</definedName>
    <definedName name="category5" localSheetId="5">#REF!</definedName>
    <definedName name="category5" localSheetId="2">#REF!</definedName>
    <definedName name="category5" localSheetId="1">#REF!</definedName>
    <definedName name="category5">#REF!</definedName>
    <definedName name="category6" localSheetId="3">#REF!</definedName>
    <definedName name="category6" localSheetId="20">#REF!</definedName>
    <definedName name="category6" localSheetId="22">#REF!</definedName>
    <definedName name="category6" localSheetId="5">#REF!</definedName>
    <definedName name="category6" localSheetId="2">#REF!</definedName>
    <definedName name="category6" localSheetId="1">#REF!</definedName>
    <definedName name="category6">#REF!</definedName>
    <definedName name="category7" localSheetId="3">#REF!</definedName>
    <definedName name="category7" localSheetId="20">#REF!</definedName>
    <definedName name="category7" localSheetId="22">#REF!</definedName>
    <definedName name="category7" localSheetId="5">#REF!</definedName>
    <definedName name="category7" localSheetId="2">#REF!</definedName>
    <definedName name="category7" localSheetId="1">#REF!</definedName>
    <definedName name="category7">#REF!</definedName>
    <definedName name="category8" localSheetId="3">#REF!</definedName>
    <definedName name="category8" localSheetId="20">#REF!</definedName>
    <definedName name="category8" localSheetId="22">#REF!</definedName>
    <definedName name="category8" localSheetId="5">#REF!</definedName>
    <definedName name="category8" localSheetId="1">#REF!</definedName>
    <definedName name="category8">#REF!</definedName>
    <definedName name="category9" localSheetId="3">#REF!</definedName>
    <definedName name="category9" localSheetId="20">#REF!</definedName>
    <definedName name="category9" localSheetId="22">#REF!</definedName>
    <definedName name="category9" localSheetId="5">#REF!</definedName>
    <definedName name="category9" localSheetId="1">#REF!</definedName>
    <definedName name="category9">#REF!</definedName>
    <definedName name="ConstituencyName" localSheetId="3">[7]ExclZero!#REF!</definedName>
    <definedName name="ConstituencyName" localSheetId="20">[7]ExclZero!#REF!</definedName>
    <definedName name="ConstituencyName" localSheetId="22">[7]ExclZero!#REF!</definedName>
    <definedName name="ConstituencyName" localSheetId="5">[7]ExclZero!#REF!</definedName>
    <definedName name="ConstituencyName" localSheetId="1">[7]ExclZero!#REF!</definedName>
    <definedName name="ConstituencyName">[7]ExclZero!#REF!</definedName>
    <definedName name="DAIRY_REV" localSheetId="3">#REF!</definedName>
    <definedName name="DAIRY_REV" localSheetId="20">#REF!</definedName>
    <definedName name="DAIRY_REV" localSheetId="22">#REF!</definedName>
    <definedName name="DAIRY_REV" localSheetId="5">#REF!</definedName>
    <definedName name="DAIRY_REV" localSheetId="2">#REF!</definedName>
    <definedName name="DAIRY_REV" localSheetId="1">#REF!</definedName>
    <definedName name="DAIRY_REV">#REF!</definedName>
    <definedName name="DATE">[8]Cover!$A$15</definedName>
    <definedName name="DEPT_REV">'[9]A-2 dept'!$A$10:$H$16</definedName>
    <definedName name="Deptname" localSheetId="3">#REF!</definedName>
    <definedName name="Deptname" localSheetId="20">#REF!</definedName>
    <definedName name="Deptname" localSheetId="22">#REF!</definedName>
    <definedName name="Deptname" localSheetId="5">#REF!</definedName>
    <definedName name="Deptname" localSheetId="2">#REF!</definedName>
    <definedName name="Deptname" localSheetId="1">#REF!</definedName>
    <definedName name="Deptname">#REF!</definedName>
    <definedName name="EnvelopeName" localSheetId="3">#REF!</definedName>
    <definedName name="EnvelopeName" localSheetId="20">#REF!</definedName>
    <definedName name="EnvelopeName" localSheetId="22">#REF!</definedName>
    <definedName name="EnvelopeName" localSheetId="5">#REF!</definedName>
    <definedName name="EnvelopeName" localSheetId="2">#REF!</definedName>
    <definedName name="EnvelopeName" localSheetId="1">#REF!</definedName>
    <definedName name="EnvelopeName">#REF!</definedName>
    <definedName name="EPC_REV" localSheetId="3">#REF!</definedName>
    <definedName name="EPC_REV" localSheetId="20">#REF!</definedName>
    <definedName name="EPC_REV" localSheetId="22">#REF!</definedName>
    <definedName name="EPC_REV" localSheetId="5">#REF!</definedName>
    <definedName name="EPC_REV" localSheetId="2">#REF!</definedName>
    <definedName name="EPC_REV" localSheetId="1">#REF!</definedName>
    <definedName name="EPC_REV">#REF!</definedName>
    <definedName name="EXP_INTER" localSheetId="3">#REF!</definedName>
    <definedName name="EXP_INTER" localSheetId="20">#REF!</definedName>
    <definedName name="EXP_INTER" localSheetId="22">#REF!</definedName>
    <definedName name="EXP_INTER" localSheetId="5">#REF!</definedName>
    <definedName name="EXP_INTER" localSheetId="1">#REF!</definedName>
    <definedName name="EXP_INTER">#REF!</definedName>
    <definedName name="expcode" localSheetId="3">#REF!</definedName>
    <definedName name="expcode" localSheetId="20">#REF!</definedName>
    <definedName name="expcode" localSheetId="22">#REF!</definedName>
    <definedName name="expcode" localSheetId="5">#REF!</definedName>
    <definedName name="expcode" localSheetId="1">#REF!</definedName>
    <definedName name="expcode">#REF!</definedName>
    <definedName name="fdex_56a" localSheetId="3">#REF!</definedName>
    <definedName name="fdex_56a" localSheetId="20">#REF!</definedName>
    <definedName name="fdex_56a" localSheetId="22">#REF!</definedName>
    <definedName name="fdex_56a" localSheetId="5">#REF!</definedName>
    <definedName name="fdex_56a" localSheetId="1">#REF!</definedName>
    <definedName name="fdex_56a">#REF!</definedName>
    <definedName name="fdex_67b" localSheetId="3">#REF!</definedName>
    <definedName name="fdex_67b" localSheetId="20">#REF!</definedName>
    <definedName name="fdex_67b" localSheetId="22">#REF!</definedName>
    <definedName name="fdex_67b" localSheetId="5">#REF!</definedName>
    <definedName name="fdex_67b" localSheetId="1">#REF!</definedName>
    <definedName name="fdex_67b">#REF!</definedName>
    <definedName name="fdex_67f" localSheetId="3">#REF!</definedName>
    <definedName name="fdex_67f" localSheetId="20">#REF!</definedName>
    <definedName name="fdex_67f" localSheetId="22">#REF!</definedName>
    <definedName name="fdex_67f" localSheetId="5">#REF!</definedName>
    <definedName name="fdex_67f" localSheetId="1">#REF!</definedName>
    <definedName name="fdex_67f">#REF!</definedName>
    <definedName name="fdex_68f" localSheetId="3">#REF!</definedName>
    <definedName name="fdex_68f" localSheetId="20">#REF!</definedName>
    <definedName name="fdex_68f" localSheetId="22">#REF!</definedName>
    <definedName name="fdex_68f" localSheetId="5">#REF!</definedName>
    <definedName name="fdex_68f" localSheetId="1">#REF!</definedName>
    <definedName name="fdex_68f">#REF!</definedName>
    <definedName name="fdex_78" localSheetId="3">#REF!</definedName>
    <definedName name="fdex_78" localSheetId="20">#REF!</definedName>
    <definedName name="fdex_78" localSheetId="22">#REF!</definedName>
    <definedName name="fdex_78" localSheetId="5">#REF!</definedName>
    <definedName name="fdex_78" localSheetId="1">#REF!</definedName>
    <definedName name="fdex_78">#REF!</definedName>
    <definedName name="FifthYCapital" localSheetId="3">#REF!</definedName>
    <definedName name="FifthYCapital" localSheetId="20">#REF!</definedName>
    <definedName name="FifthYCapital" localSheetId="22">#REF!</definedName>
    <definedName name="FifthYCapital" localSheetId="5">#REF!</definedName>
    <definedName name="FifthYCapital" localSheetId="1">#REF!</definedName>
    <definedName name="FifthYCapital">#REF!</definedName>
    <definedName name="FifthYIncrease" localSheetId="3">#REF!</definedName>
    <definedName name="FifthYIncrease" localSheetId="20">#REF!</definedName>
    <definedName name="FifthYIncrease" localSheetId="22">#REF!</definedName>
    <definedName name="FifthYIncrease" localSheetId="5">#REF!</definedName>
    <definedName name="FifthYIncrease" localSheetId="1">#REF!</definedName>
    <definedName name="FifthYIncrease">#REF!</definedName>
    <definedName name="FifthYTotal" localSheetId="3">#REF!</definedName>
    <definedName name="FifthYTotal" localSheetId="20">#REF!</definedName>
    <definedName name="FifthYTotal" localSheetId="22">#REF!</definedName>
    <definedName name="FifthYTotal" localSheetId="5">#REF!</definedName>
    <definedName name="FifthYTotal" localSheetId="1">#REF!</definedName>
    <definedName name="FifthYTotal">#REF!</definedName>
    <definedName name="Fin_Summary" localSheetId="3">#REF!</definedName>
    <definedName name="Fin_Summary" localSheetId="20">#REF!</definedName>
    <definedName name="Fin_Summary" localSheetId="22">#REF!</definedName>
    <definedName name="Fin_Summary" localSheetId="5">#REF!</definedName>
    <definedName name="Fin_Summary" localSheetId="1">#REF!</definedName>
    <definedName name="Fin_Summary">#REF!</definedName>
    <definedName name="Financing_Summary" localSheetId="3">#REF!</definedName>
    <definedName name="Financing_Summary" localSheetId="20">#REF!</definedName>
    <definedName name="Financing_Summary" localSheetId="22">#REF!</definedName>
    <definedName name="Financing_Summary" localSheetId="5">#REF!</definedName>
    <definedName name="Financing_Summary" localSheetId="1">#REF!</definedName>
    <definedName name="Financing_Summary">#REF!</definedName>
    <definedName name="FirstYCapital" localSheetId="3">#REF!</definedName>
    <definedName name="FirstYCapital" localSheetId="20">#REF!</definedName>
    <definedName name="FirstYCapital" localSheetId="22">#REF!</definedName>
    <definedName name="FirstYCapital" localSheetId="5">#REF!</definedName>
    <definedName name="FirstYCapital" localSheetId="1">#REF!</definedName>
    <definedName name="FirstYCapital">#REF!</definedName>
    <definedName name="FirstYIncrease" localSheetId="3">#REF!</definedName>
    <definedName name="FirstYIncrease" localSheetId="20">#REF!</definedName>
    <definedName name="FirstYIncrease" localSheetId="22">#REF!</definedName>
    <definedName name="FirstYIncrease" localSheetId="5">#REF!</definedName>
    <definedName name="FirstYIncrease" localSheetId="1">#REF!</definedName>
    <definedName name="FirstYIncrease">#REF!</definedName>
    <definedName name="FirstYTotal" localSheetId="3">#REF!</definedName>
    <definedName name="FirstYTotal" localSheetId="20">#REF!</definedName>
    <definedName name="FirstYTotal" localSheetId="22">#REF!</definedName>
    <definedName name="FirstYTotal" localSheetId="5">#REF!</definedName>
    <definedName name="FirstYTotal" localSheetId="1">#REF!</definedName>
    <definedName name="FirstYTotal">#REF!</definedName>
    <definedName name="FourthYCapital" localSheetId="3">#REF!</definedName>
    <definedName name="FourthYCapital" localSheetId="20">#REF!</definedName>
    <definedName name="FourthYCapital" localSheetId="22">#REF!</definedName>
    <definedName name="FourthYCapital" localSheetId="5">#REF!</definedName>
    <definedName name="FourthYCapital" localSheetId="1">#REF!</definedName>
    <definedName name="FourthYCapital">#REF!</definedName>
    <definedName name="FourthYIncrease" localSheetId="3">#REF!</definedName>
    <definedName name="FourthYIncrease" localSheetId="20">#REF!</definedName>
    <definedName name="FourthYIncrease" localSheetId="22">#REF!</definedName>
    <definedName name="FourthYIncrease" localSheetId="5">#REF!</definedName>
    <definedName name="FourthYIncrease" localSheetId="1">#REF!</definedName>
    <definedName name="FourthYIncrease">#REF!</definedName>
    <definedName name="FourthYTotal" localSheetId="3">#REF!</definedName>
    <definedName name="FourthYTotal" localSheetId="20">#REF!</definedName>
    <definedName name="FourthYTotal" localSheetId="22">#REF!</definedName>
    <definedName name="FourthYTotal" localSheetId="5">#REF!</definedName>
    <definedName name="FourthYTotal" localSheetId="1">#REF!</definedName>
    <definedName name="FourthYTotal">#REF!</definedName>
    <definedName name="Function">[10]Lists!$C$5:$C$28</definedName>
    <definedName name="GAMGLI" localSheetId="3">#REF!</definedName>
    <definedName name="GAMGLI" localSheetId="20">#REF!</definedName>
    <definedName name="GAMGLI" localSheetId="22">#REF!</definedName>
    <definedName name="GAMGLI" localSheetId="5">#REF!</definedName>
    <definedName name="GAMGLI" localSheetId="2">#REF!</definedName>
    <definedName name="GAMGLI" localSheetId="1">#REF!</definedName>
    <definedName name="GAMGLI">#REF!</definedName>
    <definedName name="Grants_for_Capital_Purposes_and_Other_Infrastructure_Support" localSheetId="3">#REF!</definedName>
    <definedName name="Grants_for_Capital_Purposes_and_Other_Infrastructure_Support" localSheetId="20">#REF!</definedName>
    <definedName name="Grants_for_Capital_Purposes_and_Other_Infrastructure_Support" localSheetId="22">#REF!</definedName>
    <definedName name="Grants_for_Capital_Purposes_and_Other_Infrastructure_Support" localSheetId="5">#REF!</definedName>
    <definedName name="Grants_for_Capital_Purposes_and_Other_Infrastructure_Support" localSheetId="2">#REF!</definedName>
    <definedName name="Grants_for_Capital_Purposes_and_Other_Infrastructure_Support" localSheetId="1">#REF!</definedName>
    <definedName name="Grants_for_Capital_Purposes_and_Other_Infrastructure_Support">#REF!</definedName>
    <definedName name="housing" localSheetId="3">#REF!</definedName>
    <definedName name="housing" localSheetId="20">#REF!</definedName>
    <definedName name="housing" localSheetId="22">#REF!</definedName>
    <definedName name="housing" localSheetId="5">#REF!</definedName>
    <definedName name="housing" localSheetId="2">#REF!</definedName>
    <definedName name="housing" localSheetId="1">#REF!</definedName>
    <definedName name="housing">#REF!</definedName>
    <definedName name="IFN" localSheetId="3">#REF!</definedName>
    <definedName name="IFN" localSheetId="20">#REF!</definedName>
    <definedName name="IFN" localSheetId="22">#REF!</definedName>
    <definedName name="IFN" localSheetId="5">#REF!</definedName>
    <definedName name="IFN" localSheetId="1">#REF!</definedName>
    <definedName name="IFN">#REF!</definedName>
    <definedName name="Incr3Y" localSheetId="3">#REF!</definedName>
    <definedName name="Incr3Y" localSheetId="20">#REF!</definedName>
    <definedName name="Incr3Y" localSheetId="22">#REF!</definedName>
    <definedName name="Incr3Y" localSheetId="5">#REF!</definedName>
    <definedName name="Incr3Y" localSheetId="1">#REF!</definedName>
    <definedName name="Incr3Y">#REF!</definedName>
    <definedName name="InvCat">'[11]Invest cat'!$B$2:$B$18</definedName>
    <definedName name="ITA_REV">'[9]A-2-intra'!$A$10:$H$24</definedName>
    <definedName name="ITR_REV" localSheetId="3">#REF!</definedName>
    <definedName name="ITR_REV" localSheetId="20">#REF!</definedName>
    <definedName name="ITR_REV" localSheetId="22">#REF!</definedName>
    <definedName name="ITR_REV" localSheetId="5">#REF!</definedName>
    <definedName name="ITR_REV" localSheetId="2">#REF!</definedName>
    <definedName name="ITR_REV" localSheetId="1">#REF!</definedName>
    <definedName name="ITR_REV">#REF!</definedName>
    <definedName name="Location" localSheetId="3">#REF!</definedName>
    <definedName name="Location" localSheetId="20">#REF!</definedName>
    <definedName name="Location" localSheetId="22">#REF!</definedName>
    <definedName name="Location" localSheetId="5">#REF!</definedName>
    <definedName name="Location" localSheetId="2">#REF!</definedName>
    <definedName name="Location" localSheetId="1">#REF!</definedName>
    <definedName name="Location">#REF!</definedName>
    <definedName name="LYN" localSheetId="3">#REF!</definedName>
    <definedName name="LYN" localSheetId="20">#REF!</definedName>
    <definedName name="LYN" localSheetId="22">#REF!</definedName>
    <definedName name="LYN" localSheetId="5">#REF!</definedName>
    <definedName name="LYN" localSheetId="2">#REF!</definedName>
    <definedName name="LYN" localSheetId="1">#REF!</definedName>
    <definedName name="LYN">#REF!</definedName>
    <definedName name="Ministry">[10]Lists!$A$5:$A$25</definedName>
    <definedName name="mm" localSheetId="3">#REF!</definedName>
    <definedName name="mm" localSheetId="20">#REF!</definedName>
    <definedName name="mm" localSheetId="22">#REF!</definedName>
    <definedName name="mm" localSheetId="5">#REF!</definedName>
    <definedName name="mm" localSheetId="2">#REF!</definedName>
    <definedName name="mm" localSheetId="1">#REF!</definedName>
    <definedName name="mm">#REF!</definedName>
    <definedName name="mmmm" localSheetId="3">#REF!</definedName>
    <definedName name="mmmm" localSheetId="20">#REF!</definedName>
    <definedName name="mmmm" localSheetId="22">#REF!</definedName>
    <definedName name="mmmm" localSheetId="5">#REF!</definedName>
    <definedName name="mmmm" localSheetId="2">#REF!</definedName>
    <definedName name="mmmm" localSheetId="1">#REF!</definedName>
    <definedName name="mmmm">#REF!</definedName>
    <definedName name="mmmmm" localSheetId="3">#REF!</definedName>
    <definedName name="mmmmm" localSheetId="20">#REF!</definedName>
    <definedName name="mmmmm" localSheetId="22">#REF!</definedName>
    <definedName name="mmmmm" localSheetId="5">#REF!</definedName>
    <definedName name="mmmmm" localSheetId="2">#REF!</definedName>
    <definedName name="mmmmm" localSheetId="1">#REF!</definedName>
    <definedName name="mmmmm">#REF!</definedName>
    <definedName name="new" localSheetId="3">#REF!</definedName>
    <definedName name="new" localSheetId="20">#REF!</definedName>
    <definedName name="new" localSheetId="22">#REF!</definedName>
    <definedName name="new" localSheetId="5">#REF!</definedName>
    <definedName name="new" localSheetId="1">#REF!</definedName>
    <definedName name="new">#REF!</definedName>
    <definedName name="NvsASD">"V2010-03-31"</definedName>
    <definedName name="NvsAutoDrillOk">"VN"</definedName>
    <definedName name="NvsElapsedTime">0.0000231481462833472</definedName>
    <definedName name="NvsEndTime">40282.4011458333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"V169"</definedName>
    <definedName name="NvsPanelEffdt">"V2009-10-13"</definedName>
    <definedName name="NvsPanelSetid">"V169"</definedName>
    <definedName name="NvsReqBU">"V169"</definedName>
    <definedName name="NvsReqBUOnly">"VY"</definedName>
    <definedName name="NvsTransLed">"VN"</definedName>
    <definedName name="NvsTreeASD">"V2010-03-31"</definedName>
    <definedName name="NvsValTbl.ACCOUNT">"GL_ACCOUNT_TBL"</definedName>
    <definedName name="NvsValTbl.BUSINESS_UNIT">"BUS_UNIT_TBL_FS"</definedName>
    <definedName name="NvsValTbl.CURRENCY_CD">"CURRENCY_CD_TBL"</definedName>
    <definedName name="NvsValTbl.DEPTID">"DEPT_TBL"</definedName>
    <definedName name="NvsValTbl.FUND_CODE">"FUND_TBL"</definedName>
    <definedName name="NvsValTbl.PROGRAM_CODE">"PROGRAM_TBL"</definedName>
    <definedName name="NvsValTbl.PROJECT_ID">"PROJECT"</definedName>
    <definedName name="NvsValTbl.SCENARIO">"BD_SCENARIO_TBL"</definedName>
    <definedName name="o" hidden="1">[4]Data!$J$3</definedName>
    <definedName name="OPR" localSheetId="3">#REF!</definedName>
    <definedName name="OPR" localSheetId="20">#REF!</definedName>
    <definedName name="OPR" localSheetId="22">#REF!</definedName>
    <definedName name="OPR" localSheetId="5">#REF!</definedName>
    <definedName name="OPR" localSheetId="2">#REF!</definedName>
    <definedName name="OPR" localSheetId="1">#REF!</definedName>
    <definedName name="OPR">#REF!</definedName>
    <definedName name="OtherFund" localSheetId="3">#REF!</definedName>
    <definedName name="OtherFund" localSheetId="20">#REF!</definedName>
    <definedName name="OtherFund" localSheetId="22">#REF!</definedName>
    <definedName name="OtherFund" localSheetId="5">#REF!</definedName>
    <definedName name="OtherFund" localSheetId="2">#REF!</definedName>
    <definedName name="OtherFund" localSheetId="1">#REF!</definedName>
    <definedName name="OtherFund">#REF!</definedName>
    <definedName name="PivotTable" localSheetId="3">#REF!</definedName>
    <definedName name="PivotTable" localSheetId="20">#REF!</definedName>
    <definedName name="PivotTable" localSheetId="22">#REF!</definedName>
    <definedName name="PivotTable" localSheetId="5">#REF!</definedName>
    <definedName name="PivotTable" localSheetId="2">#REF!</definedName>
    <definedName name="PivotTable" localSheetId="1">#REF!</definedName>
    <definedName name="PivotTable">#REF!</definedName>
    <definedName name="_xlnm.Print_Area" localSheetId="3">'Sch 1 Cons Fisc Sum'!$A$1:$H$60</definedName>
    <definedName name="_xlnm.Print_Area" localSheetId="12">'Sch 10 Debt Serv Costs'!$A$1:$G$27</definedName>
    <definedName name="_xlnm.Print_Area" localSheetId="13">'Sch 11 Disaster-emerg'!$A$1:$G$12</definedName>
    <definedName name="_xlnm.Print_Area" localSheetId="14">'Sch 12 Pension Liab'!$A$1:$F$15</definedName>
    <definedName name="_xlnm.Print_Area" localSheetId="15">'Sch 13 Principal Repayments'!$A$1:$G$11</definedName>
    <definedName name="_xlnm.Print_Area" localSheetId="16">'Sch 14 Cash Adjustm'!$A$1:$G$39</definedName>
    <definedName name="_xlnm.Print_Area" localSheetId="17">'Sch 15 Capital Plan'!$A$1:$G$29</definedName>
    <definedName name="_xlnm.Print_Area" localSheetId="18">'Sch 16 Capital grants'!$A$1:$G$23</definedName>
    <definedName name="_xlnm.Print_Area" localSheetId="19">'Sch 17 Capital Invest'!$A$1:$G$29</definedName>
    <definedName name="_xlnm.Print_Area" localSheetId="20">'Sch 18 Capital Plan Funding'!$A$1:$G$18</definedName>
    <definedName name="_xlnm.Print_Area" localSheetId="21">'Sch 19 Financing Reqt'!$A$1:$G$9</definedName>
    <definedName name="_xlnm.Print_Area" localSheetId="4">'Sch 2 Balance Sheet'!$A$1:$F$46</definedName>
    <definedName name="_xlnm.Print_Area" localSheetId="22">'Sch 20 Borrowing sources'!$A$1:$G$11</definedName>
    <definedName name="_xlnm.Print_Area" localSheetId="23">'Sch 21 Alloc net gam lott rev'!$A$1:$E$33</definedName>
    <definedName name="_xlnm.Print_Area" localSheetId="24">'Sch 22 FTEs p16'!$A$1:$D$60</definedName>
    <definedName name="_xlnm.Print_Area" localSheetId="25">'Sch 23 Exp by Object'!$A$1:$K$42</definedName>
    <definedName name="_xlnm.Print_Area" localSheetId="26">'Sch 24 Exp by Function'!$A$1:$N$42</definedName>
    <definedName name="_xlnm.Print_Area" localSheetId="27">'Sch 25 Bud 22 Historical'!$A$1:$T$48</definedName>
    <definedName name="_xlnm.Print_Area" localSheetId="5">'Sch 3 Capital assets'!$A$1:$F$16</definedName>
    <definedName name="_xlnm.Print_Area" localSheetId="6">'Sch 4 St of Ops'!$A$1:$G$56</definedName>
    <definedName name="_xlnm.Print_Area" localSheetId="7">'Sch 5 Revenue'!$A$1:$G$67</definedName>
    <definedName name="_xlnm.Print_Area" localSheetId="8">'Sch 6 Oper Exp'!$A$1:$G$51</definedName>
    <definedName name="_xlnm.Print_Area" localSheetId="9">'Sch 7 Cap Amort'!$A$1:$G$28</definedName>
    <definedName name="_xlnm.Print_Area" localSheetId="10">'Sch 8 Inv Consump'!$A$1:$G$16</definedName>
    <definedName name="_xlnm.Print_Area" localSheetId="11">'Sch 9 Inv Acquis'!$A$1:$G$16</definedName>
    <definedName name="_xlnm.Print_Area" localSheetId="2">'Summary p1 st finp'!$A$1:$F$29</definedName>
    <definedName name="_xlnm.Print_Area" localSheetId="1">'Summary p1 st ops'!$A$1:$G$26</definedName>
    <definedName name="ProjectName" localSheetId="3">#REF!</definedName>
    <definedName name="ProjectName" localSheetId="20">#REF!</definedName>
    <definedName name="ProjectName" localSheetId="22">#REF!</definedName>
    <definedName name="ProjectName" localSheetId="5">#REF!</definedName>
    <definedName name="ProjectName" localSheetId="2">#REF!</definedName>
    <definedName name="ProjectName" localSheetId="1">#REF!</definedName>
    <definedName name="ProjectName">#REF!</definedName>
    <definedName name="ProjectNum" localSheetId="3">#REF!</definedName>
    <definedName name="ProjectNum" localSheetId="20">#REF!</definedName>
    <definedName name="ProjectNum" localSheetId="22">#REF!</definedName>
    <definedName name="ProjectNum" localSheetId="5">#REF!</definedName>
    <definedName name="ProjectNum" localSheetId="2">#REF!</definedName>
    <definedName name="ProjectNum" localSheetId="1">#REF!</definedName>
    <definedName name="ProjectNum">#REF!</definedName>
    <definedName name="ProjectStatus" localSheetId="3">#REF!</definedName>
    <definedName name="ProjectStatus" localSheetId="20">#REF!</definedName>
    <definedName name="ProjectStatus" localSheetId="22">#REF!</definedName>
    <definedName name="ProjectStatus" localSheetId="5">#REF!</definedName>
    <definedName name="ProjectStatus" localSheetId="2">#REF!</definedName>
    <definedName name="ProjectStatus" localSheetId="1">#REF!</definedName>
    <definedName name="ProjectStatus">#REF!</definedName>
    <definedName name="RBN" localSheetId="3">#REF!</definedName>
    <definedName name="RBN" localSheetId="20">#REF!</definedName>
    <definedName name="RBN" localSheetId="22">#REF!</definedName>
    <definedName name="RBN" localSheetId="5">#REF!</definedName>
    <definedName name="RBN" localSheetId="1">#REF!</definedName>
    <definedName name="RBN">#REF!</definedName>
    <definedName name="Rec" localSheetId="3">#REF!</definedName>
    <definedName name="Rec" localSheetId="20">#REF!</definedName>
    <definedName name="Rec" localSheetId="22">#REF!</definedName>
    <definedName name="Rec" localSheetId="5">#REF!</definedName>
    <definedName name="Rec" localSheetId="1">#REF!</definedName>
    <definedName name="Rec">#REF!</definedName>
    <definedName name="recon" localSheetId="3">#REF!</definedName>
    <definedName name="recon" localSheetId="20">#REF!</definedName>
    <definedName name="recon" localSheetId="22">#REF!</definedName>
    <definedName name="recon" localSheetId="5">#REF!</definedName>
    <definedName name="recon" localSheetId="1">#REF!</definedName>
    <definedName name="recon">#REF!</definedName>
    <definedName name="ReconE" localSheetId="3">#REF!</definedName>
    <definedName name="ReconE" localSheetId="20">#REF!</definedName>
    <definedName name="ReconE" localSheetId="22">#REF!</definedName>
    <definedName name="ReconE" localSheetId="5">#REF!</definedName>
    <definedName name="ReconE" localSheetId="1">#REF!</definedName>
    <definedName name="ReconE">#REF!</definedName>
    <definedName name="ReconO" localSheetId="3">#REF!</definedName>
    <definedName name="ReconO" localSheetId="20">#REF!</definedName>
    <definedName name="ReconO" localSheetId="22">#REF!</definedName>
    <definedName name="ReconO" localSheetId="5">#REF!</definedName>
    <definedName name="ReconO" localSheetId="1">#REF!</definedName>
    <definedName name="ReconO">#REF!</definedName>
    <definedName name="ReconR" localSheetId="3">#REF!</definedName>
    <definedName name="ReconR" localSheetId="20">#REF!</definedName>
    <definedName name="ReconR" localSheetId="22">#REF!</definedName>
    <definedName name="ReconR" localSheetId="5">#REF!</definedName>
    <definedName name="ReconR" localSheetId="1">#REF!</definedName>
    <definedName name="ReconR">#REF!</definedName>
    <definedName name="REINS_REV" localSheetId="3">#REF!</definedName>
    <definedName name="REINS_REV" localSheetId="20">#REF!</definedName>
    <definedName name="REINS_REV" localSheetId="22">#REF!</definedName>
    <definedName name="REINS_REV" localSheetId="5">#REF!</definedName>
    <definedName name="REINS_REV" localSheetId="1">#REF!</definedName>
    <definedName name="REINS_REV">#REF!</definedName>
    <definedName name="RESRCH_REV" localSheetId="3">#REF!</definedName>
    <definedName name="RESRCH_REV" localSheetId="20">#REF!</definedName>
    <definedName name="RESRCH_REV" localSheetId="22">#REF!</definedName>
    <definedName name="RESRCH_REV" localSheetId="5">#REF!</definedName>
    <definedName name="RESRCH_REV" localSheetId="1">#REF!</definedName>
    <definedName name="RESRCH_REV">#REF!</definedName>
    <definedName name="REV_INTER" localSheetId="3">#REF!</definedName>
    <definedName name="REV_INTER" localSheetId="20">#REF!</definedName>
    <definedName name="REV_INTER" localSheetId="22">#REF!</definedName>
    <definedName name="REV_INTER" localSheetId="5">#REF!</definedName>
    <definedName name="REV_INTER" localSheetId="1">#REF!</definedName>
    <definedName name="REV_INTER">#REF!</definedName>
    <definedName name="revcode" localSheetId="3">#REF!</definedName>
    <definedName name="revcode" localSheetId="20">#REF!</definedName>
    <definedName name="revcode" localSheetId="22">#REF!</definedName>
    <definedName name="revcode" localSheetId="5">#REF!</definedName>
    <definedName name="revcode" localSheetId="1">#REF!</definedName>
    <definedName name="revcode">#REF!</definedName>
    <definedName name="REVFD_REV" localSheetId="3">#REF!</definedName>
    <definedName name="REVFD_REV" localSheetId="20">#REF!</definedName>
    <definedName name="REVFD_REV" localSheetId="22">#REF!</definedName>
    <definedName name="REVFD_REV" localSheetId="5">#REF!</definedName>
    <definedName name="REVFD_REV" localSheetId="1">#REF!</definedName>
    <definedName name="REVFD_REV">#REF!</definedName>
    <definedName name="RID" localSheetId="3">#REF!</definedName>
    <definedName name="RID" localSheetId="20">#REF!</definedName>
    <definedName name="RID" localSheetId="22">#REF!</definedName>
    <definedName name="RID" localSheetId="5">#REF!</definedName>
    <definedName name="RID" localSheetId="1">#REF!</definedName>
    <definedName name="RID">#REF!</definedName>
    <definedName name="rr" localSheetId="3">#REF!</definedName>
    <definedName name="rr" localSheetId="20">#REF!</definedName>
    <definedName name="rr" localSheetId="22">#REF!</definedName>
    <definedName name="rr" localSheetId="5">#REF!</definedName>
    <definedName name="rr" localSheetId="1">#REF!</definedName>
    <definedName name="rr">#REF!</definedName>
    <definedName name="RTT" localSheetId="3">#REF!</definedName>
    <definedName name="RTT" localSheetId="20">#REF!</definedName>
    <definedName name="RTT" localSheetId="22">#REF!</definedName>
    <definedName name="RTT" localSheetId="5">#REF!</definedName>
    <definedName name="RTT" localSheetId="1">#REF!</definedName>
    <definedName name="RTT">#REF!</definedName>
    <definedName name="SCN" localSheetId="3">#REF!</definedName>
    <definedName name="SCN" localSheetId="20">#REF!</definedName>
    <definedName name="SCN" localSheetId="22">#REF!</definedName>
    <definedName name="SCN" localSheetId="5">#REF!</definedName>
    <definedName name="SCN" localSheetId="1">#REF!</definedName>
    <definedName name="SCN">#REF!</definedName>
    <definedName name="Sec" localSheetId="3">#REF!</definedName>
    <definedName name="Sec" localSheetId="20">#REF!</definedName>
    <definedName name="Sec" localSheetId="22">#REF!</definedName>
    <definedName name="Sec" localSheetId="5">#REF!</definedName>
    <definedName name="Sec" localSheetId="1">#REF!</definedName>
    <definedName name="Sec">#REF!</definedName>
    <definedName name="SecondYCapital" localSheetId="3">#REF!</definedName>
    <definedName name="SecondYCapital" localSheetId="20">#REF!</definedName>
    <definedName name="SecondYCapital" localSheetId="22">#REF!</definedName>
    <definedName name="SecondYCapital" localSheetId="5">#REF!</definedName>
    <definedName name="SecondYCapital" localSheetId="1">#REF!</definedName>
    <definedName name="SecondYCapital">#REF!</definedName>
    <definedName name="SecondYIncrease" localSheetId="3">#REF!</definedName>
    <definedName name="SecondYIncrease" localSheetId="20">#REF!</definedName>
    <definedName name="SecondYIncrease" localSheetId="22">#REF!</definedName>
    <definedName name="SecondYIncrease" localSheetId="5">#REF!</definedName>
    <definedName name="SecondYIncrease" localSheetId="1">#REF!</definedName>
    <definedName name="SecondYIncrease">#REF!</definedName>
    <definedName name="SecondYTotal" localSheetId="3">#REF!</definedName>
    <definedName name="SecondYTotal" localSheetId="20">#REF!</definedName>
    <definedName name="SecondYTotal" localSheetId="22">#REF!</definedName>
    <definedName name="SecondYTotal" localSheetId="5">#REF!</definedName>
    <definedName name="SecondYTotal" localSheetId="1">#REF!</definedName>
    <definedName name="SecondYTotal">#REF!</definedName>
    <definedName name="Sheet1" localSheetId="3">#REF!</definedName>
    <definedName name="Sheet1" localSheetId="20">#REF!</definedName>
    <definedName name="Sheet1" localSheetId="22">#REF!</definedName>
    <definedName name="Sheet1" localSheetId="5">#REF!</definedName>
    <definedName name="Sheet1" localSheetId="1">#REF!</definedName>
    <definedName name="Sheet1">#REF!</definedName>
    <definedName name="TenYr" localSheetId="3">#REF!</definedName>
    <definedName name="TenYr" localSheetId="20">#REF!</definedName>
    <definedName name="TenYr" localSheetId="22">#REF!</definedName>
    <definedName name="TenYr" localSheetId="5">#REF!</definedName>
    <definedName name="TenYr" localSheetId="1">#REF!</definedName>
    <definedName name="TenYr">#REF!</definedName>
    <definedName name="Th" localSheetId="3">#REF!</definedName>
    <definedName name="Th" localSheetId="20">#REF!</definedName>
    <definedName name="Th" localSheetId="22">#REF!</definedName>
    <definedName name="Th" localSheetId="5">#REF!</definedName>
    <definedName name="Th" localSheetId="1">#REF!</definedName>
    <definedName name="Th">#REF!</definedName>
    <definedName name="thir" localSheetId="3">#REF!</definedName>
    <definedName name="thir" localSheetId="20">#REF!</definedName>
    <definedName name="thir" localSheetId="22">#REF!</definedName>
    <definedName name="thir" localSheetId="5">#REF!</definedName>
    <definedName name="thir" localSheetId="1">#REF!</definedName>
    <definedName name="thir">#REF!</definedName>
    <definedName name="third" localSheetId="3">#REF!</definedName>
    <definedName name="third" localSheetId="20">#REF!</definedName>
    <definedName name="third" localSheetId="22">#REF!</definedName>
    <definedName name="third" localSheetId="5">#REF!</definedName>
    <definedName name="third" localSheetId="1">#REF!</definedName>
    <definedName name="third">#REF!</definedName>
    <definedName name="ThirdYCapital" localSheetId="3">#REF!</definedName>
    <definedName name="ThirdYCapital" localSheetId="20">#REF!</definedName>
    <definedName name="ThirdYCapital" localSheetId="22">#REF!</definedName>
    <definedName name="ThirdYCapital" localSheetId="5">#REF!</definedName>
    <definedName name="ThirdYCapital" localSheetId="1">#REF!</definedName>
    <definedName name="ThirdYCapital">#REF!</definedName>
    <definedName name="ThirdYIncrease" localSheetId="3">#REF!</definedName>
    <definedName name="ThirdYIncrease" localSheetId="20">#REF!</definedName>
    <definedName name="ThirdYIncrease" localSheetId="22">#REF!</definedName>
    <definedName name="ThirdYIncrease" localSheetId="5">#REF!</definedName>
    <definedName name="ThirdYIncrease" localSheetId="1">#REF!</definedName>
    <definedName name="ThirdYIncrease">#REF!</definedName>
    <definedName name="ThirdYTotal" localSheetId="3">#REF!</definedName>
    <definedName name="ThirdYTotal" localSheetId="20">#REF!</definedName>
    <definedName name="ThirdYTotal" localSheetId="22">#REF!</definedName>
    <definedName name="ThirdYTotal" localSheetId="5">#REF!</definedName>
    <definedName name="ThirdYTotal" localSheetId="1">#REF!</definedName>
    <definedName name="ThirdYTotal">#REF!</definedName>
    <definedName name="title_be">[12]TITLING!$B$1</definedName>
    <definedName name="title_ca">[12]TITLING!$B$3</definedName>
    <definedName name="title_cfb">[12]TITLING!$B$2</definedName>
    <definedName name="Total" localSheetId="3">#REF!</definedName>
    <definedName name="Total" localSheetId="20">#REF!</definedName>
    <definedName name="Total" localSheetId="22">#REF!</definedName>
    <definedName name="Total" localSheetId="5">#REF!</definedName>
    <definedName name="Total" localSheetId="2">#REF!</definedName>
    <definedName name="Total" localSheetId="1">#REF!</definedName>
    <definedName name="Total">#REF!</definedName>
    <definedName name="Total10YCapital" localSheetId="3">#REF!</definedName>
    <definedName name="Total10YCapital" localSheetId="20">#REF!</definedName>
    <definedName name="Total10YCapital" localSheetId="22">#REF!</definedName>
    <definedName name="Total10YCapital" localSheetId="5">#REF!</definedName>
    <definedName name="Total10YCapital" localSheetId="2">#REF!</definedName>
    <definedName name="Total10YCapital" localSheetId="1">#REF!</definedName>
    <definedName name="Total10YCapital">#REF!</definedName>
    <definedName name="Total10YIncrease" localSheetId="3">#REF!</definedName>
    <definedName name="Total10YIncrease" localSheetId="20">#REF!</definedName>
    <definedName name="Total10YIncrease" localSheetId="22">#REF!</definedName>
    <definedName name="Total10YIncrease" localSheetId="5">#REF!</definedName>
    <definedName name="Total10YIncrease" localSheetId="2">#REF!</definedName>
    <definedName name="Total10YIncrease" localSheetId="1">#REF!</definedName>
    <definedName name="Total10YIncrease">#REF!</definedName>
    <definedName name="Total10YTotal" localSheetId="3">#REF!</definedName>
    <definedName name="Total10YTotal" localSheetId="20">#REF!</definedName>
    <definedName name="Total10YTotal" localSheetId="22">#REF!</definedName>
    <definedName name="Total10YTotal" localSheetId="5">#REF!</definedName>
    <definedName name="Total10YTotal" localSheetId="1">#REF!</definedName>
    <definedName name="Total10YTotal">#REF!</definedName>
    <definedName name="Total3Y" localSheetId="3">#REF!</definedName>
    <definedName name="Total3Y" localSheetId="20">#REF!</definedName>
    <definedName name="Total3Y" localSheetId="22">#REF!</definedName>
    <definedName name="Total3Y" localSheetId="5">#REF!</definedName>
    <definedName name="Total3Y" localSheetId="1">#REF!</definedName>
    <definedName name="Total3Y">#REF!</definedName>
    <definedName name="Total3YCapital" localSheetId="3">#REF!</definedName>
    <definedName name="Total3YCapital" localSheetId="20">#REF!</definedName>
    <definedName name="Total3YCapital" localSheetId="22">#REF!</definedName>
    <definedName name="Total3YCapital" localSheetId="5">#REF!</definedName>
    <definedName name="Total3YCapital" localSheetId="1">#REF!</definedName>
    <definedName name="Total3YCapital">#REF!</definedName>
    <definedName name="Total3YIncrease" localSheetId="3">#REF!</definedName>
    <definedName name="Total3YIncrease" localSheetId="20">#REF!</definedName>
    <definedName name="Total3YIncrease" localSheetId="22">#REF!</definedName>
    <definedName name="Total3YIncrease" localSheetId="5">#REF!</definedName>
    <definedName name="Total3YIncrease" localSheetId="1">#REF!</definedName>
    <definedName name="Total3YIncrease">#REF!</definedName>
    <definedName name="Total3Yr" localSheetId="3">#REF!</definedName>
    <definedName name="Total3Yr" localSheetId="20">#REF!</definedName>
    <definedName name="Total3Yr" localSheetId="22">#REF!</definedName>
    <definedName name="Total3Yr" localSheetId="5">#REF!</definedName>
    <definedName name="Total3Yr" localSheetId="1">#REF!</definedName>
    <definedName name="Total3Yr">#REF!</definedName>
    <definedName name="Total3YTotal" localSheetId="3">#REF!</definedName>
    <definedName name="Total3YTotal" localSheetId="20">#REF!</definedName>
    <definedName name="Total3YTotal" localSheetId="22">#REF!</definedName>
    <definedName name="Total3YTotal" localSheetId="5">#REF!</definedName>
    <definedName name="Total3YTotal" localSheetId="1">#REF!</definedName>
    <definedName name="Total3YTotal">#REF!</definedName>
    <definedName name="Total5YCapital" localSheetId="3">#REF!</definedName>
    <definedName name="Total5YCapital" localSheetId="20">#REF!</definedName>
    <definedName name="Total5YCapital" localSheetId="22">#REF!</definedName>
    <definedName name="Total5YCapital" localSheetId="5">#REF!</definedName>
    <definedName name="Total5YCapital" localSheetId="1">#REF!</definedName>
    <definedName name="Total5YCapital">#REF!</definedName>
    <definedName name="Total5YIncrease" localSheetId="3">#REF!</definedName>
    <definedName name="Total5YIncrease" localSheetId="20">#REF!</definedName>
    <definedName name="Total5YIncrease" localSheetId="22">#REF!</definedName>
    <definedName name="Total5YIncrease" localSheetId="5">#REF!</definedName>
    <definedName name="Total5YIncrease" localSheetId="1">#REF!</definedName>
    <definedName name="Total5YIncrease">#REF!</definedName>
    <definedName name="Total5YTotal" localSheetId="3">#REF!</definedName>
    <definedName name="Total5YTotal" localSheetId="20">#REF!</definedName>
    <definedName name="Total5YTotal" localSheetId="22">#REF!</definedName>
    <definedName name="Total5YTotal" localSheetId="5">#REF!</definedName>
    <definedName name="Total5YTotal" localSheetId="1">#REF!</definedName>
    <definedName name="Total5YTotal">#REF!</definedName>
    <definedName name="TotalIn" localSheetId="3">#REF!</definedName>
    <definedName name="TotalIn" localSheetId="20">#REF!</definedName>
    <definedName name="TotalIn" localSheetId="22">#REF!</definedName>
    <definedName name="TotalIn" localSheetId="5">#REF!</definedName>
    <definedName name="TotalIn" localSheetId="1">#REF!</definedName>
    <definedName name="TotalIn">#REF!</definedName>
    <definedName name="TPC" localSheetId="3">#REF!</definedName>
    <definedName name="TPC" localSheetId="20">#REF!</definedName>
    <definedName name="TPC" localSheetId="22">#REF!</definedName>
    <definedName name="TPC" localSheetId="5">#REF!</definedName>
    <definedName name="TPC" localSheetId="1">#REF!</definedName>
    <definedName name="TPC">#REF!</definedName>
    <definedName name="TPS" localSheetId="3">#REF!</definedName>
    <definedName name="TPS" localSheetId="20">#REF!</definedName>
    <definedName name="TPS" localSheetId="22">#REF!</definedName>
    <definedName name="TPS" localSheetId="5">#REF!</definedName>
    <definedName name="TPS" localSheetId="1">#REF!</definedName>
    <definedName name="TPS">#REF!</definedName>
    <definedName name="Type">[10]Lists!$B$5:$B$6</definedName>
    <definedName name="Units_not_covered_by_MO" localSheetId="3">#REF!</definedName>
    <definedName name="Units_not_covered_by_MO" localSheetId="20">#REF!</definedName>
    <definedName name="Units_not_covered_by_MO" localSheetId="22">#REF!</definedName>
    <definedName name="Units_not_covered_by_MO" localSheetId="5">#REF!</definedName>
    <definedName name="Units_not_covered_by_MO" localSheetId="2">#REF!</definedName>
    <definedName name="Units_not_covered_by_MO" localSheetId="1">#REF!</definedName>
    <definedName name="Units_not_covered_by_MO">#REF!</definedName>
    <definedName name="ValidMin">[13]list!$A$1:$A$22</definedName>
    <definedName name="Vote" localSheetId="3">#REF!</definedName>
    <definedName name="Vote" localSheetId="20">#REF!</definedName>
    <definedName name="Vote" localSheetId="22">#REF!</definedName>
    <definedName name="Vote" localSheetId="5">#REF!</definedName>
    <definedName name="Vote" localSheetId="2">#REF!</definedName>
    <definedName name="Vote" localSheetId="1">#REF!</definedName>
    <definedName name="Vo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9" l="1"/>
  <c r="I13" i="9"/>
  <c r="K13" i="9"/>
  <c r="L13" i="9"/>
  <c r="M13" i="9"/>
  <c r="I14" i="9"/>
  <c r="I15" i="9"/>
  <c r="R21" i="30" l="1"/>
  <c r="Q23" i="30" l="1"/>
  <c r="T22" i="30" l="1"/>
  <c r="T21" i="30"/>
  <c r="T20" i="30"/>
  <c r="S20" i="30"/>
  <c r="S21" i="30"/>
  <c r="S22" i="30"/>
  <c r="R22" i="30"/>
  <c r="R20" i="30"/>
  <c r="R23" i="30" l="1"/>
  <c r="T23" i="30"/>
  <c r="S23" i="30"/>
  <c r="R32" i="30" l="1"/>
  <c r="S32" i="30"/>
  <c r="T32" i="30"/>
  <c r="P41" i="30"/>
  <c r="P38" i="30"/>
  <c r="P36" i="30"/>
  <c r="P35" i="30"/>
  <c r="P34" i="30"/>
  <c r="P31" i="30"/>
  <c r="P29" i="30"/>
  <c r="P27" i="30"/>
  <c r="P26" i="30"/>
  <c r="P25" i="30"/>
  <c r="P23" i="30"/>
  <c r="P22" i="30"/>
  <c r="P21" i="30"/>
  <c r="P20" i="30"/>
  <c r="P17" i="30"/>
  <c r="P15" i="30"/>
  <c r="P14" i="30"/>
  <c r="P13" i="30"/>
  <c r="P12" i="30"/>
  <c r="P11" i="30"/>
  <c r="P10" i="30"/>
  <c r="P9" i="30"/>
  <c r="R9" i="30"/>
  <c r="S9" i="30"/>
  <c r="T9" i="30"/>
  <c r="R10" i="30"/>
  <c r="S10" i="30"/>
  <c r="T10" i="30"/>
  <c r="Q10" i="30"/>
  <c r="Q9" i="30"/>
  <c r="S35" i="30" l="1"/>
  <c r="T36" i="30"/>
  <c r="S36" i="30"/>
  <c r="R36" i="30"/>
  <c r="Q36" i="30"/>
  <c r="T35" i="30" l="1"/>
  <c r="S14" i="30" l="1"/>
  <c r="Q32" i="30" l="1"/>
  <c r="P32" i="30"/>
  <c r="P33" i="30" s="1"/>
  <c r="O41" i="30" l="1"/>
  <c r="N41" i="30"/>
  <c r="M41" i="30"/>
  <c r="L41" i="30"/>
  <c r="K41" i="30"/>
  <c r="J41" i="30"/>
  <c r="I41" i="30"/>
  <c r="H41" i="30"/>
  <c r="G41" i="30"/>
  <c r="F41" i="30"/>
  <c r="D38" i="30"/>
  <c r="O37" i="30"/>
  <c r="O39" i="30" s="1"/>
  <c r="N37" i="30"/>
  <c r="N39" i="30" s="1"/>
  <c r="M36" i="30"/>
  <c r="M37" i="30" s="1"/>
  <c r="M39" i="30" s="1"/>
  <c r="L36" i="30"/>
  <c r="L37" i="30" s="1"/>
  <c r="L39" i="30" s="1"/>
  <c r="K36" i="30"/>
  <c r="J36" i="30"/>
  <c r="I36" i="30"/>
  <c r="H36" i="30"/>
  <c r="G36" i="30"/>
  <c r="F36" i="30"/>
  <c r="E36" i="30"/>
  <c r="D36" i="30"/>
  <c r="C36" i="30"/>
  <c r="L35" i="30"/>
  <c r="K35" i="30"/>
  <c r="J35" i="30"/>
  <c r="I35" i="30"/>
  <c r="H35" i="30"/>
  <c r="G35" i="30"/>
  <c r="F35" i="30"/>
  <c r="E35" i="30"/>
  <c r="D35" i="30"/>
  <c r="C35" i="30"/>
  <c r="H34" i="30"/>
  <c r="G34" i="30"/>
  <c r="O33" i="30"/>
  <c r="N33" i="30"/>
  <c r="M33" i="30"/>
  <c r="L33" i="30"/>
  <c r="K33" i="30"/>
  <c r="J33" i="30"/>
  <c r="I31" i="30"/>
  <c r="I33" i="30" s="1"/>
  <c r="H31" i="30"/>
  <c r="H33" i="30" s="1"/>
  <c r="G31" i="30"/>
  <c r="G33" i="30" s="1"/>
  <c r="F31" i="30"/>
  <c r="F33" i="30" s="1"/>
  <c r="E31" i="30"/>
  <c r="E33" i="30" s="1"/>
  <c r="D31" i="30"/>
  <c r="D33" i="30" s="1"/>
  <c r="C31" i="30"/>
  <c r="C33" i="30" s="1"/>
  <c r="F27" i="30"/>
  <c r="F24" i="30" s="1"/>
  <c r="E27" i="30"/>
  <c r="E24" i="30" s="1"/>
  <c r="D26" i="30"/>
  <c r="D24" i="30" s="1"/>
  <c r="A26" i="30"/>
  <c r="A27" i="30" s="1"/>
  <c r="A28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4" i="30" s="1"/>
  <c r="A45" i="30" s="1"/>
  <c r="A46" i="30" s="1"/>
  <c r="A47" i="30" s="1"/>
  <c r="J25" i="30"/>
  <c r="J24" i="30" s="1"/>
  <c r="I25" i="30"/>
  <c r="I24" i="30" s="1"/>
  <c r="O24" i="30"/>
  <c r="N24" i="30"/>
  <c r="M24" i="30"/>
  <c r="L24" i="30"/>
  <c r="K24" i="30"/>
  <c r="H24" i="30"/>
  <c r="G24" i="30"/>
  <c r="C24" i="30"/>
  <c r="O23" i="30"/>
  <c r="N23" i="30"/>
  <c r="M23" i="30"/>
  <c r="L23" i="30"/>
  <c r="K23" i="30"/>
  <c r="J23" i="30"/>
  <c r="I23" i="30"/>
  <c r="H23" i="30"/>
  <c r="G23" i="30"/>
  <c r="C23" i="30"/>
  <c r="F22" i="30"/>
  <c r="F23" i="30" s="1"/>
  <c r="E22" i="30"/>
  <c r="E23" i="30" s="1"/>
  <c r="D21" i="30"/>
  <c r="D23" i="30" s="1"/>
  <c r="H17" i="30"/>
  <c r="O16" i="30"/>
  <c r="O18" i="30" s="1"/>
  <c r="O28" i="30" s="1"/>
  <c r="N16" i="30"/>
  <c r="N18" i="30" s="1"/>
  <c r="N28" i="30" s="1"/>
  <c r="M16" i="30"/>
  <c r="M18" i="30" s="1"/>
  <c r="M28" i="30" s="1"/>
  <c r="L16" i="30"/>
  <c r="L18" i="30" s="1"/>
  <c r="L28" i="30" s="1"/>
  <c r="J16" i="30"/>
  <c r="J18" i="30" s="1"/>
  <c r="J28" i="30" s="1"/>
  <c r="K15" i="30"/>
  <c r="K16" i="30" s="1"/>
  <c r="K18" i="30" s="1"/>
  <c r="K28" i="30" s="1"/>
  <c r="I15" i="30"/>
  <c r="H15" i="30"/>
  <c r="G15" i="30"/>
  <c r="F15" i="30"/>
  <c r="E15" i="30"/>
  <c r="D15" i="30"/>
  <c r="C15" i="30"/>
  <c r="G14" i="30"/>
  <c r="F14" i="30"/>
  <c r="E14" i="30"/>
  <c r="D14" i="30"/>
  <c r="C14" i="30"/>
  <c r="H13" i="30"/>
  <c r="G13" i="30"/>
  <c r="F13" i="30"/>
  <c r="C13" i="30"/>
  <c r="G12" i="30"/>
  <c r="I11" i="30"/>
  <c r="H11" i="30"/>
  <c r="G11" i="30"/>
  <c r="F11" i="30"/>
  <c r="E11" i="30"/>
  <c r="D11" i="30"/>
  <c r="C11" i="30"/>
  <c r="P4" i="30"/>
  <c r="Q4" i="30" s="1"/>
  <c r="R4" i="30" s="1"/>
  <c r="S4" i="30" s="1"/>
  <c r="T4" i="30" s="1"/>
  <c r="C4" i="30"/>
  <c r="D4" i="30" s="1"/>
  <c r="E4" i="30" s="1"/>
  <c r="F4" i="30" s="1"/>
  <c r="G4" i="30" s="1"/>
  <c r="H4" i="30" s="1"/>
  <c r="I4" i="30" s="1"/>
  <c r="J4" i="30" s="1"/>
  <c r="K4" i="30" s="1"/>
  <c r="L4" i="30" s="1"/>
  <c r="M4" i="30" s="1"/>
  <c r="F37" i="30" l="1"/>
  <c r="F39" i="30" s="1"/>
  <c r="J37" i="30"/>
  <c r="J39" i="30" s="1"/>
  <c r="J40" i="30" s="1"/>
  <c r="J42" i="30" s="1"/>
  <c r="L40" i="30"/>
  <c r="L42" i="30" s="1"/>
  <c r="K37" i="30"/>
  <c r="K39" i="30" s="1"/>
  <c r="N40" i="30"/>
  <c r="N42" i="30" s="1"/>
  <c r="H37" i="30"/>
  <c r="H39" i="30" s="1"/>
  <c r="H40" i="30" s="1"/>
  <c r="H42" i="30" s="1"/>
  <c r="O40" i="30"/>
  <c r="O42" i="30" s="1"/>
  <c r="G37" i="30"/>
  <c r="G39" i="30" s="1"/>
  <c r="G40" i="30" s="1"/>
  <c r="G42" i="30" s="1"/>
  <c r="K40" i="30"/>
  <c r="K42" i="30" s="1"/>
  <c r="D37" i="30"/>
  <c r="D39" i="30" s="1"/>
  <c r="D40" i="30" s="1"/>
  <c r="D42" i="30" s="1"/>
  <c r="E37" i="30"/>
  <c r="E39" i="30" s="1"/>
  <c r="E40" i="30" s="1"/>
  <c r="E42" i="30" s="1"/>
  <c r="C37" i="30"/>
  <c r="C39" i="30" s="1"/>
  <c r="C40" i="30" s="1"/>
  <c r="C42" i="30" s="1"/>
  <c r="D16" i="30"/>
  <c r="D18" i="30" s="1"/>
  <c r="D28" i="30" s="1"/>
  <c r="M40" i="30"/>
  <c r="M42" i="30" s="1"/>
  <c r="C16" i="30"/>
  <c r="C18" i="30" s="1"/>
  <c r="C28" i="30" s="1"/>
  <c r="F16" i="30"/>
  <c r="F18" i="30" s="1"/>
  <c r="F28" i="30" s="1"/>
  <c r="E16" i="30"/>
  <c r="E18" i="30" s="1"/>
  <c r="E28" i="30" s="1"/>
  <c r="I37" i="30"/>
  <c r="I39" i="30" s="1"/>
  <c r="I40" i="30" s="1"/>
  <c r="I42" i="30" s="1"/>
  <c r="G16" i="30"/>
  <c r="G18" i="30" s="1"/>
  <c r="G28" i="30" s="1"/>
  <c r="H16" i="30"/>
  <c r="H18" i="30" s="1"/>
  <c r="H28" i="30" s="1"/>
  <c r="I16" i="30"/>
  <c r="I18" i="30" s="1"/>
  <c r="I28" i="30" s="1"/>
  <c r="F40" i="30"/>
  <c r="F42" i="30" s="1"/>
  <c r="Q34" i="30" l="1"/>
  <c r="Q38" i="30"/>
  <c r="Q31" i="30" l="1"/>
  <c r="R38" i="30"/>
  <c r="R31" i="30" l="1"/>
  <c r="R34" i="30"/>
  <c r="S38" i="30"/>
  <c r="T31" i="30" l="1"/>
  <c r="S31" i="30"/>
  <c r="T34" i="30"/>
  <c r="S34" i="30"/>
  <c r="T38" i="30"/>
  <c r="S12" i="30"/>
  <c r="Q12" i="30" l="1"/>
  <c r="R12" i="30"/>
  <c r="T12" i="30"/>
  <c r="S37" i="30"/>
  <c r="T37" i="30"/>
  <c r="R17" i="30" l="1"/>
  <c r="S13" i="30" l="1"/>
  <c r="S17" i="30"/>
  <c r="S11" i="30"/>
  <c r="Q35" i="30"/>
  <c r="T14" i="30" l="1"/>
  <c r="T17" i="30"/>
  <c r="R14" i="30"/>
  <c r="Q13" i="30"/>
  <c r="R13" i="30"/>
  <c r="Q11" i="30"/>
  <c r="R15" i="30"/>
  <c r="R11" i="30"/>
  <c r="T11" i="30"/>
  <c r="S15" i="30"/>
  <c r="S16" i="30" s="1"/>
  <c r="S18" i="30" s="1"/>
  <c r="T15" i="30"/>
  <c r="T13" i="30"/>
  <c r="Q29" i="30"/>
  <c r="R29" i="30"/>
  <c r="S26" i="30"/>
  <c r="T26" i="30"/>
  <c r="R35" i="30"/>
  <c r="R37" i="30" s="1"/>
  <c r="Q15" i="30" l="1"/>
  <c r="Q17" i="30"/>
  <c r="Q25" i="30"/>
  <c r="T25" i="30"/>
  <c r="T16" i="30"/>
  <c r="T18" i="30" s="1"/>
  <c r="S25" i="30"/>
  <c r="R16" i="30"/>
  <c r="R18" i="30" s="1"/>
  <c r="Q14" i="30"/>
  <c r="Q16" i="30" s="1"/>
  <c r="R25" i="30"/>
  <c r="Q26" i="30"/>
  <c r="T29" i="30"/>
  <c r="S29" i="30"/>
  <c r="R26" i="30"/>
  <c r="Q18" i="30" l="1"/>
  <c r="Q27" i="30"/>
  <c r="T27" i="30"/>
  <c r="T28" i="30" s="1"/>
  <c r="S27" i="30"/>
  <c r="P16" i="30"/>
  <c r="P18" i="30" s="1"/>
  <c r="Q41" i="30"/>
  <c r="R41" i="30"/>
  <c r="T33" i="30"/>
  <c r="S33" i="30"/>
  <c r="T24" i="30" l="1"/>
  <c r="Q28" i="30"/>
  <c r="Q24" i="30"/>
  <c r="P24" i="30"/>
  <c r="R27" i="30"/>
  <c r="R24" i="30" s="1"/>
  <c r="S24" i="30"/>
  <c r="S28" i="30"/>
  <c r="T41" i="30"/>
  <c r="S41" i="30"/>
  <c r="R28" i="30" l="1"/>
  <c r="P28" i="30"/>
  <c r="Q33" i="30" l="1"/>
  <c r="P37" i="30" l="1"/>
  <c r="P39" i="30" s="1"/>
  <c r="P40" i="30" l="1"/>
  <c r="P42" i="30" s="1"/>
  <c r="R33" i="30" l="1"/>
  <c r="Q37" i="30"/>
  <c r="Q39" i="30" s="1"/>
  <c r="R39" i="30"/>
  <c r="R40" i="30" l="1"/>
  <c r="R42" i="30" s="1"/>
  <c r="Q40" i="30"/>
  <c r="Q42" i="30" s="1"/>
  <c r="S39" i="30" l="1"/>
  <c r="S40" i="30" s="1"/>
  <c r="S42" i="30" s="1"/>
  <c r="T39" i="30" l="1"/>
  <c r="T40" i="30" s="1"/>
  <c r="T42" i="30" s="1"/>
</calcChain>
</file>

<file path=xl/sharedStrings.xml><?xml version="1.0" encoding="utf-8"?>
<sst xmlns="http://schemas.openxmlformats.org/spreadsheetml/2006/main" count="989" uniqueCount="429">
  <si>
    <t>Summary Statement of Operations</t>
  </si>
  <si>
    <t>(millions of dollars)</t>
  </si>
  <si>
    <t>2019-20</t>
  </si>
  <si>
    <t>2020-21</t>
  </si>
  <si>
    <t>2021-22</t>
  </si>
  <si>
    <t>2022-23</t>
  </si>
  <si>
    <t>2023-24</t>
  </si>
  <si>
    <t>Actual</t>
  </si>
  <si>
    <t>Budget</t>
  </si>
  <si>
    <t>Forecast</t>
  </si>
  <si>
    <t>Estimate</t>
  </si>
  <si>
    <t>Target</t>
  </si>
  <si>
    <t>Revenue</t>
  </si>
  <si>
    <t>Tax revenue</t>
  </si>
  <si>
    <t>Non-renewable resource revenue</t>
  </si>
  <si>
    <t>Federal transfers</t>
  </si>
  <si>
    <t>Investment income</t>
  </si>
  <si>
    <t xml:space="preserve">Other </t>
  </si>
  <si>
    <t>Total Revenue</t>
  </si>
  <si>
    <t>Operating expense</t>
  </si>
  <si>
    <t>Capital grants</t>
  </si>
  <si>
    <t>Amortization / inventory consumption / loss on disposals</t>
  </si>
  <si>
    <t>Debt servicing costs</t>
  </si>
  <si>
    <t>Pension provisions</t>
  </si>
  <si>
    <t>Total Expense</t>
  </si>
  <si>
    <t>Surplus / (deficit)</t>
  </si>
  <si>
    <t>Summary Statement of Financial Position</t>
  </si>
  <si>
    <t>At March 31</t>
  </si>
  <si>
    <t>2022</t>
  </si>
  <si>
    <t>2023</t>
  </si>
  <si>
    <t>2024</t>
  </si>
  <si>
    <t>Financial Assets</t>
  </si>
  <si>
    <t>Liabilities</t>
  </si>
  <si>
    <t>Net Financial Assets / (Debt)</t>
  </si>
  <si>
    <t>Capital / Other Non-financial Assets</t>
  </si>
  <si>
    <t>Deferred capital contributions</t>
  </si>
  <si>
    <t>Net Assets</t>
  </si>
  <si>
    <t>Net assets at the beginning of the year</t>
  </si>
  <si>
    <t>Surplus / (Deficit)</t>
  </si>
  <si>
    <r>
      <t xml:space="preserve">Adjustment to net assets </t>
    </r>
    <r>
      <rPr>
        <vertAlign val="superscript"/>
        <sz val="8"/>
        <rFont val="Arial"/>
        <family val="2"/>
      </rPr>
      <t>a</t>
    </r>
  </si>
  <si>
    <t>Net assets at end of year</t>
  </si>
  <si>
    <t>Net debt to GDP</t>
  </si>
  <si>
    <t>Consolidated Fiscal Summary</t>
  </si>
  <si>
    <t>Statement of Operations</t>
  </si>
  <si>
    <t>Expense</t>
  </si>
  <si>
    <t>% change from prior year</t>
  </si>
  <si>
    <t>Capital Plan</t>
  </si>
  <si>
    <t>Capital investment</t>
  </si>
  <si>
    <t>Total Capital Plan</t>
  </si>
  <si>
    <t>Cash adjustments / borrowing requirements</t>
  </si>
  <si>
    <t>(at March 31)</t>
  </si>
  <si>
    <t>Other cash adjustments</t>
  </si>
  <si>
    <t>Capital cash adjustments</t>
  </si>
  <si>
    <t>Cash at end of year</t>
  </si>
  <si>
    <t>Taxpayer-supported Liabilities / Borrowing</t>
  </si>
  <si>
    <t>Liabilities for Capital Projects</t>
  </si>
  <si>
    <t>Opening balance</t>
  </si>
  <si>
    <t>Alternative financing (P3s – public-private partnerships)</t>
  </si>
  <si>
    <t>Total Liabilities for Capital Projects</t>
  </si>
  <si>
    <t>Total Borrowing for the Fiscal Plan / Other</t>
  </si>
  <si>
    <t>Balance Sheet Details</t>
  </si>
  <si>
    <t>Alberta Heritage Savings Trust Fund</t>
  </si>
  <si>
    <t>Endowment funds:</t>
  </si>
  <si>
    <t>Alberta Heritage Foundation for Medical Research</t>
  </si>
  <si>
    <t xml:space="preserve">Alberta Heritage Science and Engineering Research </t>
  </si>
  <si>
    <t xml:space="preserve">Alberta Heritage Scholarship </t>
  </si>
  <si>
    <t>Alberta Enterprise Corporation</t>
  </si>
  <si>
    <t>Self-supporting lending organizations / activities:</t>
  </si>
  <si>
    <t>Agriculture Financial Services Corporation</t>
  </si>
  <si>
    <t xml:space="preserve">Equity in commercial enterprises </t>
  </si>
  <si>
    <t>Student loans</t>
  </si>
  <si>
    <t>Other financial assets (including SUCH sector / Alberta Innovates Corp.)</t>
  </si>
  <si>
    <t>Total Financial Assets</t>
  </si>
  <si>
    <t>Taxpayer-supported debt:</t>
  </si>
  <si>
    <t>Direct borrowing for the Capital Plan</t>
  </si>
  <si>
    <t>Alternative financing (P3s - public-private partnerships - Capital Plan)</t>
  </si>
  <si>
    <t xml:space="preserve">Debt issued to reduce pre-1992 TPP unfunded liability </t>
  </si>
  <si>
    <t>Direct borrowing for the Fiscal Plan</t>
  </si>
  <si>
    <t>Total taxpayer-supported debt</t>
  </si>
  <si>
    <t>Self-supporting lending organization / activities debt:</t>
  </si>
  <si>
    <t>Total debt</t>
  </si>
  <si>
    <t>Coal phase-out liabilities</t>
  </si>
  <si>
    <t>Pension liabilities</t>
  </si>
  <si>
    <t>Other liabilities (including SUCH sector / Alberta Innovates Corp.)</t>
  </si>
  <si>
    <t>Total Liabilities</t>
  </si>
  <si>
    <t>Capital Assets</t>
  </si>
  <si>
    <t>Net book value at start of the year</t>
  </si>
  <si>
    <t>Additions (capital investment)</t>
  </si>
  <si>
    <t>Amortization</t>
  </si>
  <si>
    <t>Net book value of capital asset disposals / adjustments</t>
  </si>
  <si>
    <t>Net Book Value at End of Year</t>
  </si>
  <si>
    <t>Personal income tax</t>
  </si>
  <si>
    <t>Corporate income tax</t>
  </si>
  <si>
    <t>Other taxes</t>
  </si>
  <si>
    <t>Transfers from Government of Canada</t>
  </si>
  <si>
    <t>Net income from govt. business enterprises</t>
  </si>
  <si>
    <t>Premiums, fees and licences</t>
  </si>
  <si>
    <t>Other</t>
  </si>
  <si>
    <t>Advanced Education</t>
  </si>
  <si>
    <t>Children's Services</t>
  </si>
  <si>
    <t>Education</t>
  </si>
  <si>
    <t>Energy</t>
  </si>
  <si>
    <t>Executive Council</t>
  </si>
  <si>
    <t>Health</t>
  </si>
  <si>
    <t>Indigenous Relations</t>
  </si>
  <si>
    <t>Infrastructure</t>
  </si>
  <si>
    <t>Municipal Affairs</t>
  </si>
  <si>
    <t>Transportation</t>
  </si>
  <si>
    <t>Treasury Board and Finance</t>
  </si>
  <si>
    <t xml:space="preserve">Legislative Assembly </t>
  </si>
  <si>
    <t>Beginning net assets (+ adjustments)</t>
  </si>
  <si>
    <r>
      <t xml:space="preserve">Revenue </t>
    </r>
    <r>
      <rPr>
        <i/>
        <sz val="8"/>
        <rFont val="Arial"/>
        <family val="2"/>
      </rPr>
      <t>(millions of dollars)</t>
    </r>
  </si>
  <si>
    <t>Income Taxes</t>
  </si>
  <si>
    <t>Other Taxes</t>
  </si>
  <si>
    <t>Education property tax (includes opted-out boards)</t>
  </si>
  <si>
    <t>Tobacco / vaping taxes</t>
  </si>
  <si>
    <t>Insurance taxes</t>
  </si>
  <si>
    <t>Tourism levy</t>
  </si>
  <si>
    <t>Freehold mineral rights tax</t>
  </si>
  <si>
    <t>Cannabis tax</t>
  </si>
  <si>
    <t>Non-Renewable Resource Revenue</t>
  </si>
  <si>
    <t>Bitumen royalty</t>
  </si>
  <si>
    <t>Crude oil royalty</t>
  </si>
  <si>
    <t>Natural gas and by-products royalty</t>
  </si>
  <si>
    <t>Bonuses and sales of Crown leases</t>
  </si>
  <si>
    <t>Rentals and fees / coal royalty</t>
  </si>
  <si>
    <t>Canada Health Transfer</t>
  </si>
  <si>
    <t>Canada Social Transfer</t>
  </si>
  <si>
    <t>Direct transfers to SUCH sector / Alberta Innovates Corporation</t>
  </si>
  <si>
    <t>Infrastructure support</t>
  </si>
  <si>
    <t>Agriculture support programs</t>
  </si>
  <si>
    <t>Labour market agreements</t>
  </si>
  <si>
    <t>Investment Income</t>
  </si>
  <si>
    <t>Endowment funds</t>
  </si>
  <si>
    <t>Other (includes SUCH sector)</t>
  </si>
  <si>
    <t>Net Income from Government Business Enterprises</t>
  </si>
  <si>
    <t xml:space="preserve">AGLC – Gaming / lottery </t>
  </si>
  <si>
    <t>AGLC – Liquor</t>
  </si>
  <si>
    <t>AGLC – Cannabis</t>
  </si>
  <si>
    <t>ATB Financial</t>
  </si>
  <si>
    <t>Balancing Pool</t>
  </si>
  <si>
    <t>Other (CUDGCo / APMC / PSIs)</t>
  </si>
  <si>
    <t>Premiums, Fees and Licences</t>
  </si>
  <si>
    <t>Post-secondary institution tuition fees</t>
  </si>
  <si>
    <t>Health / school board fees and charges</t>
  </si>
  <si>
    <t>Motor vehicle licences</t>
  </si>
  <si>
    <t>Crop, hail and livestock insurance premiums</t>
  </si>
  <si>
    <t>Energy industry levies</t>
  </si>
  <si>
    <t>SUCH sector sales, rentals and services</t>
  </si>
  <si>
    <t>SUCH sector fundraising, donations, gifts and contributions</t>
  </si>
  <si>
    <t>AIMCo investment management charges</t>
  </si>
  <si>
    <t>Fines and penalties</t>
  </si>
  <si>
    <t>Refunds of expense</t>
  </si>
  <si>
    <t>Technology Innovation and Emissions Reduction Fund</t>
  </si>
  <si>
    <t>Miscellaneous (includes Alberta Innovates Corporation)</t>
  </si>
  <si>
    <t xml:space="preserve">Debt Servicing Costs </t>
  </si>
  <si>
    <t>Taxpayer-supported general debt servicing costs</t>
  </si>
  <si>
    <t>Education – school boards</t>
  </si>
  <si>
    <t>Total</t>
  </si>
  <si>
    <t>Taxpayer-supported Capital Plan debt servicing costs</t>
  </si>
  <si>
    <t>Education – Alberta Schools Alternative Procurement P3s</t>
  </si>
  <si>
    <t>Transportation – ring road P3s</t>
  </si>
  <si>
    <t>Treasury Board and Finance – direct borrowing</t>
  </si>
  <si>
    <t>Total taxpayer-supported debt servicing costs</t>
  </si>
  <si>
    <t>Self-supported debt servicing costs</t>
  </si>
  <si>
    <t>Treasury Board and Finance – for loans to local authorities</t>
  </si>
  <si>
    <t>Treasury Board and Finance – Ag. Financial Services Corp.</t>
  </si>
  <si>
    <t>Total Debt Servicing Costs</t>
  </si>
  <si>
    <t>Operating Expense</t>
  </si>
  <si>
    <t>COVID-19 / Recovery Plan:</t>
  </si>
  <si>
    <t xml:space="preserve">Total Operating Expense </t>
  </si>
  <si>
    <t xml:space="preserve">Contingency / Disaster and Emergency Assistance / COVID-19 / Recovery Plan </t>
  </si>
  <si>
    <t>Total Contingency / Dis. &amp; Emerg. Assist. / COVID-19 / Rec. Plan</t>
  </si>
  <si>
    <t>Capital Amortization</t>
  </si>
  <si>
    <t xml:space="preserve">Total Amortization Expense </t>
  </si>
  <si>
    <t xml:space="preserve">Inventory Consumption </t>
  </si>
  <si>
    <t xml:space="preserve">Health </t>
  </si>
  <si>
    <t xml:space="preserve">Total Inventory Consumption </t>
  </si>
  <si>
    <t>Inventory Acquisition</t>
  </si>
  <si>
    <t>Total Inventory Acquisition</t>
  </si>
  <si>
    <r>
      <t>Capital Plan</t>
    </r>
    <r>
      <rPr>
        <b/>
        <vertAlign val="superscript"/>
        <sz val="12"/>
        <rFont val="Arial"/>
        <family val="2"/>
      </rPr>
      <t>a</t>
    </r>
  </si>
  <si>
    <t>Legislative Assembly</t>
  </si>
  <si>
    <t>Capital Grants</t>
  </si>
  <si>
    <t>Total Capital Grants</t>
  </si>
  <si>
    <t>Capital Investment</t>
  </si>
  <si>
    <t>Total Capital Investment</t>
  </si>
  <si>
    <t>Capital Plan Funding Sources</t>
  </si>
  <si>
    <t>Capital Plan, less</t>
  </si>
  <si>
    <t>10% cash flow adjustment (rounded)</t>
  </si>
  <si>
    <t>Capital Plan funding requirements</t>
  </si>
  <si>
    <t>Source of funding:</t>
  </si>
  <si>
    <t>Cash received (primarily federal govt.) / donations / disposals</t>
  </si>
  <si>
    <t>Retained income of funds and agencies (primarily ASHC)</t>
  </si>
  <si>
    <t>SUCH sector self-financed</t>
  </si>
  <si>
    <t>TIER Fund</t>
  </si>
  <si>
    <t>Total Capital Plan Funding Sources</t>
  </si>
  <si>
    <t>Borrowing Requirements</t>
  </si>
  <si>
    <t>Government business enterprises</t>
  </si>
  <si>
    <t>Total Borrowing Requirements</t>
  </si>
  <si>
    <t>Change</t>
  </si>
  <si>
    <t>Alberta Petroleum Marketing Commission</t>
  </si>
  <si>
    <t>Borrowing Sources</t>
  </si>
  <si>
    <t>Money market (net change)</t>
  </si>
  <si>
    <t>Public-private partnerships (P3s)</t>
  </si>
  <si>
    <t>Term debt</t>
  </si>
  <si>
    <t xml:space="preserve">Total Borrowing Sources </t>
  </si>
  <si>
    <r>
      <t xml:space="preserve">Pension Liabilities </t>
    </r>
    <r>
      <rPr>
        <b/>
        <vertAlign val="superscript"/>
        <sz val="12"/>
        <rFont val="Arial"/>
        <family val="2"/>
      </rPr>
      <t>a</t>
    </r>
  </si>
  <si>
    <t>Teachers' Pension Plan (pre-1992)</t>
  </si>
  <si>
    <r>
      <t xml:space="preserve">Public Service Management Pension Plan (pre-1992; closed) </t>
    </r>
    <r>
      <rPr>
        <vertAlign val="superscript"/>
        <sz val="8"/>
        <rFont val="Arial"/>
        <family val="2"/>
      </rPr>
      <t>b</t>
    </r>
  </si>
  <si>
    <t>Universities Academic Pension Plan (pre-1992)</t>
  </si>
  <si>
    <t>Special Forces Pension Plan (pre-1992)</t>
  </si>
  <si>
    <r>
      <t xml:space="preserve">Members of the Legislative Assembly Pension Plan (closed) </t>
    </r>
    <r>
      <rPr>
        <vertAlign val="superscript"/>
        <sz val="8"/>
        <rFont val="Arial"/>
        <family val="2"/>
      </rPr>
      <t>b</t>
    </r>
  </si>
  <si>
    <t>Public Service Supplementary Retirement Plan</t>
  </si>
  <si>
    <t>Provincial Judges and Masters in Chambers Pension Plan</t>
  </si>
  <si>
    <t>SUCH sector – Universities Academic / Supp. Exec. Retirement Plans</t>
  </si>
  <si>
    <t xml:space="preserve">Total Pension Liabilities </t>
  </si>
  <si>
    <t>Annual Non-cash Change in Pension Liabilities</t>
  </si>
  <si>
    <r>
      <t>Cash Adjustments</t>
    </r>
    <r>
      <rPr>
        <b/>
        <vertAlign val="superscript"/>
        <sz val="12"/>
        <rFont val="Arial"/>
        <family val="2"/>
      </rPr>
      <t>a</t>
    </r>
  </si>
  <si>
    <t>Retained Income of Funds and Agencies</t>
  </si>
  <si>
    <t>Heritage Foundation for Medical Research Endowment Fund</t>
  </si>
  <si>
    <t>Heritage Science and Engineering Research Endowment Fund</t>
  </si>
  <si>
    <t>Heritage Scholarship Fund</t>
  </si>
  <si>
    <t>Alberta Social Housing Corporation</t>
  </si>
  <si>
    <t>Credit Union Deposit Guarantee Corporation</t>
  </si>
  <si>
    <t xml:space="preserve">Technology Innovation and Emissions Reduction Fund </t>
  </si>
  <si>
    <t xml:space="preserve">Total Retained Income of Funds and Agencies </t>
  </si>
  <si>
    <t>Other Cash Adjustments</t>
  </si>
  <si>
    <t>SUCH sector own-source revenue</t>
  </si>
  <si>
    <t>SUCH sector own-source expense</t>
  </si>
  <si>
    <t>Net deferred capital contribution cash adjustment</t>
  </si>
  <si>
    <t>Energy royalties (difference between accrued revenue &amp; cash)</t>
  </si>
  <si>
    <t>2013 Alberta flood assistance revenue / expense</t>
  </si>
  <si>
    <t>Wood Buffalo wildfire revenue / expense</t>
  </si>
  <si>
    <t>Pension provisions (non-cash expense)</t>
  </si>
  <si>
    <t>Total Other Cash Adjustments</t>
  </si>
  <si>
    <t>Capital investment (excluding SUCH sector self-financed)</t>
  </si>
  <si>
    <t>Current principal repayments (P3s – public-private partnerships)</t>
  </si>
  <si>
    <t>Book value of asset disposals (net non-cash expense / revenue)</t>
  </si>
  <si>
    <t>Total Capital Cash Adjustments</t>
  </si>
  <si>
    <r>
      <t xml:space="preserve">Full-Time Equivalents </t>
    </r>
    <r>
      <rPr>
        <b/>
        <vertAlign val="superscript"/>
        <sz val="12"/>
        <rFont val="Arial"/>
        <family val="2"/>
      </rPr>
      <t>a</t>
    </r>
  </si>
  <si>
    <t>Departments</t>
  </si>
  <si>
    <t>Treasury Board and Finance – department</t>
  </si>
  <si>
    <t>Treasury Board and Finance – Communications and Public Engagement</t>
  </si>
  <si>
    <t>Treasury Board and Finance – Public Service Commission</t>
  </si>
  <si>
    <t xml:space="preserve"> Agencies / SUCH sector / other operationally-independent entities </t>
  </si>
  <si>
    <t>Advanced Education – post-secondary institutions</t>
  </si>
  <si>
    <t>Education –  school boards (including Francophone / charter)</t>
  </si>
  <si>
    <t xml:space="preserve">   Certificated Staff</t>
  </si>
  <si>
    <t xml:space="preserve">   Non-certificated Staff</t>
  </si>
  <si>
    <t>Energy – Alberta Energy Regulator</t>
  </si>
  <si>
    <t>Energy – Canadian Energy Centre</t>
  </si>
  <si>
    <t>Health – Alberta Health Services</t>
  </si>
  <si>
    <t xml:space="preserve">Health – Health Quality Council of Alberta </t>
  </si>
  <si>
    <t>Indigenous Relations – Alberta Indigenous Opportunities Corporation</t>
  </si>
  <si>
    <t>Municipal Affairs – Safety Codes Council</t>
  </si>
  <si>
    <t>Treasury Board and Finance – Alberta Insurance Council</t>
  </si>
  <si>
    <t>Treasury Board and Finance – Alberta Investment Management Corporation</t>
  </si>
  <si>
    <t>Treasury Board and Finance – Alberta Pensions Services Corporation</t>
  </si>
  <si>
    <t>Treasury Board and Finance – Alberta Securities Commission</t>
  </si>
  <si>
    <t>Agencies / SUCH sector / other operationally-independent entities</t>
  </si>
  <si>
    <t>Total Full-Time Equivalents</t>
  </si>
  <si>
    <t>(thousands of dollars)</t>
  </si>
  <si>
    <t>Net gaming / lottery revenue</t>
  </si>
  <si>
    <t>Resource Management</t>
  </si>
  <si>
    <t>Family and Community Safety</t>
  </si>
  <si>
    <t>Continuing Care</t>
  </si>
  <si>
    <t>Family and Community Support Services</t>
  </si>
  <si>
    <t>Fetal Alcohol Spectrum Disorder Initiatives</t>
  </si>
  <si>
    <t>First Nations and Métis Relations</t>
  </si>
  <si>
    <t>First Nations Development Fund</t>
  </si>
  <si>
    <t>Assistance - Alberta Foundation for Arts</t>
  </si>
  <si>
    <t>Settlement and Integration</t>
  </si>
  <si>
    <t>Skills and Training Support</t>
  </si>
  <si>
    <t>Community Facility Enhancement Program</t>
  </si>
  <si>
    <t>Community Initiatives Program</t>
  </si>
  <si>
    <t>Provincial Highway Maintenance</t>
  </si>
  <si>
    <t>Heritage Preservation Partnership</t>
  </si>
  <si>
    <t>Other Initiatives</t>
  </si>
  <si>
    <t xml:space="preserve">  Gaming Research</t>
  </si>
  <si>
    <t xml:space="preserve">  Horse Racing and Breeding Renewal Program</t>
  </si>
  <si>
    <t>Operations and Maintenance</t>
  </si>
  <si>
    <t>Total Allocation</t>
  </si>
  <si>
    <t>Ministry Expense by Function</t>
  </si>
  <si>
    <t>Social Services</t>
  </si>
  <si>
    <t>Agriculture, Resource Management and Economic Development</t>
  </si>
  <si>
    <t>Protection of Persons and Property (includes contingency and disaster assistance)</t>
  </si>
  <si>
    <t>Transportation, Communications and Utilities</t>
  </si>
  <si>
    <t>Regional Planning and Development</t>
  </si>
  <si>
    <t>Environment</t>
  </si>
  <si>
    <t>Recreation and Culture</t>
  </si>
  <si>
    <t>Housing</t>
  </si>
  <si>
    <t>General Government (includes pension provisions)</t>
  </si>
  <si>
    <t>Debt Servicing Costs</t>
  </si>
  <si>
    <t>Ministry Expense by Object</t>
  </si>
  <si>
    <t>Salaries, Wages and    Employee Benefits</t>
  </si>
  <si>
    <t>Supplies and Services</t>
  </si>
  <si>
    <t>Grants to Others</t>
  </si>
  <si>
    <t>Amortization of Capital Assets</t>
  </si>
  <si>
    <t>Consumption of Inventory</t>
  </si>
  <si>
    <t>Pension Provisions</t>
  </si>
  <si>
    <t>Other / contingency and disaster assistance</t>
  </si>
  <si>
    <t>2024-25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</si>
  <si>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</si>
  <si>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</si>
  <si>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</si>
  <si>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</si>
  <si>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</si>
  <si>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</si>
  <si>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</si>
  <si>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</si>
  <si>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</si>
  <si>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</si>
  <si>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</si>
  <si>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Other tax revenue</t>
  </si>
  <si>
    <t>Resource revenue</t>
  </si>
  <si>
    <t>Other own-source revenue</t>
  </si>
  <si>
    <t>Total own-source revenue</t>
  </si>
  <si>
    <t>Expense by Function</t>
  </si>
  <si>
    <t>Basic / advanced education</t>
  </si>
  <si>
    <t>Social services</t>
  </si>
  <si>
    <t>Other program expense</t>
  </si>
  <si>
    <t>Total program expense</t>
  </si>
  <si>
    <t>Debt servicing costs </t>
  </si>
  <si>
    <r>
      <t>Capital Plan</t>
    </r>
    <r>
      <rPr>
        <b/>
        <vertAlign val="superscript"/>
        <sz val="9"/>
        <color theme="1"/>
        <rFont val="Arial Narrow"/>
        <family val="2"/>
      </rPr>
      <t> b</t>
    </r>
  </si>
  <si>
    <t>Statement of Financial Position (at March 31)</t>
  </si>
  <si>
    <t>Heritage / endowment funds</t>
  </si>
  <si>
    <t>Contingency Account</t>
  </si>
  <si>
    <t>Other financial assets</t>
  </si>
  <si>
    <t>Taxpayer-supported Capital Plan liabilities</t>
  </si>
  <si>
    <t>Self-supported debt</t>
  </si>
  <si>
    <t>Other liabilities</t>
  </si>
  <si>
    <r>
      <t>Net Financial Assets / (Debt)</t>
    </r>
    <r>
      <rPr>
        <b/>
        <vertAlign val="superscript"/>
        <sz val="8"/>
        <color theme="1"/>
        <rFont val="Arial Narrow"/>
        <family val="2"/>
      </rPr>
      <t xml:space="preserve"> </t>
    </r>
  </si>
  <si>
    <t>2025</t>
  </si>
  <si>
    <t>Income from local authority loans</t>
  </si>
  <si>
    <r>
      <t xml:space="preserve">Total Debt </t>
    </r>
    <r>
      <rPr>
        <b/>
        <vertAlign val="superscript"/>
        <sz val="8"/>
        <color theme="1"/>
        <rFont val="Arial Narrow"/>
        <family val="2"/>
      </rPr>
      <t>c</t>
    </r>
  </si>
  <si>
    <r>
      <t xml:space="preserve">Net Assets </t>
    </r>
    <r>
      <rPr>
        <b/>
        <vertAlign val="superscript"/>
        <sz val="8"/>
        <color theme="1"/>
        <rFont val="Arial Narrow"/>
        <family val="2"/>
      </rPr>
      <t>d</t>
    </r>
  </si>
  <si>
    <t>Energy prices and exchange rate</t>
  </si>
  <si>
    <t>Oil price (WTI US$/bbl)</t>
  </si>
  <si>
    <t>Heavy oil price (WCS @ Hardisty; Cdn$/bbl)</t>
  </si>
  <si>
    <t>Natural gas price (ARP; Cdn$/GJ)</t>
  </si>
  <si>
    <t>Exchange rate (US¢/Cdn$)</t>
  </si>
  <si>
    <t>Net financial debt / GDP (calendar year, nominal)</t>
  </si>
  <si>
    <t xml:space="preserve">  Airport Entertainment Centres</t>
  </si>
  <si>
    <t>Local authority loans</t>
  </si>
  <si>
    <t>Debt issued to finance local authority loans</t>
  </si>
  <si>
    <t>Assistance - Provincial Heritage Organizations</t>
  </si>
  <si>
    <t>Total cash available / (requirements)</t>
  </si>
  <si>
    <t>2025-26</t>
  </si>
  <si>
    <t>2026</t>
  </si>
  <si>
    <t>Total 2023-24 Expense</t>
  </si>
  <si>
    <t>Capital Plan contingency</t>
  </si>
  <si>
    <t>Affordability and Utilities</t>
  </si>
  <si>
    <t>Agriculture and Irrigation</t>
  </si>
  <si>
    <t>Seniors, Community and Social Services</t>
  </si>
  <si>
    <t>Culture</t>
  </si>
  <si>
    <t>Environment and Protected Areas</t>
  </si>
  <si>
    <t>Forestry, Parks and Tourism</t>
  </si>
  <si>
    <t>Jobs, Economy and Northern Development</t>
  </si>
  <si>
    <t>Justice</t>
  </si>
  <si>
    <t>Trade, Immigration and Multiculturalism</t>
  </si>
  <si>
    <t>Mental Health and Addiction</t>
  </si>
  <si>
    <t>Public Safety and Emergency Services</t>
  </si>
  <si>
    <t>Service Alberta and Red Tape Reduction</t>
  </si>
  <si>
    <t>Skilled Trades and Professions</t>
  </si>
  <si>
    <t>Technology and Innovation</t>
  </si>
  <si>
    <t>Transportation and Economic Corridors</t>
  </si>
  <si>
    <t>Early learning child care agreements</t>
  </si>
  <si>
    <t>Forestry, Parks and Tourism - wildfire fighting</t>
  </si>
  <si>
    <t>Public Safety and Emergency Services – wildfire / flood support</t>
  </si>
  <si>
    <t>Agriculture and Irrigation – agric. support</t>
  </si>
  <si>
    <t xml:space="preserve">Fuel tax </t>
  </si>
  <si>
    <t>Energy (incl. crude-by-rail expense of $866 million in 2021-22)</t>
  </si>
  <si>
    <t>Allocation of 2023-24 net gaming / lottery revenue</t>
  </si>
  <si>
    <t>Inventory consumption (excluding SUCH sector; non-cash expense)</t>
  </si>
  <si>
    <t xml:space="preserve">Inventory acquisition (excluding SUCH sector; non-cash expense) </t>
  </si>
  <si>
    <t>Amortization (excluding SUCH sector; non-cash expense)</t>
  </si>
  <si>
    <t>General Revenue Fund cash / Alberta Fund</t>
  </si>
  <si>
    <t xml:space="preserve">GRF cash / direct borrowing </t>
  </si>
  <si>
    <t xml:space="preserve">P3 principal repayments </t>
  </si>
  <si>
    <t>Net borrowing / principal repay. / amort. issue costs</t>
  </si>
  <si>
    <t>Borrowing for the Fiscal Plan</t>
  </si>
  <si>
    <t>Total Taxpayer-supported Debt - Capital Projects / Fiscal Plan</t>
  </si>
  <si>
    <t>Cash for debt repayment</t>
  </si>
  <si>
    <t>Direct borrowing required</t>
  </si>
  <si>
    <t>Allocation to Alberta Fund</t>
  </si>
  <si>
    <t>Cash at start of year / Alberta Fund</t>
  </si>
  <si>
    <t>Taxpayer-supported general / pre-1992 TPP debt</t>
  </si>
  <si>
    <t>Capital / non-financial assets</t>
  </si>
  <si>
    <t>Contingency / disaster and emergency assistance / COVID -19</t>
  </si>
  <si>
    <t>Taxpayer-supported debt servicing costs</t>
  </si>
  <si>
    <t>Other fund and agencies</t>
  </si>
  <si>
    <t>Retained income of funds and agencies:</t>
  </si>
  <si>
    <t>Capital cash adjustments:</t>
  </si>
  <si>
    <t>Other capital cash adjustments</t>
  </si>
  <si>
    <t xml:space="preserve">Capital investment (excl. SUCH self-financed; net of 10% contingency) </t>
  </si>
  <si>
    <t>Capital amortization (excluding SUCH; non-cash expense)</t>
  </si>
  <si>
    <t>Total Program Expense</t>
  </si>
  <si>
    <t>Expense before contingency</t>
  </si>
  <si>
    <t>Surplus / (deficit) before contingency</t>
  </si>
  <si>
    <t>Unallocated contingency (disast. and emerg. assist. / COVID-19)</t>
  </si>
  <si>
    <t>Technology and Innovation – 1GX costs</t>
  </si>
  <si>
    <r>
      <t>Cash adjustments</t>
    </r>
    <r>
      <rPr>
        <sz val="8"/>
        <rFont val="Arial"/>
        <family val="2"/>
      </rPr>
      <t xml:space="preserve"> (for details, see table on page 209)</t>
    </r>
  </si>
  <si>
    <t xml:space="preserve">Mental Health and Addiction </t>
  </si>
  <si>
    <t xml:space="preserve">Public Safety and Emergency Services </t>
  </si>
  <si>
    <t xml:space="preserve">Treasury Board and Fin. – disaster and emerg. assist. contingency </t>
  </si>
  <si>
    <t>Contingency / disaster and emergency assistance / COVID-19</t>
  </si>
  <si>
    <t>Treasury Board and Fin. – COVID-19 / Recovery Plan contingency</t>
  </si>
  <si>
    <t>Affordability and Utilities – Alberta Utilities Commission</t>
  </si>
  <si>
    <t>Agriculture and Irrigation – Agriculture Financial Services Corporation</t>
  </si>
  <si>
    <t>Environment and Protected Areas – Natural Resources Conservation Board</t>
  </si>
  <si>
    <t>Forestry, Parks and Tourism – Travel Alberta Corporation</t>
  </si>
  <si>
    <t>Public Safety and Emergency Services – Victims of Crime and Public Safety Fund</t>
  </si>
  <si>
    <t>Technology and Innovation – Alberta Enterprise Corporation</t>
  </si>
  <si>
    <t>Trade, Immigration and Multiculturalism – Invest Alberta Corporation</t>
  </si>
  <si>
    <t>Technology and Innovation – Alberta Innovates Corporation</t>
  </si>
  <si>
    <t>Taxpayer-supported debt</t>
  </si>
  <si>
    <t xml:space="preserve">Annual Debt Maturities </t>
  </si>
  <si>
    <t>Total Annual Debt Maturities</t>
  </si>
  <si>
    <t>Short-term debt maturities</t>
  </si>
  <si>
    <t>Long-term debt maturities</t>
  </si>
  <si>
    <t>2026-27</t>
  </si>
  <si>
    <t>Other (includes Fiscal Stabilization payment in 2023-24)</t>
  </si>
  <si>
    <t>Contingency (voted in TBF)</t>
  </si>
  <si>
    <t>Primary Agriculture</t>
  </si>
  <si>
    <t>Rural programming and Agricultural Societies</t>
  </si>
  <si>
    <t>Assistance - Sport, Phys. Activity and Recreat.</t>
  </si>
  <si>
    <r>
      <t xml:space="preserve">Historical Fiscal Summary, 2008-09 to 2025-26 </t>
    </r>
    <r>
      <rPr>
        <b/>
        <vertAlign val="superscript"/>
        <sz val="10"/>
        <color theme="1"/>
        <rFont val="Arial"/>
        <family val="2"/>
      </rPr>
      <t>a</t>
    </r>
    <r>
      <rPr>
        <b/>
        <sz val="10"/>
        <color theme="1"/>
        <rFont val="Arial"/>
        <family val="2"/>
      </rPr>
      <t> </t>
    </r>
  </si>
  <si>
    <t>This document contains information licenced under the</t>
  </si>
  <si>
    <t>Open Government License - 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</si>
</sst>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0.0_);\(0.0\)"/>
    <numFmt numFmtId="167" formatCode="_(* #,##0_);_(* \(#,##0\);_(* &quot;-&quot;??_);_(@_)"/>
    <numFmt numFmtId="168" formatCode="_(* #,##0.0_);_(* \(#,##0.0\);_(* &quot;-&quot;??_);_(@_)"/>
    <numFmt numFmtId="169" formatCode="_(* #,##0.0_);_(* \(#,##0.0\);_(* &quot;-&quot;?_);_(@_)"/>
    <numFmt numFmtId="170" formatCode="_(* #,##0.00_);_(* \(#,##0.00\);_(* &quot;-&quot;_);_(@_)"/>
  </numFmts>
  <fonts count="45">
    <font>
      <sz val="9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9"/>
      <color rgb="FFC0000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u/>
      <sz val="8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9"/>
      <color rgb="FFFF0000"/>
      <name val="Arial"/>
      <family val="2"/>
    </font>
    <font>
      <vertAlign val="superscript"/>
      <sz val="8"/>
      <color rgb="FFFF0000"/>
      <name val="Arial"/>
      <family val="2"/>
    </font>
    <font>
      <b/>
      <vertAlign val="superscript"/>
      <sz val="12"/>
      <name val="Arial"/>
      <family val="2"/>
    </font>
    <font>
      <sz val="8"/>
      <color rgb="FF000000"/>
      <name val="Arial"/>
      <family val="2"/>
    </font>
    <font>
      <sz val="9"/>
      <name val="MyriaMM_400 RG 600 NO"/>
      <family val="2"/>
    </font>
    <font>
      <sz val="10"/>
      <name val="Arial Narrow"/>
      <family val="2"/>
    </font>
    <font>
      <sz val="8"/>
      <color indexed="8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b/>
      <sz val="18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i/>
      <sz val="10"/>
      <color theme="1"/>
      <name val="Arial"/>
      <family val="2"/>
    </font>
    <font>
      <b/>
      <sz val="7"/>
      <color theme="1"/>
      <name val="Arial"/>
      <family val="2"/>
    </font>
    <font>
      <i/>
      <sz val="8"/>
      <color theme="1"/>
      <name val="Arial"/>
      <family val="2"/>
    </font>
    <font>
      <b/>
      <sz val="8"/>
      <color theme="1"/>
      <name val="Arial Narrow"/>
      <family val="2"/>
    </font>
    <font>
      <b/>
      <u/>
      <sz val="9"/>
      <color theme="1"/>
      <name val="Arial Narrow"/>
      <family val="2"/>
    </font>
    <font>
      <sz val="8"/>
      <color theme="1"/>
      <name val="Arial Narrow"/>
      <family val="2"/>
    </font>
    <font>
      <b/>
      <sz val="9"/>
      <color theme="1"/>
      <name val="Arial Narrow"/>
      <family val="2"/>
    </font>
    <font>
      <b/>
      <vertAlign val="superscript"/>
      <sz val="9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b/>
      <sz val="10"/>
      <color theme="1"/>
      <name val="Arial Narrow"/>
      <family val="2"/>
    </font>
    <font>
      <sz val="9"/>
      <color rgb="FF172B4D"/>
      <name val="Segoe UI"/>
      <family val="2"/>
    </font>
    <font>
      <u/>
      <sz val="9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4.9989318521683403E-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4.9989318521683403E-2"/>
      </right>
      <top style="thin">
        <color theme="0" tint="-0.499984740745262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 style="medium">
        <color theme="0" tint="-0.499984740745262"/>
      </bottom>
      <diagonal/>
    </border>
    <border>
      <left/>
      <right style="thin">
        <color theme="0" tint="-4.9989318521683403E-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499984740745262"/>
      </bottom>
      <diagonal/>
    </border>
    <border>
      <left/>
      <right style="thin">
        <color theme="0" tint="-0.1499984740745262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14999847407452621"/>
      </right>
      <top style="thin">
        <color theme="0" tint="-0.499984740745262"/>
      </top>
      <bottom/>
      <diagonal/>
    </border>
    <border>
      <left/>
      <right style="thin">
        <color theme="0" tint="-0.14999847407452621"/>
      </right>
      <top/>
      <bottom style="medium">
        <color theme="0" tint="-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22">
    <xf numFmtId="0" fontId="0" fillId="0" borderId="0"/>
    <xf numFmtId="0" fontId="10" fillId="0" borderId="0"/>
    <xf numFmtId="43" fontId="2" fillId="0" borderId="0" applyFill="0" applyBorder="0" applyAlignment="0" applyProtection="0"/>
    <xf numFmtId="0" fontId="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2" fillId="0" borderId="0"/>
    <xf numFmtId="0" fontId="2" fillId="0" borderId="0"/>
    <xf numFmtId="0" fontId="12" fillId="0" borderId="0"/>
    <xf numFmtId="0" fontId="23" fillId="0" borderId="0" applyAlignment="0"/>
    <xf numFmtId="43" fontId="12" fillId="0" borderId="0" applyFont="0" applyFill="0" applyBorder="0" applyAlignment="0" applyProtection="0"/>
    <xf numFmtId="43" fontId="2" fillId="0" borderId="0" applyFill="0" applyBorder="0" applyAlignment="0" applyProtection="0"/>
    <xf numFmtId="43" fontId="2" fillId="0" borderId="0" applyFill="0" applyBorder="0" applyAlignment="0" applyProtection="0"/>
    <xf numFmtId="0" fontId="29" fillId="0" borderId="0"/>
    <xf numFmtId="9" fontId="29" fillId="0" borderId="0" applyFont="0" applyFill="0" applyBorder="0" applyAlignment="0" applyProtection="0"/>
    <xf numFmtId="0" fontId="29" fillId="0" borderId="0"/>
    <xf numFmtId="9" fontId="29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4" fillId="0" borderId="0" applyNumberFormat="0" applyFill="0" applyBorder="0" applyAlignment="0" applyProtection="0"/>
  </cellStyleXfs>
  <cellXfs count="621">
    <xf numFmtId="0" fontId="0" fillId="0" borderId="0" xfId="0"/>
    <xf numFmtId="0" fontId="3" fillId="0" borderId="0" xfId="0" applyFont="1" applyAlignment="1">
      <alignment horizontal="left"/>
    </xf>
    <xf numFmtId="41" fontId="4" fillId="0" borderId="0" xfId="0" applyNumberFormat="1" applyFont="1"/>
    <xf numFmtId="0" fontId="5" fillId="0" borderId="0" xfId="0" applyFont="1"/>
    <xf numFmtId="49" fontId="6" fillId="0" borderId="0" xfId="0" applyNumberFormat="1" applyFont="1" applyAlignment="1">
      <alignment horizontal="left"/>
    </xf>
    <xf numFmtId="41" fontId="2" fillId="0" borderId="0" xfId="0" applyNumberFormat="1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41" fontId="9" fillId="2" borderId="0" xfId="0" applyNumberFormat="1" applyFont="1" applyFill="1" applyAlignment="1">
      <alignment horizontal="right" vertical="center"/>
    </xf>
    <xf numFmtId="49" fontId="9" fillId="3" borderId="1" xfId="0" applyNumberFormat="1" applyFont="1" applyFill="1" applyBorder="1" applyAlignment="1">
      <alignment horizontal="left" vertical="top"/>
    </xf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top"/>
    </xf>
    <xf numFmtId="0" fontId="8" fillId="2" borderId="1" xfId="0" applyFont="1" applyFill="1" applyBorder="1" applyAlignment="1">
      <alignment horizontal="right" vertical="top"/>
    </xf>
    <xf numFmtId="49" fontId="9" fillId="3" borderId="0" xfId="0" applyNumberFormat="1" applyFont="1" applyFill="1" applyAlignment="1">
      <alignment horizontal="left" vertical="top"/>
    </xf>
    <xf numFmtId="49" fontId="9" fillId="0" borderId="0" xfId="0" applyNumberFormat="1" applyFont="1" applyAlignment="1">
      <alignment horizontal="right" vertical="center"/>
    </xf>
    <xf numFmtId="49" fontId="9" fillId="0" borderId="2" xfId="0" applyNumberFormat="1" applyFont="1" applyBorder="1" applyAlignment="1">
      <alignment horizontal="right" vertical="center"/>
    </xf>
    <xf numFmtId="41" fontId="4" fillId="2" borderId="0" xfId="0" applyNumberFormat="1" applyFont="1" applyFill="1"/>
    <xf numFmtId="0" fontId="9" fillId="0" borderId="0" xfId="1" applyFont="1" applyAlignment="1">
      <alignment horizontal="left" vertical="center"/>
    </xf>
    <xf numFmtId="41" fontId="7" fillId="0" borderId="0" xfId="0" applyNumberFormat="1" applyFont="1" applyAlignment="1">
      <alignment vertical="center"/>
    </xf>
    <xf numFmtId="41" fontId="9" fillId="2" borderId="0" xfId="0" applyNumberFormat="1" applyFont="1" applyFill="1" applyAlignment="1">
      <alignment vertical="center"/>
    </xf>
    <xf numFmtId="0" fontId="7" fillId="0" borderId="0" xfId="1" applyFont="1" applyAlignment="1">
      <alignment horizontal="left" vertical="center" indent="1"/>
    </xf>
    <xf numFmtId="41" fontId="7" fillId="0" borderId="1" xfId="0" applyNumberFormat="1" applyFont="1" applyBorder="1" applyAlignment="1">
      <alignment vertical="center"/>
    </xf>
    <xf numFmtId="0" fontId="9" fillId="0" borderId="3" xfId="1" applyFont="1" applyBorder="1" applyAlignment="1">
      <alignment horizontal="left" vertical="center"/>
    </xf>
    <xf numFmtId="41" fontId="9" fillId="0" borderId="0" xfId="0" applyNumberFormat="1" applyFont="1" applyAlignment="1">
      <alignment vertical="center"/>
    </xf>
    <xf numFmtId="41" fontId="9" fillId="2" borderId="0" xfId="0" applyNumberFormat="1" applyFont="1" applyFill="1"/>
    <xf numFmtId="41" fontId="7" fillId="2" borderId="0" xfId="0" applyNumberFormat="1" applyFont="1" applyFill="1" applyAlignment="1">
      <alignment vertical="center"/>
    </xf>
    <xf numFmtId="0" fontId="7" fillId="0" borderId="0" xfId="1" applyFont="1" applyAlignment="1">
      <alignment horizontal="left" vertical="center"/>
    </xf>
    <xf numFmtId="41" fontId="7" fillId="0" borderId="3" xfId="0" applyNumberFormat="1" applyFont="1" applyBorder="1" applyAlignment="1">
      <alignment vertical="center"/>
    </xf>
    <xf numFmtId="41" fontId="9" fillId="2" borderId="3" xfId="0" applyNumberFormat="1" applyFont="1" applyFill="1" applyBorder="1" applyAlignment="1">
      <alignment vertical="center"/>
    </xf>
    <xf numFmtId="41" fontId="9" fillId="0" borderId="3" xfId="0" applyNumberFormat="1" applyFont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41" fontId="9" fillId="0" borderId="4" xfId="0" applyNumberFormat="1" applyFont="1" applyBorder="1" applyAlignment="1">
      <alignment vertical="center"/>
    </xf>
    <xf numFmtId="41" fontId="9" fillId="2" borderId="4" xfId="0" applyNumberFormat="1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41" fontId="9" fillId="3" borderId="0" xfId="0" applyNumberFormat="1" applyFont="1" applyFill="1" applyAlignment="1">
      <alignment vertical="center"/>
    </xf>
    <xf numFmtId="0" fontId="7" fillId="0" borderId="0" xfId="0" applyFont="1" applyAlignment="1">
      <alignment horizontal="left" vertical="center"/>
    </xf>
    <xf numFmtId="41" fontId="0" fillId="0" borderId="0" xfId="0" applyNumberFormat="1"/>
    <xf numFmtId="49" fontId="3" fillId="0" borderId="0" xfId="0" applyNumberFormat="1" applyFont="1" applyAlignment="1">
      <alignment horizontal="left"/>
    </xf>
    <xf numFmtId="41" fontId="9" fillId="0" borderId="0" xfId="0" applyNumberFormat="1" applyFont="1"/>
    <xf numFmtId="41" fontId="7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49" fontId="9" fillId="3" borderId="3" xfId="3" applyNumberFormat="1" applyFont="1" applyFill="1" applyBorder="1" applyAlignment="1">
      <alignment horizontal="right" vertical="center"/>
    </xf>
    <xf numFmtId="49" fontId="9" fillId="0" borderId="3" xfId="3" applyNumberFormat="1" applyFont="1" applyBorder="1" applyAlignment="1">
      <alignment horizontal="right" vertical="center"/>
    </xf>
    <xf numFmtId="49" fontId="9" fillId="2" borderId="3" xfId="3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top"/>
    </xf>
    <xf numFmtId="0" fontId="8" fillId="0" borderId="0" xfId="0" applyFont="1" applyAlignment="1">
      <alignment horizontal="right" vertical="top"/>
    </xf>
    <xf numFmtId="41" fontId="7" fillId="0" borderId="0" xfId="2" applyNumberFormat="1" applyFont="1" applyAlignment="1">
      <alignment vertical="center"/>
    </xf>
    <xf numFmtId="41" fontId="9" fillId="2" borderId="0" xfId="2" applyNumberFormat="1" applyFont="1" applyFill="1" applyAlignment="1">
      <alignment vertical="center"/>
    </xf>
    <xf numFmtId="0" fontId="9" fillId="0" borderId="0" xfId="0" applyFont="1" applyAlignment="1">
      <alignment horizontal="left"/>
    </xf>
    <xf numFmtId="41" fontId="9" fillId="0" borderId="5" xfId="0" applyNumberFormat="1" applyFont="1" applyBorder="1" applyAlignment="1">
      <alignment vertical="center"/>
    </xf>
    <xf numFmtId="41" fontId="9" fillId="2" borderId="5" xfId="0" applyNumberFormat="1" applyFont="1" applyFill="1" applyBorder="1" applyAlignment="1">
      <alignment vertical="center"/>
    </xf>
    <xf numFmtId="41" fontId="7" fillId="0" borderId="0" xfId="2" applyNumberFormat="1" applyFont="1" applyBorder="1" applyAlignment="1">
      <alignment vertical="center"/>
    </xf>
    <xf numFmtId="41" fontId="9" fillId="2" borderId="0" xfId="2" applyNumberFormat="1" applyFont="1" applyFill="1" applyBorder="1" applyAlignment="1">
      <alignment vertical="center"/>
    </xf>
    <xf numFmtId="0" fontId="7" fillId="0" borderId="0" xfId="0" applyFont="1" applyAlignment="1">
      <alignment horizontal="left" vertical="center" indent="1"/>
    </xf>
    <xf numFmtId="41" fontId="9" fillId="0" borderId="4" xfId="2" applyNumberFormat="1" applyFont="1" applyFill="1" applyBorder="1" applyAlignment="1">
      <alignment vertical="center"/>
    </xf>
    <xf numFmtId="0" fontId="4" fillId="2" borderId="0" xfId="0" applyFont="1" applyFill="1"/>
    <xf numFmtId="0" fontId="7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1" fontId="9" fillId="0" borderId="1" xfId="0" applyNumberFormat="1" applyFont="1" applyBorder="1" applyAlignment="1">
      <alignment vertical="center"/>
    </xf>
    <xf numFmtId="41" fontId="9" fillId="2" borderId="1" xfId="0" applyNumberFormat="1" applyFont="1" applyFill="1" applyBorder="1" applyAlignment="1">
      <alignment vertical="center"/>
    </xf>
    <xf numFmtId="41" fontId="0" fillId="2" borderId="0" xfId="0" applyNumberFormat="1" applyFill="1"/>
    <xf numFmtId="0" fontId="9" fillId="0" borderId="6" xfId="0" applyFont="1" applyBorder="1" applyAlignment="1">
      <alignment horizontal="left" vertical="center"/>
    </xf>
    <xf numFmtId="165" fontId="9" fillId="0" borderId="6" xfId="4" applyNumberFormat="1" applyFont="1" applyBorder="1" applyAlignment="1">
      <alignment vertical="center"/>
    </xf>
    <xf numFmtId="165" fontId="9" fillId="2" borderId="6" xfId="4" applyNumberFormat="1" applyFont="1" applyFill="1" applyBorder="1" applyAlignment="1">
      <alignment vertical="center"/>
    </xf>
    <xf numFmtId="0" fontId="7" fillId="3" borderId="0" xfId="3" applyFont="1" applyFill="1" applyAlignment="1">
      <alignment vertical="center"/>
    </xf>
    <xf numFmtId="0" fontId="3" fillId="3" borderId="0" xfId="3" applyFont="1" applyFill="1"/>
    <xf numFmtId="41" fontId="7" fillId="3" borderId="0" xfId="3" applyNumberFormat="1" applyFont="1" applyFill="1" applyAlignment="1">
      <alignment vertical="center"/>
    </xf>
    <xf numFmtId="41" fontId="9" fillId="3" borderId="0" xfId="3" applyNumberFormat="1" applyFont="1" applyFill="1" applyAlignment="1">
      <alignment horizontal="right" vertical="center"/>
    </xf>
    <xf numFmtId="0" fontId="7" fillId="3" borderId="0" xfId="3" applyFont="1" applyFill="1" applyAlignment="1">
      <alignment horizontal="right" vertical="center"/>
    </xf>
    <xf numFmtId="0" fontId="6" fillId="3" borderId="0" xfId="3" applyFont="1" applyFill="1"/>
    <xf numFmtId="41" fontId="7" fillId="3" borderId="0" xfId="3" applyNumberFormat="1" applyFont="1" applyFill="1" applyAlignment="1">
      <alignment horizontal="right" vertical="center"/>
    </xf>
    <xf numFmtId="49" fontId="9" fillId="3" borderId="0" xfId="3" applyNumberFormat="1" applyFont="1" applyFill="1" applyAlignment="1">
      <alignment horizontal="right" vertical="center"/>
    </xf>
    <xf numFmtId="0" fontId="14" fillId="3" borderId="1" xfId="3" applyFont="1" applyFill="1" applyBorder="1" applyAlignment="1">
      <alignment vertical="top"/>
    </xf>
    <xf numFmtId="49" fontId="9" fillId="3" borderId="0" xfId="3" applyNumberFormat="1" applyFont="1" applyFill="1" applyAlignment="1">
      <alignment horizontal="right" vertical="top"/>
    </xf>
    <xf numFmtId="49" fontId="7" fillId="3" borderId="0" xfId="3" applyNumberFormat="1" applyFont="1" applyFill="1" applyAlignment="1">
      <alignment horizontal="right" vertical="center"/>
    </xf>
    <xf numFmtId="41" fontId="9" fillId="0" borderId="0" xfId="2" applyNumberFormat="1" applyFont="1" applyFill="1" applyBorder="1" applyAlignment="1">
      <alignment vertical="center"/>
    </xf>
    <xf numFmtId="49" fontId="9" fillId="2" borderId="0" xfId="3" applyNumberFormat="1" applyFont="1" applyFill="1" applyAlignment="1">
      <alignment horizontal="right" vertical="center"/>
    </xf>
    <xf numFmtId="0" fontId="9" fillId="3" borderId="0" xfId="3" applyFont="1" applyFill="1" applyAlignment="1">
      <alignment horizontal="left"/>
    </xf>
    <xf numFmtId="41" fontId="9" fillId="3" borderId="1" xfId="3" applyNumberFormat="1" applyFont="1" applyFill="1" applyBorder="1"/>
    <xf numFmtId="41" fontId="9" fillId="2" borderId="1" xfId="3" applyNumberFormat="1" applyFont="1" applyFill="1" applyBorder="1"/>
    <xf numFmtId="0" fontId="9" fillId="3" borderId="0" xfId="3" applyFont="1" applyFill="1"/>
    <xf numFmtId="41" fontId="9" fillId="3" borderId="0" xfId="2" applyNumberFormat="1" applyFont="1" applyFill="1" applyBorder="1" applyAlignment="1"/>
    <xf numFmtId="41" fontId="9" fillId="0" borderId="0" xfId="2" applyNumberFormat="1" applyFont="1" applyFill="1" applyBorder="1" applyAlignment="1"/>
    <xf numFmtId="41" fontId="9" fillId="2" borderId="0" xfId="3" applyNumberFormat="1" applyFont="1" applyFill="1"/>
    <xf numFmtId="41" fontId="9" fillId="3" borderId="0" xfId="3" applyNumberFormat="1" applyFont="1" applyFill="1"/>
    <xf numFmtId="0" fontId="7" fillId="3" borderId="0" xfId="3" applyFont="1" applyFill="1" applyAlignment="1">
      <alignment horizontal="left" indent="1"/>
    </xf>
    <xf numFmtId="41" fontId="7" fillId="3" borderId="0" xfId="3" applyNumberFormat="1" applyFont="1" applyFill="1"/>
    <xf numFmtId="41" fontId="7" fillId="0" borderId="0" xfId="3" applyNumberFormat="1" applyFont="1"/>
    <xf numFmtId="0" fontId="7" fillId="3" borderId="7" xfId="3" applyFont="1" applyFill="1" applyBorder="1" applyAlignment="1">
      <alignment horizontal="left" indent="2"/>
    </xf>
    <xf numFmtId="166" fontId="6" fillId="0" borderId="8" xfId="5" applyNumberFormat="1" applyFont="1" applyFill="1" applyBorder="1" applyAlignment="1"/>
    <xf numFmtId="166" fontId="6" fillId="0" borderId="9" xfId="5" applyNumberFormat="1" applyFont="1" applyFill="1" applyBorder="1" applyAlignment="1"/>
    <xf numFmtId="166" fontId="15" fillId="2" borderId="9" xfId="5" applyNumberFormat="1" applyFont="1" applyFill="1" applyBorder="1" applyAlignment="1"/>
    <xf numFmtId="166" fontId="6" fillId="0" borderId="10" xfId="5" applyNumberFormat="1" applyFont="1" applyFill="1" applyBorder="1" applyAlignment="1"/>
    <xf numFmtId="0" fontId="7" fillId="3" borderId="0" xfId="3" applyFont="1" applyFill="1"/>
    <xf numFmtId="41" fontId="7" fillId="0" borderId="0" xfId="2" applyNumberFormat="1" applyFont="1" applyFill="1" applyBorder="1" applyAlignment="1"/>
    <xf numFmtId="41" fontId="9" fillId="2" borderId="0" xfId="2" applyNumberFormat="1" applyFont="1" applyFill="1" applyBorder="1" applyAlignment="1"/>
    <xf numFmtId="41" fontId="7" fillId="0" borderId="0" xfId="3" applyNumberFormat="1" applyFont="1" applyAlignment="1">
      <alignment vertical="center"/>
    </xf>
    <xf numFmtId="41" fontId="9" fillId="2" borderId="0" xfId="3" applyNumberFormat="1" applyFont="1" applyFill="1" applyAlignment="1">
      <alignment vertical="center"/>
    </xf>
    <xf numFmtId="0" fontId="9" fillId="3" borderId="0" xfId="3" applyFont="1" applyFill="1" applyAlignment="1">
      <alignment horizontal="left" vertical="center"/>
    </xf>
    <xf numFmtId="41" fontId="9" fillId="0" borderId="0" xfId="3" applyNumberFormat="1" applyFont="1" applyAlignment="1">
      <alignment vertical="center"/>
    </xf>
    <xf numFmtId="41" fontId="9" fillId="0" borderId="5" xfId="3" applyNumberFormat="1" applyFont="1" applyBorder="1" applyAlignment="1">
      <alignment vertical="center"/>
    </xf>
    <xf numFmtId="41" fontId="9" fillId="2" borderId="5" xfId="3" applyNumberFormat="1" applyFont="1" applyFill="1" applyBorder="1" applyAlignment="1">
      <alignment vertical="center"/>
    </xf>
    <xf numFmtId="167" fontId="0" fillId="0" borderId="0" xfId="0" applyNumberFormat="1"/>
    <xf numFmtId="0" fontId="7" fillId="3" borderId="6" xfId="3" applyFont="1" applyFill="1" applyBorder="1" applyAlignment="1">
      <alignment vertical="center"/>
    </xf>
    <xf numFmtId="0" fontId="9" fillId="3" borderId="6" xfId="3" applyFont="1" applyFill="1" applyBorder="1" applyAlignment="1">
      <alignment horizontal="left" vertical="center"/>
    </xf>
    <xf numFmtId="41" fontId="9" fillId="3" borderId="6" xfId="3" applyNumberFormat="1" applyFont="1" applyFill="1" applyBorder="1" applyAlignment="1">
      <alignment vertical="center"/>
    </xf>
    <xf numFmtId="41" fontId="9" fillId="2" borderId="6" xfId="3" applyNumberFormat="1" applyFont="1" applyFill="1" applyBorder="1" applyAlignment="1">
      <alignment vertical="center"/>
    </xf>
    <xf numFmtId="41" fontId="9" fillId="3" borderId="0" xfId="3" applyNumberFormat="1" applyFont="1" applyFill="1" applyAlignment="1">
      <alignment vertical="center"/>
    </xf>
    <xf numFmtId="0" fontId="7" fillId="3" borderId="1" xfId="3" applyFont="1" applyFill="1" applyBorder="1" applyAlignment="1">
      <alignment vertical="center"/>
    </xf>
    <xf numFmtId="0" fontId="13" fillId="3" borderId="1" xfId="3" applyFont="1" applyFill="1" applyBorder="1" applyAlignment="1">
      <alignment horizontal="left" vertical="center"/>
    </xf>
    <xf numFmtId="41" fontId="3" fillId="3" borderId="1" xfId="3" applyNumberFormat="1" applyFont="1" applyFill="1" applyBorder="1" applyAlignment="1">
      <alignment horizontal="left" vertical="center"/>
    </xf>
    <xf numFmtId="41" fontId="10" fillId="0" borderId="1" xfId="3" applyNumberFormat="1" applyFont="1" applyBorder="1" applyAlignment="1">
      <alignment horizontal="left" vertical="center"/>
    </xf>
    <xf numFmtId="0" fontId="3" fillId="3" borderId="0" xfId="3" applyFont="1" applyFill="1" applyAlignment="1">
      <alignment horizontal="left" vertical="center"/>
    </xf>
    <xf numFmtId="0" fontId="7" fillId="3" borderId="1" xfId="3" applyFont="1" applyFill="1" applyBorder="1" applyAlignment="1">
      <alignment horizontal="left" indent="1"/>
    </xf>
    <xf numFmtId="41" fontId="7" fillId="3" borderId="3" xfId="3" applyNumberFormat="1" applyFont="1" applyFill="1" applyBorder="1" applyAlignment="1">
      <alignment vertical="center"/>
    </xf>
    <xf numFmtId="41" fontId="9" fillId="0" borderId="3" xfId="3" applyNumberFormat="1" applyFont="1" applyBorder="1" applyAlignment="1">
      <alignment vertical="center"/>
    </xf>
    <xf numFmtId="41" fontId="9" fillId="2" borderId="3" xfId="3" applyNumberFormat="1" applyFont="1" applyFill="1" applyBorder="1" applyAlignment="1">
      <alignment vertical="center"/>
    </xf>
    <xf numFmtId="41" fontId="9" fillId="0" borderId="6" xfId="3" applyNumberFormat="1" applyFont="1" applyBorder="1" applyAlignment="1">
      <alignment vertical="center"/>
    </xf>
    <xf numFmtId="49" fontId="9" fillId="3" borderId="0" xfId="3" applyNumberFormat="1" applyFont="1" applyFill="1" applyAlignment="1">
      <alignment horizontal="left"/>
    </xf>
    <xf numFmtId="41" fontId="7" fillId="3" borderId="0" xfId="2" applyNumberFormat="1" applyFont="1" applyFill="1" applyBorder="1" applyAlignment="1"/>
    <xf numFmtId="0" fontId="12" fillId="0" borderId="0" xfId="6"/>
    <xf numFmtId="49" fontId="13" fillId="3" borderId="1" xfId="3" applyNumberFormat="1" applyFont="1" applyFill="1" applyBorder="1" applyAlignment="1">
      <alignment horizontal="left"/>
    </xf>
    <xf numFmtId="41" fontId="9" fillId="3" borderId="0" xfId="2" applyNumberFormat="1" applyFont="1" applyFill="1" applyBorder="1" applyAlignment="1">
      <alignment horizontal="center"/>
    </xf>
    <xf numFmtId="49" fontId="13" fillId="3" borderId="0" xfId="3" applyNumberFormat="1" applyFont="1" applyFill="1" applyAlignment="1">
      <alignment horizontal="left"/>
    </xf>
    <xf numFmtId="41" fontId="9" fillId="0" borderId="0" xfId="2" applyNumberFormat="1" applyFont="1" applyFill="1" applyBorder="1" applyAlignment="1">
      <alignment horizontal="center"/>
    </xf>
    <xf numFmtId="41" fontId="7" fillId="3" borderId="1" xfId="2" applyNumberFormat="1" applyFont="1" applyFill="1" applyBorder="1" applyAlignment="1"/>
    <xf numFmtId="41" fontId="7" fillId="0" borderId="1" xfId="2" applyNumberFormat="1" applyFont="1" applyFill="1" applyBorder="1" applyAlignment="1"/>
    <xf numFmtId="41" fontId="9" fillId="2" borderId="1" xfId="2" applyNumberFormat="1" applyFont="1" applyFill="1" applyBorder="1" applyAlignment="1"/>
    <xf numFmtId="41" fontId="9" fillId="2" borderId="2" xfId="2" applyNumberFormat="1" applyFont="1" applyFill="1" applyBorder="1" applyAlignment="1"/>
    <xf numFmtId="0" fontId="7" fillId="0" borderId="0" xfId="0" applyFont="1" applyAlignment="1">
      <alignment horizontal="left" indent="1"/>
    </xf>
    <xf numFmtId="41" fontId="7" fillId="3" borderId="3" xfId="2" applyNumberFormat="1" applyFont="1" applyFill="1" applyBorder="1" applyAlignment="1"/>
    <xf numFmtId="0" fontId="9" fillId="0" borderId="3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49" fontId="13" fillId="3" borderId="0" xfId="3" applyNumberFormat="1" applyFont="1" applyFill="1" applyAlignment="1">
      <alignment horizontal="left" indent="1"/>
    </xf>
    <xf numFmtId="0" fontId="7" fillId="3" borderId="3" xfId="3" applyFont="1" applyFill="1" applyBorder="1" applyAlignment="1">
      <alignment vertical="center"/>
    </xf>
    <xf numFmtId="49" fontId="13" fillId="3" borderId="3" xfId="3" applyNumberFormat="1" applyFont="1" applyFill="1" applyBorder="1" applyAlignment="1">
      <alignment horizontal="left" indent="1"/>
    </xf>
    <xf numFmtId="0" fontId="8" fillId="0" borderId="3" xfId="0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0" borderId="0" xfId="6" applyFont="1" applyAlignment="1">
      <alignment horizontal="left" vertical="center"/>
    </xf>
    <xf numFmtId="41" fontId="9" fillId="0" borderId="0" xfId="7" applyNumberFormat="1" applyFont="1" applyAlignment="1">
      <alignment vertical="center"/>
    </xf>
    <xf numFmtId="41" fontId="9" fillId="0" borderId="0" xfId="2" applyNumberFormat="1" applyFont="1" applyFill="1" applyBorder="1" applyAlignment="1">
      <alignment horizontal="right" vertical="center"/>
    </xf>
    <xf numFmtId="41" fontId="9" fillId="2" borderId="0" xfId="7" applyNumberFormat="1" applyFont="1" applyFill="1" applyAlignment="1">
      <alignment vertical="center"/>
    </xf>
    <xf numFmtId="41" fontId="7" fillId="0" borderId="0" xfId="7" applyNumberFormat="1" applyFont="1" applyAlignment="1">
      <alignment vertical="center"/>
    </xf>
    <xf numFmtId="49" fontId="7" fillId="0" borderId="0" xfId="7" applyNumberFormat="1" applyFont="1" applyAlignment="1">
      <alignment horizontal="left"/>
    </xf>
    <xf numFmtId="41" fontId="7" fillId="0" borderId="0" xfId="2" applyNumberFormat="1" applyFont="1" applyFill="1" applyAlignment="1">
      <alignment horizontal="right" vertical="center"/>
    </xf>
    <xf numFmtId="41" fontId="7" fillId="0" borderId="0" xfId="2" applyNumberFormat="1" applyFont="1" applyFill="1" applyBorder="1" applyAlignment="1">
      <alignment horizontal="right" vertical="center"/>
    </xf>
    <xf numFmtId="41" fontId="9" fillId="2" borderId="0" xfId="2" applyNumberFormat="1" applyFont="1" applyFill="1" applyAlignment="1">
      <alignment horizontal="right" vertical="center"/>
    </xf>
    <xf numFmtId="41" fontId="7" fillId="0" borderId="0" xfId="2" applyNumberFormat="1" applyFont="1" applyAlignment="1">
      <alignment horizontal="right" vertical="center"/>
    </xf>
    <xf numFmtId="41" fontId="7" fillId="3" borderId="0" xfId="0" applyNumberFormat="1" applyFont="1" applyFill="1" applyAlignment="1">
      <alignment vertical="center"/>
    </xf>
    <xf numFmtId="0" fontId="9" fillId="0" borderId="5" xfId="6" applyFont="1" applyBorder="1" applyAlignment="1">
      <alignment horizontal="left" vertical="center"/>
    </xf>
    <xf numFmtId="41" fontId="9" fillId="0" borderId="5" xfId="2" applyNumberFormat="1" applyFont="1" applyFill="1" applyBorder="1" applyAlignment="1">
      <alignment horizontal="right" vertical="center"/>
    </xf>
    <xf numFmtId="41" fontId="9" fillId="2" borderId="5" xfId="2" applyNumberFormat="1" applyFont="1" applyFill="1" applyBorder="1" applyAlignment="1">
      <alignment horizontal="right" vertical="center"/>
    </xf>
    <xf numFmtId="41" fontId="9" fillId="0" borderId="5" xfId="2" applyNumberFormat="1" applyFont="1" applyBorder="1" applyAlignment="1">
      <alignment horizontal="right" vertical="center"/>
    </xf>
    <xf numFmtId="41" fontId="9" fillId="0" borderId="0" xfId="6" applyNumberFormat="1" applyFont="1" applyAlignment="1">
      <alignment horizontal="right" vertical="center"/>
    </xf>
    <xf numFmtId="41" fontId="7" fillId="0" borderId="0" xfId="6" applyNumberFormat="1" applyFont="1" applyAlignment="1">
      <alignment horizontal="right" vertical="center"/>
    </xf>
    <xf numFmtId="41" fontId="9" fillId="2" borderId="0" xfId="6" applyNumberFormat="1" applyFont="1" applyFill="1" applyAlignment="1">
      <alignment horizontal="right" vertical="center"/>
    </xf>
    <xf numFmtId="41" fontId="9" fillId="2" borderId="0" xfId="6" applyNumberFormat="1" applyFont="1" applyFill="1" applyAlignment="1">
      <alignment vertical="center"/>
    </xf>
    <xf numFmtId="41" fontId="7" fillId="0" borderId="0" xfId="6" applyNumberFormat="1" applyFont="1" applyAlignment="1">
      <alignment vertical="center"/>
    </xf>
    <xf numFmtId="41" fontId="7" fillId="3" borderId="0" xfId="2" applyNumberFormat="1" applyFont="1" applyFill="1" applyAlignment="1"/>
    <xf numFmtId="41" fontId="9" fillId="2" borderId="0" xfId="2" applyNumberFormat="1" applyFont="1" applyFill="1" applyAlignment="1"/>
    <xf numFmtId="0" fontId="7" fillId="0" borderId="0" xfId="6" applyFont="1" applyAlignment="1">
      <alignment horizontal="left" vertical="center"/>
    </xf>
    <xf numFmtId="41" fontId="9" fillId="2" borderId="0" xfId="2" applyNumberFormat="1" applyFont="1" applyFill="1" applyBorder="1" applyAlignment="1">
      <alignment horizontal="right" vertical="center"/>
    </xf>
    <xf numFmtId="41" fontId="9" fillId="0" borderId="0" xfId="2" applyNumberFormat="1" applyFont="1" applyBorder="1" applyAlignment="1">
      <alignment horizontal="right" vertical="center"/>
    </xf>
    <xf numFmtId="0" fontId="9" fillId="0" borderId="6" xfId="6" applyFont="1" applyBorder="1" applyAlignment="1">
      <alignment horizontal="left" vertical="center"/>
    </xf>
    <xf numFmtId="41" fontId="9" fillId="0" borderId="6" xfId="2" applyNumberFormat="1" applyFont="1" applyBorder="1" applyAlignment="1">
      <alignment horizontal="right" vertical="center"/>
    </xf>
    <xf numFmtId="41" fontId="9" fillId="0" borderId="6" xfId="2" applyNumberFormat="1" applyFont="1" applyFill="1" applyBorder="1" applyAlignment="1">
      <alignment horizontal="right" vertical="center"/>
    </xf>
    <xf numFmtId="41" fontId="9" fillId="2" borderId="6" xfId="2" applyNumberFormat="1" applyFont="1" applyFill="1" applyBorder="1" applyAlignment="1">
      <alignment horizontal="right" vertical="center"/>
    </xf>
    <xf numFmtId="0" fontId="7" fillId="3" borderId="0" xfId="3" applyFont="1" applyFill="1" applyAlignment="1">
      <alignment horizontal="left"/>
    </xf>
    <xf numFmtId="49" fontId="3" fillId="0" borderId="0" xfId="7" applyNumberFormat="1" applyFont="1" applyAlignment="1">
      <alignment horizontal="left"/>
    </xf>
    <xf numFmtId="49" fontId="7" fillId="0" borderId="0" xfId="3" applyNumberFormat="1" applyFont="1" applyAlignment="1">
      <alignment horizontal="left" vertical="center" indent="1"/>
    </xf>
    <xf numFmtId="0" fontId="9" fillId="0" borderId="0" xfId="0" applyFont="1" applyAlignment="1">
      <alignment horizontal="right" vertical="center"/>
    </xf>
    <xf numFmtId="41" fontId="7" fillId="0" borderId="0" xfId="2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0" fontId="0" fillId="3" borderId="0" xfId="0" applyFill="1"/>
    <xf numFmtId="0" fontId="7" fillId="0" borderId="0" xfId="0" applyFont="1" applyAlignment="1">
      <alignment horizontal="left" indent="2"/>
    </xf>
    <xf numFmtId="41" fontId="0" fillId="3" borderId="0" xfId="0" applyNumberFormat="1" applyFill="1"/>
    <xf numFmtId="41" fontId="7" fillId="0" borderId="0" xfId="2" applyNumberFormat="1" applyFont="1" applyFill="1" applyBorder="1" applyAlignment="1">
      <alignment vertical="center"/>
    </xf>
    <xf numFmtId="41" fontId="9" fillId="0" borderId="4" xfId="2" applyNumberFormat="1" applyFont="1" applyBorder="1" applyAlignment="1">
      <alignment vertical="center"/>
    </xf>
    <xf numFmtId="41" fontId="9" fillId="2" borderId="4" xfId="2" applyNumberFormat="1" applyFont="1" applyFill="1" applyBorder="1" applyAlignment="1">
      <alignment vertical="center"/>
    </xf>
    <xf numFmtId="0" fontId="1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2"/>
    </xf>
    <xf numFmtId="49" fontId="7" fillId="0" borderId="0" xfId="0" applyNumberFormat="1" applyFont="1" applyAlignment="1">
      <alignment horizontal="left" indent="2"/>
    </xf>
    <xf numFmtId="49" fontId="7" fillId="0" borderId="0" xfId="0" applyNumberFormat="1" applyFont="1" applyAlignment="1">
      <alignment horizontal="right" indent="2"/>
    </xf>
    <xf numFmtId="41" fontId="7" fillId="0" borderId="5" xfId="2" applyNumberFormat="1" applyFont="1" applyBorder="1" applyAlignment="1">
      <alignment vertical="center"/>
    </xf>
    <xf numFmtId="41" fontId="7" fillId="0" borderId="5" xfId="2" applyNumberFormat="1" applyFont="1" applyFill="1" applyBorder="1" applyAlignment="1">
      <alignment vertical="center"/>
    </xf>
    <xf numFmtId="41" fontId="9" fillId="2" borderId="5" xfId="2" applyNumberFormat="1" applyFont="1" applyFill="1" applyBorder="1" applyAlignment="1">
      <alignment vertical="center"/>
    </xf>
    <xf numFmtId="0" fontId="16" fillId="0" borderId="0" xfId="0" applyFont="1" applyAlignment="1">
      <alignment horizontal="left" indent="1"/>
    </xf>
    <xf numFmtId="41" fontId="7" fillId="3" borderId="0" xfId="0" applyNumberFormat="1" applyFont="1" applyFill="1"/>
    <xf numFmtId="0" fontId="7" fillId="0" borderId="0" xfId="0" applyFont="1" applyAlignment="1">
      <alignment horizontal="right" indent="2"/>
    </xf>
    <xf numFmtId="41" fontId="7" fillId="0" borderId="0" xfId="2" applyNumberFormat="1" applyFont="1" applyFill="1" applyAlignment="1">
      <alignment horizontal="left" vertical="center" indent="1"/>
    </xf>
    <xf numFmtId="41" fontId="9" fillId="2" borderId="0" xfId="2" applyNumberFormat="1" applyFont="1" applyFill="1" applyAlignment="1">
      <alignment horizontal="left" vertical="center" indent="1"/>
    </xf>
    <xf numFmtId="41" fontId="7" fillId="0" borderId="1" xfId="2" applyNumberFormat="1" applyFont="1" applyBorder="1" applyAlignment="1">
      <alignment vertical="center"/>
    </xf>
    <xf numFmtId="41" fontId="7" fillId="0" borderId="1" xfId="2" applyNumberFormat="1" applyFont="1" applyFill="1" applyBorder="1" applyAlignment="1">
      <alignment vertical="center"/>
    </xf>
    <xf numFmtId="41" fontId="9" fillId="2" borderId="1" xfId="2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0" fontId="0" fillId="0" borderId="3" xfId="0" applyBorder="1"/>
    <xf numFmtId="41" fontId="7" fillId="0" borderId="2" xfId="0" applyNumberFormat="1" applyFont="1" applyBorder="1"/>
    <xf numFmtId="41" fontId="9" fillId="2" borderId="2" xfId="0" applyNumberFormat="1" applyFont="1" applyFill="1" applyBorder="1"/>
    <xf numFmtId="0" fontId="7" fillId="0" borderId="1" xfId="0" applyFont="1" applyBorder="1" applyAlignment="1">
      <alignment horizontal="left" vertical="center"/>
    </xf>
    <xf numFmtId="0" fontId="4" fillId="0" borderId="0" xfId="0" applyFont="1"/>
    <xf numFmtId="0" fontId="6" fillId="0" borderId="0" xfId="0" applyFont="1"/>
    <xf numFmtId="49" fontId="6" fillId="0" borderId="1" xfId="0" applyNumberFormat="1" applyFont="1" applyBorder="1" applyAlignment="1">
      <alignment horizontal="left" vertical="top"/>
    </xf>
    <xf numFmtId="0" fontId="8" fillId="2" borderId="1" xfId="0" applyFont="1" applyFill="1" applyBorder="1" applyAlignment="1">
      <alignment horizontal="right" vertical="center"/>
    </xf>
    <xf numFmtId="41" fontId="7" fillId="3" borderId="3" xfId="0" applyNumberFormat="1" applyFont="1" applyFill="1" applyBorder="1" applyAlignment="1">
      <alignment vertical="center"/>
    </xf>
    <xf numFmtId="0" fontId="4" fillId="2" borderId="3" xfId="0" applyFont="1" applyFill="1" applyBorder="1"/>
    <xf numFmtId="41" fontId="7" fillId="3" borderId="1" xfId="0" applyNumberFormat="1" applyFont="1" applyFill="1" applyBorder="1" applyAlignment="1">
      <alignment vertical="center"/>
    </xf>
    <xf numFmtId="0" fontId="17" fillId="0" borderId="4" xfId="0" applyFont="1" applyBorder="1" applyAlignment="1">
      <alignment horizontal="left" vertical="center"/>
    </xf>
    <xf numFmtId="41" fontId="9" fillId="3" borderId="4" xfId="8" applyNumberFormat="1" applyFont="1" applyFill="1" applyBorder="1" applyAlignment="1">
      <alignment horizontal="left" vertical="center"/>
    </xf>
    <xf numFmtId="41" fontId="9" fillId="3" borderId="4" xfId="0" applyNumberFormat="1" applyFont="1" applyFill="1" applyBorder="1" applyAlignment="1">
      <alignment vertical="center"/>
    </xf>
    <xf numFmtId="0" fontId="7" fillId="0" borderId="0" xfId="1" applyFont="1" applyAlignment="1">
      <alignment horizontal="left" indent="1"/>
    </xf>
    <xf numFmtId="0" fontId="9" fillId="0" borderId="1" xfId="1" applyFont="1" applyBorder="1" applyAlignment="1">
      <alignment horizontal="left" vertical="center"/>
    </xf>
    <xf numFmtId="0" fontId="9" fillId="0" borderId="0" xfId="1" applyFont="1" applyAlignment="1">
      <alignment horizontal="left"/>
    </xf>
    <xf numFmtId="41" fontId="9" fillId="0" borderId="0" xfId="1" applyNumberFormat="1" applyFont="1" applyAlignment="1">
      <alignment vertical="center"/>
    </xf>
    <xf numFmtId="41" fontId="9" fillId="0" borderId="0" xfId="0" applyNumberFormat="1" applyFont="1" applyAlignment="1">
      <alignment horizontal="left"/>
    </xf>
    <xf numFmtId="41" fontId="7" fillId="0" borderId="0" xfId="2" applyNumberFormat="1" applyFont="1" applyFill="1" applyAlignment="1"/>
    <xf numFmtId="0" fontId="7" fillId="0" borderId="0" xfId="9" applyFont="1" applyAlignment="1">
      <alignment horizontal="left" indent="1"/>
    </xf>
    <xf numFmtId="0" fontId="9" fillId="0" borderId="5" xfId="3" applyFont="1" applyBorder="1" applyAlignment="1">
      <alignment horizontal="left" vertical="center"/>
    </xf>
    <xf numFmtId="41" fontId="9" fillId="0" borderId="5" xfId="3" applyNumberFormat="1" applyFont="1" applyBorder="1" applyAlignment="1">
      <alignment horizontal="left" vertical="center"/>
    </xf>
    <xf numFmtId="41" fontId="9" fillId="2" borderId="5" xfId="3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indent="1"/>
    </xf>
    <xf numFmtId="0" fontId="9" fillId="0" borderId="5" xfId="0" applyFont="1" applyBorder="1" applyAlignment="1">
      <alignment horizontal="left" vertical="center"/>
    </xf>
    <xf numFmtId="41" fontId="9" fillId="0" borderId="5" xfId="2" applyNumberFormat="1" applyFont="1" applyFill="1" applyBorder="1" applyAlignment="1"/>
    <xf numFmtId="41" fontId="9" fillId="2" borderId="5" xfId="2" applyNumberFormat="1" applyFont="1" applyFill="1" applyBorder="1" applyAlignment="1"/>
    <xf numFmtId="167" fontId="2" fillId="0" borderId="0" xfId="2" applyNumberFormat="1"/>
    <xf numFmtId="0" fontId="7" fillId="0" borderId="1" xfId="0" applyFont="1" applyBorder="1" applyAlignment="1">
      <alignment horizontal="left"/>
    </xf>
    <xf numFmtId="9" fontId="9" fillId="0" borderId="0" xfId="4" applyFont="1" applyFill="1" applyBorder="1" applyAlignment="1">
      <alignment vertical="center"/>
    </xf>
    <xf numFmtId="41" fontId="9" fillId="0" borderId="0" xfId="4" applyNumberFormat="1" applyFont="1" applyFill="1" applyBorder="1" applyAlignment="1">
      <alignment vertical="center"/>
    </xf>
    <xf numFmtId="41" fontId="9" fillId="0" borderId="5" xfId="0" applyNumberFormat="1" applyFont="1" applyBorder="1" applyAlignment="1">
      <alignment horizontal="left" vertical="center"/>
    </xf>
    <xf numFmtId="41" fontId="9" fillId="0" borderId="4" xfId="0" applyNumberFormat="1" applyFont="1" applyBorder="1" applyAlignment="1">
      <alignment horizontal="left" vertical="center"/>
    </xf>
    <xf numFmtId="41" fontId="9" fillId="2" borderId="4" xfId="0" applyNumberFormat="1" applyFont="1" applyFill="1" applyBorder="1" applyAlignment="1">
      <alignment horizontal="left" vertical="center"/>
    </xf>
    <xf numFmtId="0" fontId="18" fillId="3" borderId="0" xfId="0" applyFont="1" applyFill="1" applyAlignment="1">
      <alignment vertical="center" wrapText="1"/>
    </xf>
    <xf numFmtId="41" fontId="19" fillId="0" borderId="0" xfId="0" applyNumberFormat="1" applyFont="1" applyAlignment="1">
      <alignment wrapText="1"/>
    </xf>
    <xf numFmtId="0" fontId="7" fillId="0" borderId="0" xfId="3" applyFont="1"/>
    <xf numFmtId="0" fontId="7" fillId="0" borderId="0" xfId="0" applyFont="1" applyAlignment="1">
      <alignment horizontal="right" vertical="center"/>
    </xf>
    <xf numFmtId="0" fontId="9" fillId="0" borderId="1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Alignment="1">
      <alignment horizontal="right" vertical="top"/>
    </xf>
    <xf numFmtId="0" fontId="9" fillId="2" borderId="0" xfId="0" applyFont="1" applyFill="1" applyAlignment="1">
      <alignment horizontal="right" vertical="center"/>
    </xf>
    <xf numFmtId="0" fontId="9" fillId="0" borderId="0" xfId="0" applyFont="1" applyAlignment="1">
      <alignment horizontal="left" wrapText="1"/>
    </xf>
    <xf numFmtId="0" fontId="0" fillId="0" borderId="0" xfId="0" applyAlignment="1">
      <alignment horizontal="left" indent="1"/>
    </xf>
    <xf numFmtId="41" fontId="7" fillId="0" borderId="0" xfId="0" applyNumberFormat="1" applyFont="1" applyAlignment="1">
      <alignment horizontal="left" indent="1"/>
    </xf>
    <xf numFmtId="0" fontId="9" fillId="0" borderId="0" xfId="0" applyFont="1" applyAlignment="1">
      <alignment horizontal="right"/>
    </xf>
    <xf numFmtId="41" fontId="9" fillId="0" borderId="3" xfId="0" applyNumberFormat="1" applyFont="1" applyBorder="1"/>
    <xf numFmtId="41" fontId="9" fillId="2" borderId="3" xfId="0" applyNumberFormat="1" applyFont="1" applyFill="1" applyBorder="1"/>
    <xf numFmtId="41" fontId="9" fillId="2" borderId="1" xfId="0" applyNumberFormat="1" applyFont="1" applyFill="1" applyBorder="1"/>
    <xf numFmtId="41" fontId="7" fillId="3" borderId="1" xfId="0" applyNumberFormat="1" applyFont="1" applyFill="1" applyBorder="1"/>
    <xf numFmtId="0" fontId="17" fillId="0" borderId="0" xfId="0" applyFont="1" applyAlignment="1">
      <alignment horizontal="right"/>
    </xf>
    <xf numFmtId="41" fontId="9" fillId="3" borderId="3" xfId="8" applyNumberFormat="1" applyFont="1" applyFill="1" applyBorder="1"/>
    <xf numFmtId="41" fontId="9" fillId="2" borderId="3" xfId="8" applyNumberFormat="1" applyFont="1" applyFill="1" applyBorder="1"/>
    <xf numFmtId="41" fontId="9" fillId="3" borderId="0" xfId="8" applyNumberFormat="1" applyFont="1" applyFill="1"/>
    <xf numFmtId="41" fontId="9" fillId="2" borderId="0" xfId="8" applyNumberFormat="1" applyFont="1" applyFill="1"/>
    <xf numFmtId="0" fontId="9" fillId="0" borderId="1" xfId="0" applyFont="1" applyBorder="1" applyAlignment="1">
      <alignment horizontal="right" wrapText="1"/>
    </xf>
    <xf numFmtId="41" fontId="9" fillId="3" borderId="5" xfId="8" applyNumberFormat="1" applyFont="1" applyFill="1" applyBorder="1"/>
    <xf numFmtId="41" fontId="9" fillId="0" borderId="5" xfId="8" applyNumberFormat="1" applyFont="1" applyBorder="1"/>
    <xf numFmtId="41" fontId="9" fillId="2" borderId="5" xfId="8" applyNumberFormat="1" applyFont="1" applyFill="1" applyBorder="1"/>
    <xf numFmtId="0" fontId="17" fillId="0" borderId="0" xfId="0" applyFont="1" applyAlignment="1">
      <alignment horizontal="left" vertical="center"/>
    </xf>
    <xf numFmtId="41" fontId="9" fillId="0" borderId="4" xfId="0" applyNumberFormat="1" applyFont="1" applyBorder="1"/>
    <xf numFmtId="41" fontId="9" fillId="2" borderId="4" xfId="0" applyNumberFormat="1" applyFont="1" applyFill="1" applyBorder="1"/>
    <xf numFmtId="0" fontId="19" fillId="0" borderId="0" xfId="0" applyFont="1"/>
    <xf numFmtId="0" fontId="3" fillId="0" borderId="0" xfId="3" applyFont="1" applyAlignment="1">
      <alignment horizontal="left"/>
    </xf>
    <xf numFmtId="0" fontId="7" fillId="0" borderId="0" xfId="3" applyFont="1" applyAlignment="1">
      <alignment horizontal="left"/>
    </xf>
    <xf numFmtId="0" fontId="7" fillId="0" borderId="0" xfId="3" applyFont="1" applyAlignment="1">
      <alignment horizontal="right" vertical="center"/>
    </xf>
    <xf numFmtId="0" fontId="9" fillId="0" borderId="0" xfId="0" applyFont="1"/>
    <xf numFmtId="0" fontId="9" fillId="2" borderId="0" xfId="3" applyFont="1" applyFill="1"/>
    <xf numFmtId="0" fontId="7" fillId="0" borderId="0" xfId="9" applyFont="1" applyAlignment="1">
      <alignment horizontal="left"/>
    </xf>
    <xf numFmtId="0" fontId="7" fillId="0" borderId="0" xfId="3" applyFont="1" applyAlignment="1">
      <alignment vertical="center"/>
    </xf>
    <xf numFmtId="0" fontId="7" fillId="0" borderId="0" xfId="9" applyFont="1"/>
    <xf numFmtId="41" fontId="9" fillId="0" borderId="0" xfId="3" applyNumberFormat="1" applyFont="1" applyAlignment="1">
      <alignment horizontal="right" vertical="center"/>
    </xf>
    <xf numFmtId="0" fontId="7" fillId="0" borderId="0" xfId="3" applyFont="1" applyAlignment="1">
      <alignment horizontal="left" vertical="center" indent="2"/>
    </xf>
    <xf numFmtId="0" fontId="7" fillId="0" borderId="0" xfId="3" applyFont="1" applyAlignment="1">
      <alignment horizontal="left" indent="2"/>
    </xf>
    <xf numFmtId="0" fontId="9" fillId="0" borderId="4" xfId="3" applyFont="1" applyBorder="1" applyAlignment="1">
      <alignment horizontal="left" vertical="center"/>
    </xf>
    <xf numFmtId="0" fontId="9" fillId="0" borderId="0" xfId="3" applyFont="1"/>
    <xf numFmtId="0" fontId="12" fillId="0" borderId="0" xfId="3" applyFont="1"/>
    <xf numFmtId="0" fontId="9" fillId="0" borderId="0" xfId="3" applyFont="1" applyAlignment="1">
      <alignment horizontal="right"/>
    </xf>
    <xf numFmtId="168" fontId="7" fillId="0" borderId="0" xfId="0" applyNumberFormat="1" applyFont="1"/>
    <xf numFmtId="0" fontId="7" fillId="0" borderId="12" xfId="3" applyFont="1" applyBorder="1"/>
    <xf numFmtId="0" fontId="3" fillId="3" borderId="0" xfId="8" applyFont="1" applyFill="1" applyAlignment="1">
      <alignment horizontal="left"/>
    </xf>
    <xf numFmtId="0" fontId="7" fillId="3" borderId="0" xfId="8" applyFont="1" applyFill="1" applyAlignment="1">
      <alignment horizontal="left"/>
    </xf>
    <xf numFmtId="0" fontId="11" fillId="0" borderId="0" xfId="3" applyFont="1"/>
    <xf numFmtId="49" fontId="9" fillId="0" borderId="1" xfId="0" applyNumberFormat="1" applyFont="1" applyBorder="1" applyAlignment="1">
      <alignment horizontal="right" vertical="center"/>
    </xf>
    <xf numFmtId="0" fontId="7" fillId="3" borderId="0" xfId="8" applyFont="1" applyFill="1"/>
    <xf numFmtId="0" fontId="9" fillId="3" borderId="4" xfId="8" applyFont="1" applyFill="1" applyBorder="1" applyAlignment="1">
      <alignment horizontal="left" vertical="center"/>
    </xf>
    <xf numFmtId="41" fontId="9" fillId="0" borderId="4" xfId="8" applyNumberFormat="1" applyFont="1" applyBorder="1" applyAlignment="1">
      <alignment horizontal="left" vertical="center"/>
    </xf>
    <xf numFmtId="41" fontId="9" fillId="2" borderId="4" xfId="8" applyNumberFormat="1" applyFont="1" applyFill="1" applyBorder="1" applyAlignment="1">
      <alignment horizontal="right" vertical="center"/>
    </xf>
    <xf numFmtId="41" fontId="9" fillId="3" borderId="4" xfId="8" applyNumberFormat="1" applyFont="1" applyFill="1" applyBorder="1" applyAlignment="1">
      <alignment horizontal="right" vertical="center"/>
    </xf>
    <xf numFmtId="0" fontId="18" fillId="0" borderId="0" xfId="3" applyFont="1" applyAlignment="1">
      <alignment vertical="center"/>
    </xf>
    <xf numFmtId="41" fontId="18" fillId="0" borderId="0" xfId="0" applyNumberFormat="1" applyFont="1"/>
    <xf numFmtId="0" fontId="8" fillId="3" borderId="1" xfId="0" applyFont="1" applyFill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41" fontId="7" fillId="3" borderId="0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13" xfId="0" applyFont="1" applyBorder="1" applyAlignment="1">
      <alignment horizontal="left"/>
    </xf>
    <xf numFmtId="41" fontId="7" fillId="0" borderId="13" xfId="2" applyNumberFormat="1" applyFont="1" applyBorder="1" applyAlignment="1">
      <alignment vertical="center"/>
    </xf>
    <xf numFmtId="41" fontId="7" fillId="3" borderId="13" xfId="2" applyNumberFormat="1" applyFont="1" applyFill="1" applyBorder="1" applyAlignment="1">
      <alignment vertical="center"/>
    </xf>
    <xf numFmtId="41" fontId="9" fillId="2" borderId="13" xfId="2" applyNumberFormat="1" applyFont="1" applyFill="1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41" fontId="9" fillId="0" borderId="14" xfId="2" applyNumberFormat="1" applyFont="1" applyBorder="1" applyAlignment="1">
      <alignment vertical="center"/>
    </xf>
    <xf numFmtId="41" fontId="9" fillId="3" borderId="14" xfId="2" applyNumberFormat="1" applyFont="1" applyFill="1" applyBorder="1" applyAlignment="1">
      <alignment vertical="center"/>
    </xf>
    <xf numFmtId="41" fontId="9" fillId="2" borderId="14" xfId="2" applyNumberFormat="1" applyFont="1" applyFill="1" applyBorder="1" applyAlignment="1">
      <alignment vertical="center"/>
    </xf>
    <xf numFmtId="0" fontId="12" fillId="0" borderId="0" xfId="0" applyFont="1"/>
    <xf numFmtId="0" fontId="9" fillId="2" borderId="0" xfId="0" applyFont="1" applyFill="1"/>
    <xf numFmtId="41" fontId="7" fillId="0" borderId="0" xfId="2" applyNumberFormat="1" applyFont="1" applyAlignment="1"/>
    <xf numFmtId="0" fontId="0" fillId="0" borderId="0" xfId="0" applyAlignment="1">
      <alignment vertical="center"/>
    </xf>
    <xf numFmtId="0" fontId="3" fillId="0" borderId="0" xfId="10" applyFont="1"/>
    <xf numFmtId="0" fontId="7" fillId="0" borderId="0" xfId="9" applyFont="1" applyAlignment="1">
      <alignment horizontal="left" vertical="center"/>
    </xf>
    <xf numFmtId="41" fontId="7" fillId="0" borderId="0" xfId="9" applyNumberFormat="1" applyFont="1" applyAlignment="1">
      <alignment horizontal="left"/>
    </xf>
    <xf numFmtId="41" fontId="9" fillId="2" borderId="0" xfId="9" applyNumberFormat="1" applyFont="1" applyFill="1" applyAlignment="1">
      <alignment horizontal="left"/>
    </xf>
    <xf numFmtId="41" fontId="9" fillId="0" borderId="15" xfId="2" applyNumberFormat="1" applyFont="1" applyFill="1" applyBorder="1" applyAlignment="1">
      <alignment vertical="center"/>
    </xf>
    <xf numFmtId="41" fontId="7" fillId="0" borderId="0" xfId="9" applyNumberFormat="1" applyFont="1" applyAlignment="1">
      <alignment horizontal="left" vertical="center"/>
    </xf>
    <xf numFmtId="41" fontId="9" fillId="2" borderId="0" xfId="9" applyNumberFormat="1" applyFont="1" applyFill="1" applyAlignment="1">
      <alignment horizontal="left" vertical="center"/>
    </xf>
    <xf numFmtId="0" fontId="8" fillId="2" borderId="3" xfId="0" applyFont="1" applyFill="1" applyBorder="1" applyAlignment="1">
      <alignment horizontal="right" vertical="top"/>
    </xf>
    <xf numFmtId="0" fontId="8" fillId="0" borderId="3" xfId="0" applyFont="1" applyBorder="1" applyAlignment="1">
      <alignment horizontal="right" vertical="top"/>
    </xf>
    <xf numFmtId="49" fontId="7" fillId="0" borderId="0" xfId="7" applyNumberFormat="1" applyFont="1" applyAlignment="1">
      <alignment horizontal="left" vertical="center" indent="1"/>
    </xf>
    <xf numFmtId="41" fontId="9" fillId="0" borderId="4" xfId="8" applyNumberFormat="1" applyFont="1" applyBorder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41" fontId="9" fillId="2" borderId="4" xfId="8" applyNumberFormat="1" applyFont="1" applyFill="1" applyBorder="1" applyAlignment="1">
      <alignment horizontal="left" vertical="center"/>
    </xf>
    <xf numFmtId="41" fontId="9" fillId="3" borderId="0" xfId="8" applyNumberFormat="1" applyFont="1" applyFill="1" applyAlignment="1">
      <alignment horizontal="right" vertical="center"/>
    </xf>
    <xf numFmtId="0" fontId="0" fillId="0" borderId="16" xfId="0" applyBorder="1"/>
    <xf numFmtId="49" fontId="3" fillId="3" borderId="0" xfId="11" applyNumberFormat="1" applyFont="1" applyFill="1" applyAlignment="1">
      <alignment horizontal="left"/>
    </xf>
    <xf numFmtId="0" fontId="23" fillId="3" borderId="0" xfId="11" applyFill="1"/>
    <xf numFmtId="49" fontId="4" fillId="3" borderId="1" xfId="11" applyNumberFormat="1" applyFont="1" applyFill="1" applyBorder="1" applyAlignment="1">
      <alignment horizontal="left"/>
    </xf>
    <xf numFmtId="41" fontId="7" fillId="3" borderId="0" xfId="12" applyNumberFormat="1" applyFont="1" applyFill="1" applyBorder="1" applyAlignment="1">
      <alignment horizontal="right" vertical="center"/>
    </xf>
    <xf numFmtId="0" fontId="7" fillId="3" borderId="0" xfId="11" applyFont="1" applyFill="1" applyAlignment="1">
      <alignment horizontal="left" vertical="center"/>
    </xf>
    <xf numFmtId="41" fontId="7" fillId="0" borderId="0" xfId="12" applyNumberFormat="1" applyFont="1" applyFill="1" applyBorder="1" applyAlignment="1">
      <alignment horizontal="right" vertical="center"/>
    </xf>
    <xf numFmtId="41" fontId="9" fillId="2" borderId="0" xfId="12" applyNumberFormat="1" applyFont="1" applyFill="1" applyBorder="1" applyAlignment="1">
      <alignment horizontal="right" vertical="center"/>
    </xf>
    <xf numFmtId="0" fontId="12" fillId="3" borderId="0" xfId="0" applyFont="1" applyFill="1"/>
    <xf numFmtId="49" fontId="18" fillId="3" borderId="0" xfId="11" applyNumberFormat="1" applyFont="1" applyFill="1" applyAlignment="1">
      <alignment horizontal="left" vertical="center"/>
    </xf>
    <xf numFmtId="41" fontId="9" fillId="3" borderId="5" xfId="12" applyNumberFormat="1" applyFont="1" applyFill="1" applyBorder="1" applyAlignment="1">
      <alignment horizontal="left" vertical="center"/>
    </xf>
    <xf numFmtId="41" fontId="9" fillId="3" borderId="0" xfId="12" applyNumberFormat="1" applyFont="1" applyFill="1" applyBorder="1" applyAlignment="1">
      <alignment horizontal="left" vertical="center"/>
    </xf>
    <xf numFmtId="0" fontId="0" fillId="3" borderId="0" xfId="0" applyFill="1" applyAlignment="1">
      <alignment vertical="center"/>
    </xf>
    <xf numFmtId="41" fontId="0" fillId="3" borderId="0" xfId="0" applyNumberFormat="1" applyFill="1" applyAlignment="1">
      <alignment vertical="center"/>
    </xf>
    <xf numFmtId="49" fontId="3" fillId="0" borderId="0" xfId="3" applyNumberFormat="1" applyFont="1" applyAlignment="1">
      <alignment horizontal="left"/>
    </xf>
    <xf numFmtId="41" fontId="9" fillId="0" borderId="0" xfId="3" applyNumberFormat="1" applyFont="1"/>
    <xf numFmtId="49" fontId="6" fillId="0" borderId="0" xfId="3" applyNumberFormat="1" applyFont="1" applyAlignment="1">
      <alignment horizontal="left"/>
    </xf>
    <xf numFmtId="0" fontId="2" fillId="0" borderId="0" xfId="3"/>
    <xf numFmtId="49" fontId="7" fillId="0" borderId="0" xfId="3" applyNumberFormat="1" applyFont="1" applyAlignment="1">
      <alignment horizontal="right" vertical="center"/>
    </xf>
    <xf numFmtId="0" fontId="2" fillId="0" borderId="1" xfId="3" applyBorder="1" applyProtection="1">
      <protection locked="0"/>
    </xf>
    <xf numFmtId="49" fontId="9" fillId="0" borderId="1" xfId="3" applyNumberFormat="1" applyFont="1" applyBorder="1" applyAlignment="1">
      <alignment horizontal="right" vertical="top"/>
    </xf>
    <xf numFmtId="49" fontId="9" fillId="3" borderId="1" xfId="3" applyNumberFormat="1" applyFont="1" applyFill="1" applyBorder="1" applyAlignment="1">
      <alignment horizontal="right" vertical="top"/>
    </xf>
    <xf numFmtId="49" fontId="9" fillId="2" borderId="1" xfId="3" applyNumberFormat="1" applyFont="1" applyFill="1" applyBorder="1" applyAlignment="1">
      <alignment horizontal="right" vertical="top"/>
    </xf>
    <xf numFmtId="41" fontId="9" fillId="0" borderId="5" xfId="2" applyNumberFormat="1" applyFont="1" applyBorder="1" applyAlignment="1">
      <alignment vertical="center"/>
    </xf>
    <xf numFmtId="41" fontId="9" fillId="3" borderId="5" xfId="2" applyNumberFormat="1" applyFont="1" applyFill="1" applyBorder="1" applyAlignment="1">
      <alignment vertical="center"/>
    </xf>
    <xf numFmtId="41" fontId="9" fillId="0" borderId="5" xfId="2" applyNumberFormat="1" applyFont="1" applyFill="1" applyBorder="1" applyAlignment="1">
      <alignment vertical="center"/>
    </xf>
    <xf numFmtId="49" fontId="9" fillId="3" borderId="4" xfId="11" applyNumberFormat="1" applyFont="1" applyFill="1" applyBorder="1" applyAlignment="1">
      <alignment horizontal="left" vertical="center"/>
    </xf>
    <xf numFmtId="41" fontId="9" fillId="3" borderId="4" xfId="12" applyNumberFormat="1" applyFont="1" applyFill="1" applyBorder="1" applyAlignment="1">
      <alignment horizontal="left" vertical="center"/>
    </xf>
    <xf numFmtId="41" fontId="9" fillId="2" borderId="4" xfId="12" applyNumberFormat="1" applyFont="1" applyFill="1" applyBorder="1" applyAlignment="1">
      <alignment horizontal="left" vertical="center"/>
    </xf>
    <xf numFmtId="0" fontId="20" fillId="0" borderId="0" xfId="3" applyFont="1" applyAlignment="1">
      <alignment horizontal="left"/>
    </xf>
    <xf numFmtId="0" fontId="12" fillId="0" borderId="0" xfId="3" applyFont="1" applyAlignment="1">
      <alignment horizontal="left"/>
    </xf>
    <xf numFmtId="41" fontId="7" fillId="0" borderId="0" xfId="13" applyNumberFormat="1" applyFont="1" applyFill="1" applyAlignment="1">
      <alignment vertical="center"/>
    </xf>
    <xf numFmtId="41" fontId="7" fillId="0" borderId="0" xfId="13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1" fontId="9" fillId="3" borderId="0" xfId="0" applyNumberFormat="1" applyFont="1" applyFill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49" fontId="7" fillId="0" borderId="1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left"/>
    </xf>
    <xf numFmtId="41" fontId="7" fillId="0" borderId="0" xfId="2" applyNumberFormat="1" applyFont="1" applyBorder="1" applyAlignment="1"/>
    <xf numFmtId="49" fontId="7" fillId="0" borderId="0" xfId="0" applyNumberFormat="1" applyFont="1" applyAlignment="1">
      <alignment horizontal="left" indent="1"/>
    </xf>
    <xf numFmtId="41" fontId="7" fillId="0" borderId="0" xfId="2" applyNumberFormat="1" applyFont="1" applyFill="1"/>
    <xf numFmtId="41" fontId="7" fillId="0" borderId="0" xfId="2" applyNumberFormat="1" applyFont="1"/>
    <xf numFmtId="41" fontId="7" fillId="3" borderId="0" xfId="2" applyNumberFormat="1" applyFont="1" applyFill="1" applyBorder="1"/>
    <xf numFmtId="41" fontId="9" fillId="2" borderId="0" xfId="2" applyNumberFormat="1" applyFont="1" applyFill="1"/>
    <xf numFmtId="41" fontId="7" fillId="0" borderId="1" xfId="0" applyNumberFormat="1" applyFont="1" applyBorder="1"/>
    <xf numFmtId="0" fontId="9" fillId="0" borderId="5" xfId="0" applyFont="1" applyBorder="1" applyAlignment="1">
      <alignment vertical="center"/>
    </xf>
    <xf numFmtId="41" fontId="9" fillId="3" borderId="5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41" fontId="9" fillId="3" borderId="0" xfId="0" applyNumberFormat="1" applyFont="1" applyFill="1"/>
    <xf numFmtId="49" fontId="7" fillId="3" borderId="0" xfId="0" applyNumberFormat="1" applyFont="1" applyFill="1" applyAlignment="1">
      <alignment horizontal="left" indent="1"/>
    </xf>
    <xf numFmtId="0" fontId="7" fillId="3" borderId="0" xfId="0" applyFont="1" applyFill="1" applyAlignment="1">
      <alignment horizontal="left" indent="1"/>
    </xf>
    <xf numFmtId="0" fontId="9" fillId="0" borderId="4" xfId="0" applyFont="1" applyBorder="1" applyAlignment="1">
      <alignment vertical="center"/>
    </xf>
    <xf numFmtId="49" fontId="7" fillId="0" borderId="0" xfId="0" applyNumberFormat="1" applyFont="1" applyAlignment="1">
      <alignment horizontal="left" vertical="center" indent="1"/>
    </xf>
    <xf numFmtId="41" fontId="9" fillId="2" borderId="17" xfId="3" applyNumberFormat="1" applyFont="1" applyFill="1" applyBorder="1" applyAlignment="1">
      <alignment horizontal="right" vertical="center"/>
    </xf>
    <xf numFmtId="0" fontId="9" fillId="0" borderId="0" xfId="3" applyFont="1" applyAlignment="1">
      <alignment horizontal="right" vertical="center"/>
    </xf>
    <xf numFmtId="0" fontId="9" fillId="0" borderId="1" xfId="3" applyFont="1" applyBorder="1" applyAlignment="1">
      <alignment horizontal="left"/>
    </xf>
    <xf numFmtId="41" fontId="9" fillId="0" borderId="1" xfId="0" applyNumberFormat="1" applyFont="1" applyBorder="1" applyAlignment="1">
      <alignment horizontal="right" vertical="top"/>
    </xf>
    <xf numFmtId="41" fontId="9" fillId="2" borderId="18" xfId="3" applyNumberFormat="1" applyFont="1" applyFill="1" applyBorder="1" applyAlignment="1">
      <alignment horizontal="right" vertical="top"/>
    </xf>
    <xf numFmtId="41" fontId="9" fillId="0" borderId="1" xfId="3" applyNumberFormat="1" applyFont="1" applyBorder="1" applyAlignment="1">
      <alignment horizontal="right" vertical="top"/>
    </xf>
    <xf numFmtId="0" fontId="9" fillId="0" borderId="0" xfId="3" applyFont="1" applyAlignment="1">
      <alignment horizontal="left"/>
    </xf>
    <xf numFmtId="41" fontId="9" fillId="0" borderId="0" xfId="0" applyNumberFormat="1" applyFont="1" applyAlignment="1">
      <alignment horizontal="right" vertical="center"/>
    </xf>
    <xf numFmtId="41" fontId="9" fillId="2" borderId="19" xfId="2" applyNumberFormat="1" applyFont="1" applyFill="1" applyBorder="1" applyAlignment="1">
      <alignment vertical="center"/>
    </xf>
    <xf numFmtId="0" fontId="9" fillId="0" borderId="0" xfId="3" applyFont="1" applyAlignment="1">
      <alignment horizontal="left" vertical="center"/>
    </xf>
    <xf numFmtId="41" fontId="9" fillId="2" borderId="17" xfId="2" applyNumberFormat="1" applyFont="1" applyFill="1" applyBorder="1" applyAlignment="1">
      <alignment vertical="center"/>
    </xf>
    <xf numFmtId="0" fontId="7" fillId="0" borderId="1" xfId="9" applyFont="1" applyBorder="1" applyAlignment="1">
      <alignment horizontal="left" indent="1"/>
    </xf>
    <xf numFmtId="41" fontId="9" fillId="2" borderId="18" xfId="3" applyNumberFormat="1" applyFont="1" applyFill="1" applyBorder="1" applyAlignment="1">
      <alignment horizontal="right" vertical="center"/>
    </xf>
    <xf numFmtId="0" fontId="7" fillId="0" borderId="3" xfId="3" applyFont="1" applyBorder="1" applyAlignment="1">
      <alignment horizontal="left" vertical="center" indent="1"/>
    </xf>
    <xf numFmtId="41" fontId="7" fillId="0" borderId="3" xfId="2" applyNumberFormat="1" applyFont="1" applyBorder="1" applyAlignment="1">
      <alignment vertical="center"/>
    </xf>
    <xf numFmtId="41" fontId="9" fillId="2" borderId="20" xfId="3" applyNumberFormat="1" applyFont="1" applyFill="1" applyBorder="1" applyAlignment="1">
      <alignment horizontal="right" vertical="center"/>
    </xf>
    <xf numFmtId="0" fontId="9" fillId="0" borderId="6" xfId="3" applyFont="1" applyBorder="1" applyAlignment="1">
      <alignment horizontal="left" vertical="center"/>
    </xf>
    <xf numFmtId="41" fontId="9" fillId="3" borderId="6" xfId="12" applyNumberFormat="1" applyFont="1" applyFill="1" applyBorder="1" applyAlignment="1">
      <alignment horizontal="left" vertical="center"/>
    </xf>
    <xf numFmtId="41" fontId="9" fillId="2" borderId="21" xfId="2" applyNumberFormat="1" applyFont="1" applyFill="1" applyBorder="1" applyAlignment="1">
      <alignment vertical="center"/>
    </xf>
    <xf numFmtId="0" fontId="9" fillId="0" borderId="0" xfId="3" applyFont="1" applyAlignment="1">
      <alignment vertical="center"/>
    </xf>
    <xf numFmtId="41" fontId="7" fillId="0" borderId="0" xfId="0" applyNumberFormat="1" applyFont="1" applyAlignment="1">
      <alignment horizontal="right"/>
    </xf>
    <xf numFmtId="41" fontId="7" fillId="0" borderId="0" xfId="2" applyNumberFormat="1" applyFont="1" applyBorder="1" applyAlignment="1">
      <alignment horizontal="right" vertical="center"/>
    </xf>
    <xf numFmtId="0" fontId="4" fillId="0" borderId="22" xfId="2" applyNumberFormat="1" applyFont="1" applyBorder="1" applyAlignment="1">
      <alignment horizontal="left"/>
    </xf>
    <xf numFmtId="167" fontId="9" fillId="0" borderId="22" xfId="2" applyNumberFormat="1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20" fillId="0" borderId="0" xfId="0" applyFont="1"/>
    <xf numFmtId="0" fontId="9" fillId="0" borderId="0" xfId="2" applyNumberFormat="1" applyFont="1" applyBorder="1" applyAlignment="1">
      <alignment horizontal="left"/>
    </xf>
    <xf numFmtId="167" fontId="9" fillId="0" borderId="0" xfId="2" applyNumberFormat="1" applyFont="1" applyBorder="1" applyAlignment="1"/>
    <xf numFmtId="167" fontId="9" fillId="0" borderId="0" xfId="2" applyNumberFormat="1" applyFont="1" applyBorder="1" applyAlignment="1">
      <alignment vertical="center"/>
    </xf>
    <xf numFmtId="167" fontId="7" fillId="0" borderId="0" xfId="2" applyNumberFormat="1" applyFont="1" applyBorder="1" applyAlignment="1">
      <alignment vertical="center"/>
    </xf>
    <xf numFmtId="49" fontId="7" fillId="0" borderId="0" xfId="0" applyNumberFormat="1" applyFont="1" applyAlignment="1">
      <alignment horizontal="left" vertical="top" indent="1"/>
    </xf>
    <xf numFmtId="0" fontId="7" fillId="0" borderId="1" xfId="0" applyFont="1" applyBorder="1" applyAlignment="1">
      <alignment vertical="center"/>
    </xf>
    <xf numFmtId="167" fontId="7" fillId="0" borderId="6" xfId="2" applyNumberFormat="1" applyFont="1" applyBorder="1" applyAlignment="1">
      <alignment vertical="center"/>
    </xf>
    <xf numFmtId="0" fontId="9" fillId="0" borderId="6" xfId="0" applyFont="1" applyBorder="1" applyAlignment="1">
      <alignment vertical="center"/>
    </xf>
    <xf numFmtId="167" fontId="7" fillId="0" borderId="0" xfId="2" applyNumberFormat="1" applyFont="1" applyBorder="1" applyAlignment="1">
      <alignment vertical="top"/>
    </xf>
    <xf numFmtId="49" fontId="24" fillId="0" borderId="0" xfId="0" applyNumberFormat="1" applyFont="1" applyAlignment="1">
      <alignment vertical="center"/>
    </xf>
    <xf numFmtId="167" fontId="7" fillId="0" borderId="0" xfId="2" applyNumberFormat="1" applyFont="1" applyAlignment="1">
      <alignment vertical="center"/>
    </xf>
    <xf numFmtId="0" fontId="25" fillId="0" borderId="0" xfId="0" applyFont="1" applyAlignment="1">
      <alignment horizontal="left" indent="1"/>
    </xf>
    <xf numFmtId="0" fontId="26" fillId="0" borderId="0" xfId="0" applyFont="1"/>
    <xf numFmtId="0" fontId="27" fillId="0" borderId="0" xfId="0" applyFont="1"/>
    <xf numFmtId="0" fontId="3" fillId="0" borderId="0" xfId="9" applyFont="1" applyAlignment="1">
      <alignment horizontal="left"/>
    </xf>
    <xf numFmtId="0" fontId="7" fillId="0" borderId="0" xfId="9" applyFont="1" applyAlignment="1">
      <alignment horizontal="right"/>
    </xf>
    <xf numFmtId="0" fontId="9" fillId="0" borderId="0" xfId="9" applyFont="1" applyAlignment="1">
      <alignment horizontal="left" textRotation="90"/>
    </xf>
    <xf numFmtId="0" fontId="7" fillId="2" borderId="0" xfId="9" applyFont="1" applyFill="1" applyAlignment="1">
      <alignment horizontal="right" textRotation="90" wrapText="1"/>
    </xf>
    <xf numFmtId="0" fontId="9" fillId="0" borderId="0" xfId="9" applyFont="1" applyAlignment="1">
      <alignment textRotation="90"/>
    </xf>
    <xf numFmtId="167" fontId="7" fillId="0" borderId="0" xfId="14" applyNumberFormat="1" applyFont="1" applyBorder="1" applyAlignment="1">
      <alignment horizontal="right"/>
    </xf>
    <xf numFmtId="0" fontId="9" fillId="0" borderId="0" xfId="9" applyFont="1" applyAlignment="1">
      <alignment horizontal="right" textRotation="90"/>
    </xf>
    <xf numFmtId="0" fontId="9" fillId="0" borderId="0" xfId="9" applyFont="1" applyAlignment="1">
      <alignment horizontal="right" textRotation="1"/>
    </xf>
    <xf numFmtId="0" fontId="9" fillId="0" borderId="1" xfId="9" applyFont="1" applyBorder="1" applyAlignment="1">
      <alignment horizontal="right" textRotation="90"/>
    </xf>
    <xf numFmtId="0" fontId="9" fillId="0" borderId="22" xfId="9" applyFont="1" applyBorder="1" applyAlignment="1" applyProtection="1">
      <alignment horizontal="right" textRotation="90"/>
      <protection locked="0"/>
    </xf>
    <xf numFmtId="0" fontId="9" fillId="2" borderId="22" xfId="9" applyFont="1" applyFill="1" applyBorder="1" applyAlignment="1">
      <alignment horizontal="right" textRotation="90"/>
    </xf>
    <xf numFmtId="0" fontId="9" fillId="0" borderId="22" xfId="9" applyFont="1" applyBorder="1" applyAlignment="1">
      <alignment horizontal="right" textRotation="90" wrapText="1"/>
    </xf>
    <xf numFmtId="0" fontId="9" fillId="2" borderId="22" xfId="9" applyFont="1" applyFill="1" applyBorder="1" applyAlignment="1">
      <alignment horizontal="right" textRotation="90" wrapText="1"/>
    </xf>
    <xf numFmtId="41" fontId="7" fillId="0" borderId="0" xfId="9" applyNumberFormat="1" applyFont="1"/>
    <xf numFmtId="41" fontId="7" fillId="2" borderId="0" xfId="9" applyNumberFormat="1" applyFont="1" applyFill="1"/>
    <xf numFmtId="41" fontId="9" fillId="0" borderId="0" xfId="9" applyNumberFormat="1" applyFont="1"/>
    <xf numFmtId="0" fontId="7" fillId="0" borderId="22" xfId="9" applyFont="1" applyBorder="1" applyAlignment="1">
      <alignment horizontal="left"/>
    </xf>
    <xf numFmtId="41" fontId="7" fillId="0" borderId="22" xfId="9" applyNumberFormat="1" applyFont="1" applyBorder="1"/>
    <xf numFmtId="41" fontId="7" fillId="2" borderId="22" xfId="9" applyNumberFormat="1" applyFont="1" applyFill="1" applyBorder="1"/>
    <xf numFmtId="41" fontId="9" fillId="0" borderId="22" xfId="9" applyNumberFormat="1" applyFont="1" applyBorder="1"/>
    <xf numFmtId="0" fontId="9" fillId="0" borderId="23" xfId="9" applyFont="1" applyBorder="1" applyAlignment="1">
      <alignment horizontal="left" vertical="center"/>
    </xf>
    <xf numFmtId="41" fontId="9" fillId="0" borderId="23" xfId="14" applyNumberFormat="1" applyFont="1" applyFill="1" applyBorder="1" applyAlignment="1">
      <alignment horizontal="right" vertical="center"/>
    </xf>
    <xf numFmtId="41" fontId="9" fillId="2" borderId="23" xfId="14" applyNumberFormat="1" applyFont="1" applyFill="1" applyBorder="1" applyAlignment="1">
      <alignment horizontal="right" vertical="center"/>
    </xf>
    <xf numFmtId="41" fontId="7" fillId="0" borderId="0" xfId="14" applyNumberFormat="1" applyFont="1" applyAlignment="1">
      <alignment horizontal="right"/>
    </xf>
    <xf numFmtId="0" fontId="12" fillId="0" borderId="0" xfId="9" applyFont="1" applyAlignment="1">
      <alignment horizontal="left"/>
    </xf>
    <xf numFmtId="43" fontId="2" fillId="0" borderId="0" xfId="2" applyAlignment="1">
      <alignment horizontal="right"/>
    </xf>
    <xf numFmtId="43" fontId="2" fillId="0" borderId="0" xfId="2"/>
    <xf numFmtId="41" fontId="7" fillId="0" borderId="0" xfId="9" applyNumberFormat="1" applyFont="1" applyAlignment="1">
      <alignment horizontal="right"/>
    </xf>
    <xf numFmtId="167" fontId="2" fillId="0" borderId="0" xfId="2" applyNumberFormat="1" applyAlignment="1">
      <alignment horizontal="right"/>
    </xf>
    <xf numFmtId="167" fontId="7" fillId="0" borderId="0" xfId="14" applyNumberFormat="1" applyFont="1" applyAlignment="1">
      <alignment horizontal="right"/>
    </xf>
    <xf numFmtId="0" fontId="9" fillId="0" borderId="22" xfId="9" applyFont="1" applyBorder="1" applyAlignment="1">
      <alignment horizontal="right" textRotation="90"/>
    </xf>
    <xf numFmtId="0" fontId="9" fillId="2" borderId="22" xfId="9" applyFont="1" applyFill="1" applyBorder="1" applyAlignment="1" applyProtection="1">
      <alignment horizontal="right" textRotation="90"/>
      <protection locked="0"/>
    </xf>
    <xf numFmtId="0" fontId="9" fillId="2" borderId="22" xfId="9" applyFont="1" applyFill="1" applyBorder="1" applyAlignment="1">
      <alignment horizontal="center" textRotation="90" wrapText="1"/>
    </xf>
    <xf numFmtId="41" fontId="9" fillId="2" borderId="23" xfId="14" applyNumberFormat="1" applyFont="1" applyFill="1" applyBorder="1" applyAlignment="1">
      <alignment horizontal="right"/>
    </xf>
    <xf numFmtId="41" fontId="9" fillId="0" borderId="23" xfId="14" applyNumberFormat="1" applyFont="1" applyFill="1" applyBorder="1" applyAlignment="1">
      <alignment horizontal="right"/>
    </xf>
    <xf numFmtId="0" fontId="28" fillId="0" borderId="0" xfId="9" applyFont="1" applyAlignment="1">
      <alignment horizontal="left"/>
    </xf>
    <xf numFmtId="167" fontId="7" fillId="0" borderId="0" xfId="2" applyNumberFormat="1" applyFont="1"/>
    <xf numFmtId="168" fontId="2" fillId="0" borderId="0" xfId="2" applyNumberFormat="1"/>
    <xf numFmtId="0" fontId="18" fillId="0" borderId="0" xfId="9" applyFont="1" applyAlignment="1">
      <alignment horizontal="left"/>
    </xf>
    <xf numFmtId="0" fontId="7" fillId="0" borderId="0" xfId="9" applyFont="1" applyAlignment="1">
      <alignment horizontal="left" indent="2"/>
    </xf>
    <xf numFmtId="0" fontId="31" fillId="0" borderId="0" xfId="17" applyFont="1"/>
    <xf numFmtId="0" fontId="29" fillId="0" borderId="0" xfId="17"/>
    <xf numFmtId="0" fontId="30" fillId="0" borderId="0" xfId="17" applyFont="1"/>
    <xf numFmtId="0" fontId="33" fillId="0" borderId="0" xfId="17" applyFont="1"/>
    <xf numFmtId="0" fontId="17" fillId="0" borderId="0" xfId="17" applyFont="1"/>
    <xf numFmtId="0" fontId="34" fillId="0" borderId="0" xfId="17" applyFont="1" applyAlignment="1">
      <alignment horizontal="center"/>
    </xf>
    <xf numFmtId="0" fontId="34" fillId="2" borderId="0" xfId="17" applyFont="1" applyFill="1" applyAlignment="1">
      <alignment horizontal="center"/>
    </xf>
    <xf numFmtId="0" fontId="35" fillId="0" borderId="0" xfId="17" applyFont="1"/>
    <xf numFmtId="0" fontId="36" fillId="0" borderId="0" xfId="17" applyFont="1" applyAlignment="1">
      <alignment horizontal="center" vertical="center"/>
    </xf>
    <xf numFmtId="0" fontId="36" fillId="2" borderId="0" xfId="17" applyFont="1" applyFill="1" applyAlignment="1">
      <alignment horizontal="center" vertical="center"/>
    </xf>
    <xf numFmtId="0" fontId="37" fillId="0" borderId="0" xfId="17" applyFont="1"/>
    <xf numFmtId="0" fontId="36" fillId="0" borderId="1" xfId="17" applyFont="1" applyBorder="1" applyAlignment="1">
      <alignment horizontal="center" vertical="center"/>
    </xf>
    <xf numFmtId="0" fontId="36" fillId="2" borderId="1" xfId="17" applyFont="1" applyFill="1" applyBorder="1" applyAlignment="1">
      <alignment horizontal="center" vertical="center"/>
    </xf>
    <xf numFmtId="0" fontId="36" fillId="0" borderId="0" xfId="17" applyFont="1"/>
    <xf numFmtId="0" fontId="30" fillId="2" borderId="0" xfId="17" applyFont="1" applyFill="1"/>
    <xf numFmtId="0" fontId="38" fillId="0" borderId="0" xfId="17" applyFont="1" applyAlignment="1">
      <alignment horizontal="right"/>
    </xf>
    <xf numFmtId="0" fontId="38" fillId="0" borderId="0" xfId="17" applyFont="1"/>
    <xf numFmtId="37" fontId="38" fillId="0" borderId="0" xfId="17" applyNumberFormat="1" applyFont="1"/>
    <xf numFmtId="37" fontId="38" fillId="2" borderId="0" xfId="17" applyNumberFormat="1" applyFont="1" applyFill="1"/>
    <xf numFmtId="37" fontId="30" fillId="0" borderId="0" xfId="17" applyNumberFormat="1" applyFont="1"/>
    <xf numFmtId="9" fontId="7" fillId="0" borderId="0" xfId="18" applyFont="1"/>
    <xf numFmtId="0" fontId="38" fillId="0" borderId="1" xfId="17" applyFont="1" applyBorder="1" applyAlignment="1">
      <alignment horizontal="right"/>
    </xf>
    <xf numFmtId="0" fontId="38" fillId="0" borderId="1" xfId="17" applyFont="1" applyBorder="1"/>
    <xf numFmtId="37" fontId="38" fillId="0" borderId="1" xfId="17" applyNumberFormat="1" applyFont="1" applyBorder="1"/>
    <xf numFmtId="37" fontId="38" fillId="2" borderId="1" xfId="17" applyNumberFormat="1" applyFont="1" applyFill="1" applyBorder="1"/>
    <xf numFmtId="0" fontId="38" fillId="0" borderId="3" xfId="17" applyFont="1" applyBorder="1" applyAlignment="1">
      <alignment horizontal="right"/>
    </xf>
    <xf numFmtId="0" fontId="38" fillId="0" borderId="5" xfId="17" applyFont="1" applyBorder="1" applyAlignment="1">
      <alignment horizontal="right" vertical="center"/>
    </xf>
    <xf numFmtId="0" fontId="36" fillId="0" borderId="5" xfId="17" applyFont="1" applyBorder="1" applyAlignment="1">
      <alignment vertical="center"/>
    </xf>
    <xf numFmtId="37" fontId="36" fillId="0" borderId="5" xfId="17" applyNumberFormat="1" applyFont="1" applyBorder="1" applyAlignment="1">
      <alignment vertical="center"/>
    </xf>
    <xf numFmtId="37" fontId="36" fillId="2" borderId="5" xfId="17" applyNumberFormat="1" applyFont="1" applyFill="1" applyBorder="1" applyAlignment="1">
      <alignment vertical="center"/>
    </xf>
    <xf numFmtId="0" fontId="17" fillId="0" borderId="0" xfId="17" applyFont="1" applyAlignment="1">
      <alignment vertical="center"/>
    </xf>
    <xf numFmtId="0" fontId="31" fillId="0" borderId="0" xfId="17" applyFont="1" applyAlignment="1">
      <alignment vertical="center"/>
    </xf>
    <xf numFmtId="37" fontId="30" fillId="2" borderId="0" xfId="17" applyNumberFormat="1" applyFont="1" applyFill="1"/>
    <xf numFmtId="0" fontId="38" fillId="0" borderId="4" xfId="17" applyFont="1" applyBorder="1" applyAlignment="1">
      <alignment horizontal="right" vertical="center"/>
    </xf>
    <xf numFmtId="0" fontId="36" fillId="0" borderId="6" xfId="17" applyFont="1" applyBorder="1" applyAlignment="1">
      <alignment vertical="center"/>
    </xf>
    <xf numFmtId="37" fontId="36" fillId="0" borderId="6" xfId="17" applyNumberFormat="1" applyFont="1" applyBorder="1" applyAlignment="1">
      <alignment vertical="center"/>
    </xf>
    <xf numFmtId="37" fontId="36" fillId="2" borderId="6" xfId="17" applyNumberFormat="1" applyFont="1" applyFill="1" applyBorder="1" applyAlignment="1">
      <alignment vertical="center"/>
    </xf>
    <xf numFmtId="0" fontId="39" fillId="0" borderId="24" xfId="17" applyFont="1" applyBorder="1" applyAlignment="1">
      <alignment vertical="center"/>
    </xf>
    <xf numFmtId="0" fontId="39" fillId="0" borderId="24" xfId="17" applyFont="1" applyBorder="1" applyAlignment="1">
      <alignment horizontal="left" vertical="center"/>
    </xf>
    <xf numFmtId="37" fontId="36" fillId="0" borderId="24" xfId="17" applyNumberFormat="1" applyFont="1" applyBorder="1" applyAlignment="1">
      <alignment vertical="center"/>
    </xf>
    <xf numFmtId="37" fontId="36" fillId="2" borderId="24" xfId="17" applyNumberFormat="1" applyFont="1" applyFill="1" applyBorder="1" applyAlignment="1">
      <alignment vertical="center"/>
    </xf>
    <xf numFmtId="0" fontId="30" fillId="0" borderId="0" xfId="17" applyFont="1" applyAlignment="1">
      <alignment vertical="center"/>
    </xf>
    <xf numFmtId="0" fontId="29" fillId="0" borderId="0" xfId="17" applyAlignment="1">
      <alignment vertical="center"/>
    </xf>
    <xf numFmtId="0" fontId="37" fillId="0" borderId="0" xfId="17" applyFont="1" applyAlignment="1">
      <alignment horizontal="left"/>
    </xf>
    <xf numFmtId="41" fontId="38" fillId="0" borderId="0" xfId="17" applyNumberFormat="1" applyFont="1"/>
    <xf numFmtId="41" fontId="38" fillId="2" borderId="0" xfId="17" applyNumberFormat="1" applyFont="1" applyFill="1"/>
    <xf numFmtId="0" fontId="36" fillId="0" borderId="0" xfId="17" applyFont="1" applyAlignment="1">
      <alignment horizontal="right"/>
    </xf>
    <xf numFmtId="41" fontId="36" fillId="0" borderId="5" xfId="17" applyNumberFormat="1" applyFont="1" applyBorder="1"/>
    <xf numFmtId="41" fontId="36" fillId="2" borderId="5" xfId="17" applyNumberFormat="1" applyFont="1" applyFill="1" applyBorder="1"/>
    <xf numFmtId="0" fontId="36" fillId="0" borderId="5" xfId="17" applyFont="1" applyBorder="1"/>
    <xf numFmtId="37" fontId="36" fillId="0" borderId="5" xfId="17" applyNumberFormat="1" applyFont="1" applyBorder="1"/>
    <xf numFmtId="37" fontId="36" fillId="2" borderId="5" xfId="17" applyNumberFormat="1" applyFont="1" applyFill="1" applyBorder="1"/>
    <xf numFmtId="37" fontId="38" fillId="0" borderId="5" xfId="17" applyNumberFormat="1" applyFont="1" applyBorder="1"/>
    <xf numFmtId="37" fontId="38" fillId="2" borderId="5" xfId="17" applyNumberFormat="1" applyFont="1" applyFill="1" applyBorder="1"/>
    <xf numFmtId="37" fontId="36" fillId="0" borderId="4" xfId="17" applyNumberFormat="1" applyFont="1" applyBorder="1" applyAlignment="1">
      <alignment vertical="center"/>
    </xf>
    <xf numFmtId="43" fontId="38" fillId="0" borderId="0" xfId="17" applyNumberFormat="1" applyFont="1"/>
    <xf numFmtId="43" fontId="38" fillId="2" borderId="0" xfId="17" applyNumberFormat="1" applyFont="1" applyFill="1"/>
    <xf numFmtId="0" fontId="38" fillId="0" borderId="6" xfId="17" applyFont="1" applyBorder="1" applyAlignment="1">
      <alignment horizontal="right"/>
    </xf>
    <xf numFmtId="0" fontId="30" fillId="0" borderId="6" xfId="17" applyFont="1" applyBorder="1"/>
    <xf numFmtId="169" fontId="38" fillId="0" borderId="6" xfId="17" applyNumberFormat="1" applyFont="1" applyBorder="1"/>
    <xf numFmtId="169" fontId="38" fillId="2" borderId="6" xfId="17" applyNumberFormat="1" applyFont="1" applyFill="1" applyBorder="1"/>
    <xf numFmtId="165" fontId="0" fillId="0" borderId="0" xfId="18" applyNumberFormat="1" applyFont="1"/>
    <xf numFmtId="0" fontId="9" fillId="0" borderId="24" xfId="0" applyFont="1" applyBorder="1" applyAlignment="1">
      <alignment horizontal="right" indent="2"/>
    </xf>
    <xf numFmtId="0" fontId="9" fillId="0" borderId="0" xfId="3" quotePrefix="1" applyFont="1"/>
    <xf numFmtId="0" fontId="9" fillId="0" borderId="0" xfId="3" quotePrefix="1" applyFont="1" applyAlignment="1">
      <alignment horizontal="right"/>
    </xf>
    <xf numFmtId="41" fontId="7" fillId="0" borderId="6" xfId="2" applyNumberFormat="1" applyFont="1" applyBorder="1" applyAlignment="1">
      <alignment vertical="center"/>
    </xf>
    <xf numFmtId="41" fontId="9" fillId="0" borderId="6" xfId="0" applyNumberFormat="1" applyFont="1" applyBorder="1" applyAlignment="1">
      <alignment vertical="center"/>
    </xf>
    <xf numFmtId="0" fontId="30" fillId="0" borderId="0" xfId="9" applyFont="1" applyAlignment="1">
      <alignment horizontal="left"/>
    </xf>
    <xf numFmtId="41" fontId="30" fillId="2" borderId="0" xfId="9" applyNumberFormat="1" applyFont="1" applyFill="1"/>
    <xf numFmtId="41" fontId="30" fillId="0" borderId="0" xfId="9" applyNumberFormat="1" applyFont="1"/>
    <xf numFmtId="41" fontId="17" fillId="0" borderId="0" xfId="9" applyNumberFormat="1" applyFont="1"/>
    <xf numFmtId="0" fontId="14" fillId="0" borderId="0" xfId="0" applyFont="1" applyAlignment="1">
      <alignment vertical="center"/>
    </xf>
    <xf numFmtId="41" fontId="30" fillId="0" borderId="0" xfId="2" applyNumberFormat="1" applyFont="1" applyFill="1" applyBorder="1" applyAlignment="1">
      <alignment vertical="center"/>
    </xf>
    <xf numFmtId="41" fontId="17" fillId="2" borderId="0" xfId="9" applyNumberFormat="1" applyFont="1" applyFill="1" applyAlignment="1">
      <alignment horizontal="left" vertical="center"/>
    </xf>
    <xf numFmtId="41" fontId="30" fillId="0" borderId="0" xfId="9" applyNumberFormat="1" applyFont="1" applyAlignment="1">
      <alignment horizontal="left" vertical="center"/>
    </xf>
    <xf numFmtId="41" fontId="22" fillId="0" borderId="0" xfId="0" applyNumberFormat="1" applyFont="1" applyAlignment="1">
      <alignment horizontal="right"/>
    </xf>
    <xf numFmtId="0" fontId="2" fillId="0" borderId="0" xfId="3" applyAlignment="1">
      <alignment vertical="center"/>
    </xf>
    <xf numFmtId="165" fontId="0" fillId="0" borderId="0" xfId="19" applyNumberFormat="1" applyFont="1"/>
    <xf numFmtId="165" fontId="9" fillId="0" borderId="24" xfId="0" applyNumberFormat="1" applyFont="1" applyBorder="1"/>
    <xf numFmtId="41" fontId="9" fillId="3" borderId="4" xfId="2" applyNumberFormat="1" applyFont="1" applyFill="1" applyBorder="1" applyAlignment="1"/>
    <xf numFmtId="41" fontId="9" fillId="2" borderId="4" xfId="2" applyNumberFormat="1" applyFont="1" applyFill="1" applyBorder="1" applyAlignment="1"/>
    <xf numFmtId="0" fontId="29" fillId="2" borderId="0" xfId="17" applyFill="1"/>
    <xf numFmtId="37" fontId="36" fillId="2" borderId="4" xfId="17" applyNumberFormat="1" applyFont="1" applyFill="1" applyBorder="1" applyAlignment="1">
      <alignment vertical="center"/>
    </xf>
    <xf numFmtId="49" fontId="7" fillId="3" borderId="0" xfId="3" applyNumberFormat="1" applyFont="1" applyFill="1" applyAlignment="1">
      <alignment horizontal="left" indent="1"/>
    </xf>
    <xf numFmtId="0" fontId="7" fillId="3" borderId="0" xfId="3" applyFont="1" applyFill="1" applyAlignment="1">
      <alignment horizontal="left" indent="2"/>
    </xf>
    <xf numFmtId="41" fontId="9" fillId="2" borderId="11" xfId="2" applyNumberFormat="1" applyFont="1" applyFill="1" applyBorder="1" applyAlignment="1"/>
    <xf numFmtId="0" fontId="7" fillId="2" borderId="0" xfId="3" applyFont="1" applyFill="1" applyAlignment="1">
      <alignment vertical="center"/>
    </xf>
    <xf numFmtId="0" fontId="7" fillId="0" borderId="0" xfId="3" applyFont="1" applyAlignment="1">
      <alignment horizontal="left" vertical="center" indent="1"/>
    </xf>
    <xf numFmtId="0" fontId="7" fillId="3" borderId="0" xfId="0" applyFont="1" applyFill="1"/>
    <xf numFmtId="0" fontId="7" fillId="3" borderId="0" xfId="11" applyFont="1" applyFill="1" applyAlignment="1">
      <alignment horizontal="left"/>
    </xf>
    <xf numFmtId="41" fontId="7" fillId="3" borderId="0" xfId="12" applyNumberFormat="1" applyFont="1" applyFill="1" applyBorder="1" applyAlignment="1">
      <alignment horizontal="right"/>
    </xf>
    <xf numFmtId="41" fontId="9" fillId="2" borderId="0" xfId="12" applyNumberFormat="1" applyFont="1" applyFill="1" applyBorder="1" applyAlignment="1">
      <alignment horizontal="right"/>
    </xf>
    <xf numFmtId="0" fontId="0" fillId="0" borderId="0" xfId="0"/>
    <xf numFmtId="49" fontId="7" fillId="0" borderId="0" xfId="0" applyNumberFormat="1" applyFont="1" applyBorder="1" applyAlignment="1">
      <alignment horizontal="left" indent="1"/>
    </xf>
    <xf numFmtId="0" fontId="7" fillId="0" borderId="6" xfId="0" applyFont="1" applyBorder="1" applyAlignment="1">
      <alignment vertical="center"/>
    </xf>
    <xf numFmtId="0" fontId="9" fillId="0" borderId="0" xfId="0" applyFont="1" applyBorder="1" applyAlignment="1">
      <alignment horizontal="right" indent="2"/>
    </xf>
    <xf numFmtId="165" fontId="9" fillId="0" borderId="0" xfId="0" applyNumberFormat="1" applyFont="1" applyBorder="1"/>
    <xf numFmtId="41" fontId="9" fillId="0" borderId="22" xfId="2" applyNumberFormat="1" applyFont="1" applyBorder="1" applyAlignment="1"/>
    <xf numFmtId="170" fontId="7" fillId="0" borderId="0" xfId="0" applyNumberFormat="1" applyFont="1" applyFill="1" applyAlignment="1">
      <alignment vertical="center"/>
    </xf>
    <xf numFmtId="0" fontId="9" fillId="0" borderId="0" xfId="0" applyFont="1" applyFill="1" applyAlignment="1">
      <alignment horizontal="left"/>
    </xf>
    <xf numFmtId="41" fontId="9" fillId="0" borderId="0" xfId="0" applyNumberFormat="1" applyFont="1" applyFill="1" applyAlignment="1">
      <alignment vertical="center"/>
    </xf>
    <xf numFmtId="41" fontId="7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right" vertical="center"/>
    </xf>
    <xf numFmtId="43" fontId="7" fillId="0" borderId="0" xfId="0" applyNumberFormat="1" applyFont="1" applyFill="1" applyAlignment="1">
      <alignment vertical="center"/>
    </xf>
    <xf numFmtId="0" fontId="0" fillId="0" borderId="0" xfId="0" applyFill="1"/>
    <xf numFmtId="0" fontId="7" fillId="0" borderId="0" xfId="0" applyFont="1" applyFill="1"/>
    <xf numFmtId="41" fontId="7" fillId="0" borderId="0" xfId="0" applyNumberFormat="1" applyFont="1" applyFill="1"/>
    <xf numFmtId="0" fontId="7" fillId="0" borderId="0" xfId="0" applyFont="1" applyFill="1" applyAlignment="1">
      <alignment horizontal="left"/>
    </xf>
    <xf numFmtId="41" fontId="9" fillId="0" borderId="0" xfId="0" applyNumberFormat="1" applyFont="1" applyFill="1"/>
    <xf numFmtId="41" fontId="42" fillId="0" borderId="0" xfId="0" applyNumberFormat="1" applyFont="1" applyFill="1"/>
    <xf numFmtId="41" fontId="0" fillId="0" borderId="0" xfId="0" applyNumberFormat="1" applyFill="1"/>
    <xf numFmtId="0" fontId="7" fillId="0" borderId="0" xfId="3" applyFont="1" applyFill="1" applyAlignment="1">
      <alignment vertical="center"/>
    </xf>
    <xf numFmtId="168" fontId="0" fillId="0" borderId="0" xfId="0" applyNumberFormat="1" applyFill="1"/>
    <xf numFmtId="0" fontId="12" fillId="0" borderId="0" xfId="0" applyFont="1" applyFill="1"/>
    <xf numFmtId="167" fontId="2" fillId="0" borderId="0" xfId="2" applyNumberFormat="1" applyFill="1" applyAlignment="1">
      <alignment vertical="center"/>
    </xf>
    <xf numFmtId="0" fontId="7" fillId="0" borderId="0" xfId="9" applyFont="1" applyFill="1" applyAlignment="1">
      <alignment horizontal="left"/>
    </xf>
    <xf numFmtId="41" fontId="9" fillId="0" borderId="0" xfId="9" applyNumberFormat="1" applyFont="1" applyFill="1" applyAlignment="1">
      <alignment horizontal="left" vertical="center"/>
    </xf>
    <xf numFmtId="41" fontId="7" fillId="0" borderId="0" xfId="9" applyNumberFormat="1" applyFont="1" applyFill="1" applyAlignment="1">
      <alignment horizontal="left" vertical="center"/>
    </xf>
    <xf numFmtId="0" fontId="7" fillId="0" borderId="0" xfId="9" applyFont="1" applyFill="1" applyAlignment="1">
      <alignment horizontal="left" vertical="center"/>
    </xf>
    <xf numFmtId="0" fontId="7" fillId="0" borderId="0" xfId="3" applyFont="1" applyFill="1" applyAlignment="1">
      <alignment horizontal="left"/>
    </xf>
    <xf numFmtId="41" fontId="9" fillId="0" borderId="0" xfId="2" applyNumberFormat="1" applyFont="1" applyFill="1" applyAlignment="1"/>
    <xf numFmtId="0" fontId="38" fillId="0" borderId="3" xfId="17" applyFont="1" applyBorder="1"/>
    <xf numFmtId="37" fontId="38" fillId="0" borderId="3" xfId="17" applyNumberFormat="1" applyFont="1" applyBorder="1"/>
    <xf numFmtId="37" fontId="38" fillId="2" borderId="3" xfId="17" applyNumberFormat="1" applyFont="1" applyFill="1" applyBorder="1"/>
    <xf numFmtId="37" fontId="36" fillId="0" borderId="0" xfId="17" applyNumberFormat="1" applyFont="1" applyBorder="1" applyAlignment="1">
      <alignment vertical="center"/>
    </xf>
    <xf numFmtId="37" fontId="36" fillId="2" borderId="0" xfId="17" applyNumberFormat="1" applyFont="1" applyFill="1" applyBorder="1" applyAlignment="1">
      <alignment vertical="center"/>
    </xf>
    <xf numFmtId="0" fontId="17" fillId="0" borderId="0" xfId="17" applyFont="1" applyBorder="1"/>
    <xf numFmtId="0" fontId="31" fillId="0" borderId="0" xfId="17" applyFont="1" applyBorder="1"/>
    <xf numFmtId="0" fontId="36" fillId="0" borderId="3" xfId="17" applyFont="1" applyBorder="1" applyAlignment="1">
      <alignment vertical="center"/>
    </xf>
    <xf numFmtId="37" fontId="36" fillId="2" borderId="3" xfId="17" applyNumberFormat="1" applyFont="1" applyFill="1" applyBorder="1" applyAlignment="1">
      <alignment vertical="center"/>
    </xf>
    <xf numFmtId="37" fontId="36" fillId="0" borderId="3" xfId="17" applyNumberFormat="1" applyFont="1" applyBorder="1" applyAlignment="1">
      <alignment vertical="center"/>
    </xf>
    <xf numFmtId="0" fontId="38" fillId="0" borderId="3" xfId="17" applyFont="1" applyBorder="1" applyAlignment="1">
      <alignment horizontal="right" vertical="center"/>
    </xf>
    <xf numFmtId="0" fontId="37" fillId="0" borderId="25" xfId="17" applyFont="1" applyBorder="1" applyAlignment="1">
      <alignment horizontal="left"/>
    </xf>
    <xf numFmtId="0" fontId="30" fillId="0" borderId="25" xfId="17" applyFont="1" applyBorder="1"/>
    <xf numFmtId="37" fontId="30" fillId="0" borderId="25" xfId="17" applyNumberFormat="1" applyFont="1" applyBorder="1"/>
    <xf numFmtId="0" fontId="29" fillId="0" borderId="25" xfId="17" applyBorder="1"/>
    <xf numFmtId="0" fontId="29" fillId="0" borderId="0" xfId="17" applyBorder="1"/>
    <xf numFmtId="0" fontId="43" fillId="0" borderId="0" xfId="0" applyFont="1" applyAlignment="1">
      <alignment horizontal="center" vertical="center"/>
    </xf>
    <xf numFmtId="0" fontId="44" fillId="0" borderId="0" xfId="21" applyAlignment="1">
      <alignment horizontal="center" vertical="center"/>
    </xf>
    <xf numFmtId="0" fontId="8" fillId="0" borderId="0" xfId="0" applyFont="1" applyAlignment="1">
      <alignment horizontal="center" vertical="center"/>
    </xf>
    <xf numFmtId="41" fontId="9" fillId="3" borderId="1" xfId="2" applyNumberFormat="1" applyFont="1" applyFill="1" applyBorder="1" applyAlignment="1">
      <alignment horizontal="center"/>
    </xf>
    <xf numFmtId="49" fontId="13" fillId="3" borderId="0" xfId="3" applyNumberFormat="1" applyFont="1" applyFill="1" applyAlignment="1">
      <alignment horizontal="left"/>
    </xf>
    <xf numFmtId="49" fontId="13" fillId="3" borderId="1" xfId="3" applyNumberFormat="1" applyFont="1" applyFill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41" fontId="9" fillId="0" borderId="1" xfId="3" applyNumberFormat="1" applyFont="1" applyBorder="1" applyAlignment="1">
      <alignment horizontal="center" vertical="center"/>
    </xf>
    <xf numFmtId="0" fontId="18" fillId="0" borderId="25" xfId="0" applyFont="1" applyBorder="1" applyAlignment="1">
      <alignment wrapText="1"/>
    </xf>
    <xf numFmtId="0" fontId="18" fillId="0" borderId="0" xfId="0" applyFont="1" applyAlignment="1">
      <alignment vertical="top" wrapText="1"/>
    </xf>
    <xf numFmtId="0" fontId="18" fillId="0" borderId="0" xfId="0" applyFont="1" applyFill="1" applyAlignment="1">
      <alignment horizontal="left" vertical="top" wrapText="1"/>
    </xf>
    <xf numFmtId="0" fontId="0" fillId="0" borderId="0" xfId="0" applyFill="1"/>
    <xf numFmtId="0" fontId="18" fillId="0" borderId="0" xfId="0" applyFont="1" applyAlignment="1">
      <alignment wrapText="1"/>
    </xf>
    <xf numFmtId="0" fontId="7" fillId="2" borderId="0" xfId="9" applyFont="1" applyFill="1" applyAlignment="1">
      <alignment horizontal="center" textRotation="90" wrapText="1"/>
    </xf>
    <xf numFmtId="0" fontId="7" fillId="0" borderId="0" xfId="9" applyFont="1" applyAlignment="1">
      <alignment horizontal="center" textRotation="90" wrapText="1"/>
    </xf>
    <xf numFmtId="0" fontId="9" fillId="0" borderId="0" xfId="9" applyFont="1" applyAlignment="1">
      <alignment horizontal="center" textRotation="90" wrapText="1"/>
    </xf>
    <xf numFmtId="0" fontId="7" fillId="2" borderId="0" xfId="9" applyFont="1" applyFill="1" applyAlignment="1" applyProtection="1">
      <alignment horizontal="center" textRotation="90" wrapText="1"/>
      <protection locked="0"/>
    </xf>
    <xf numFmtId="0" fontId="0" fillId="2" borderId="0" xfId="0" applyFill="1" applyAlignment="1">
      <alignment horizontal="center" textRotation="90"/>
    </xf>
    <xf numFmtId="0" fontId="0" fillId="0" borderId="0" xfId="0" applyAlignment="1">
      <alignment horizontal="center" textRotation="90"/>
    </xf>
    <xf numFmtId="0" fontId="0" fillId="2" borderId="0" xfId="0" applyFill="1" applyAlignment="1">
      <alignment horizontal="center" textRotation="90" wrapText="1"/>
    </xf>
    <xf numFmtId="0" fontId="7" fillId="2" borderId="0" xfId="9" applyFont="1" applyFill="1" applyAlignment="1">
      <alignment horizontal="center" vertical="center" textRotation="90" wrapText="1"/>
    </xf>
    <xf numFmtId="0" fontId="0" fillId="2" borderId="0" xfId="0" applyFill="1" applyAlignment="1">
      <alignment horizontal="center" vertical="center" textRotation="90" wrapText="1"/>
    </xf>
    <xf numFmtId="0" fontId="7" fillId="0" borderId="0" xfId="9" applyFont="1" applyAlignment="1" applyProtection="1">
      <alignment horizontal="center" textRotation="90"/>
      <protection locked="0"/>
    </xf>
    <xf numFmtId="0" fontId="7" fillId="2" borderId="0" xfId="9" applyFont="1" applyFill="1" applyAlignment="1">
      <alignment horizontal="center" textRotation="90"/>
    </xf>
    <xf numFmtId="0" fontId="0" fillId="0" borderId="0" xfId="0" applyAlignment="1">
      <alignment horizontal="center" textRotation="90" wrapText="1"/>
    </xf>
    <xf numFmtId="0" fontId="7" fillId="2" borderId="0" xfId="9" applyFont="1" applyFill="1" applyAlignment="1">
      <alignment horizontal="right" textRotation="90" wrapText="1"/>
    </xf>
    <xf numFmtId="0" fontId="7" fillId="0" borderId="0" xfId="9" applyFont="1" applyAlignment="1">
      <alignment horizontal="right" textRotation="90" wrapText="1"/>
    </xf>
  </cellXfs>
  <cellStyles count="22">
    <cellStyle name="Comma 2 5 2" xfId="2" xr:uid="{00000000-0005-0000-0000-000000000000}"/>
    <cellStyle name="Comma 3" xfId="20" xr:uid="{00000000-0005-0000-0000-000001000000}"/>
    <cellStyle name="Comma 9 2" xfId="12" xr:uid="{00000000-0005-0000-0000-000002000000}"/>
    <cellStyle name="Comma_Sheet1" xfId="13" xr:uid="{00000000-0005-0000-0000-000003000000}"/>
    <cellStyle name="Comma_X-BUDGET2006_Fiscal plan vs. X-gov" xfId="14" xr:uid="{00000000-0005-0000-0000-000004000000}"/>
    <cellStyle name="Hyperlink" xfId="21" builtinId="8"/>
    <cellStyle name="Normal" xfId="0" builtinId="0"/>
    <cellStyle name="Normal 2 13" xfId="3" xr:uid="{00000000-0005-0000-0000-000007000000}"/>
    <cellStyle name="Normal 3 6" xfId="8" xr:uid="{00000000-0005-0000-0000-000008000000}"/>
    <cellStyle name="Normal 407" xfId="6" xr:uid="{00000000-0005-0000-0000-000009000000}"/>
    <cellStyle name="Normal 5 2" xfId="15" xr:uid="{00000000-0005-0000-0000-00000A000000}"/>
    <cellStyle name="Normal 5 2 4" xfId="17" xr:uid="{00000000-0005-0000-0000-00000B000000}"/>
    <cellStyle name="Normal 61" xfId="11" xr:uid="{00000000-0005-0000-0000-00000C000000}"/>
    <cellStyle name="Normal_A" xfId="1" xr:uid="{00000000-0005-0000-0000-00000D000000}"/>
    <cellStyle name="Normal_CAP_PLNDETS" xfId="7" xr:uid="{00000000-0005-0000-0000-00000E000000}"/>
    <cellStyle name="Normal_CAP_PLNSPNG" xfId="10" xr:uid="{00000000-0005-0000-0000-00000F000000}"/>
    <cellStyle name="Normal_X-BUDGET2006_Fiscal plan vs. X-gov" xfId="9" xr:uid="{00000000-0005-0000-0000-000010000000}"/>
    <cellStyle name="Percent" xfId="19" builtinId="5"/>
    <cellStyle name="Percent 2" xfId="4" xr:uid="{00000000-0005-0000-0000-000012000000}"/>
    <cellStyle name="Percent 2 2 2 2" xfId="5" xr:uid="{00000000-0005-0000-0000-000013000000}"/>
    <cellStyle name="Percent 23" xfId="18" xr:uid="{00000000-0005-0000-0000-000014000000}"/>
    <cellStyle name="Percent 3" xfId="16" xr:uid="{00000000-0005-0000-0000-000015000000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theme" Target="theme/theme1.xml"/><Relationship Id="rId48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3564</xdr:colOff>
      <xdr:row>51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50364" cy="7588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oa\shared\CF298758\Capital%20Plan%20Master%20Copy%20-%20Updated%20Dec%2014'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298758\Capital%20Plan%20Master%20Copy%20-%20Updated%20Dec%2014'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BUD\Instructions\Form%203%20-%20Credit%20Or%20Recove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ernal.treasuryboard.alberta.ca/Documents%20and%20Settings/GaleL/Local%20Settings/Temporary%20Internet%20Files/OLK3/Book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TBF\MinShare\PublnsProd\CorpFin\OBM.PUBLNS-2019-20\B19_Fiscal-Plan_vol\07_FiscalPlan_TABLES_B19\source_docs_Tables\ABOR%2009-10%20Year%20End%20Tabl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6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sFunctions\SCP\Capital%20Planning\2007-08%20Capital%20Plan\2008-2013Capital%20Plan_Pearl\2008_2013_Submission\Submission_Version%209\Extraction\ExtractAug20_10a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GE\Bus_Activity\Corp_Fin\Year%20End\2004-05\Financial%20Statements\288%20FS%202005_SCHEDULES_Fin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RPORATE\Fiscal_Reports\TB_OBM_SHARE\CI-B2010\SharePoint%20Files\Estimates%20Drafts\ABO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TBF\MinShare\PublnsProd\CorpFin\OBM.PUBLNS-2019-20\B19_Fiscal-Plan_vol\07_FiscalPlan_TABLES_B19\source_docs_Tables\X-ExpbyFunRec%20B2010%20-%20testin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tosiowy\Desktop\Tanya's%20stuff\BC\AER%20template%20(2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len.savitsky\Local%20Settings\Temporary%20Internet%20Files\OLK926\ADET_TableA_E_12Mar07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BUD\Instructions\Form%209%20-%20Expense%20by%20Ob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risdiction Lis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risdiction List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amples"/>
      <sheetName val="Backend"/>
      <sheetName val="3.1 Expenses Funded By CR"/>
      <sheetName val="3.2 Capital Funded By CR"/>
    </sheetNames>
    <sheetDataSet>
      <sheetData sheetId="0" refreshError="1"/>
      <sheetData sheetId="1">
        <row r="1">
          <cell r="A1" t="str">
            <v>ABLY</v>
          </cell>
        </row>
        <row r="2">
          <cell r="A2" t="str">
            <v>ADET</v>
          </cell>
        </row>
        <row r="3">
          <cell r="A3" t="str">
            <v>AGRI</v>
          </cell>
        </row>
        <row r="4">
          <cell r="A4" t="str">
            <v>CLTR</v>
          </cell>
        </row>
        <row r="5">
          <cell r="A5" t="str">
            <v>EDUC</v>
          </cell>
        </row>
        <row r="6">
          <cell r="A6" t="str">
            <v>ENGY</v>
          </cell>
        </row>
        <row r="7">
          <cell r="A7" t="str">
            <v>ENVT</v>
          </cell>
        </row>
        <row r="8">
          <cell r="A8" t="str">
            <v>EXCL</v>
          </cell>
        </row>
        <row r="9">
          <cell r="A9" t="str">
            <v>FINC</v>
          </cell>
        </row>
        <row r="10">
          <cell r="A10" t="str">
            <v>HLTH</v>
          </cell>
        </row>
        <row r="11">
          <cell r="A11" t="str">
            <v>HMSV</v>
          </cell>
        </row>
        <row r="12">
          <cell r="A12" t="str">
            <v>INFR</v>
          </cell>
        </row>
        <row r="13">
          <cell r="A13" t="str">
            <v>INTR</v>
          </cell>
        </row>
        <row r="14">
          <cell r="A14" t="str">
            <v>JUST</v>
          </cell>
        </row>
        <row r="15">
          <cell r="A15" t="str">
            <v>MUNA</v>
          </cell>
        </row>
        <row r="16">
          <cell r="A16" t="str">
            <v>SENR</v>
          </cell>
        </row>
        <row r="17">
          <cell r="A17" t="str">
            <v>SERV</v>
          </cell>
        </row>
        <row r="18">
          <cell r="A18" t="str">
            <v>SOLG</v>
          </cell>
        </row>
        <row r="19">
          <cell r="A19" t="str">
            <v>SUST</v>
          </cell>
        </row>
        <row r="20">
          <cell r="A20" t="str">
            <v>TPRC</v>
          </cell>
        </row>
        <row r="21">
          <cell r="A21" t="str">
            <v>TRNS</v>
          </cell>
        </row>
        <row r="22">
          <cell r="A22" t="str">
            <v>TYBD</v>
          </cell>
        </row>
      </sheetData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ude Oil"/>
      <sheetName val="Natural Gas"/>
      <sheetName val="TSX Index"/>
      <sheetName val="Dow Jones Index"/>
      <sheetName val="Sheet1"/>
      <sheetName val="Data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3">
          <cell r="A3">
            <v>36983</v>
          </cell>
          <cell r="D3">
            <v>36983</v>
          </cell>
          <cell r="G3">
            <v>36983</v>
          </cell>
          <cell r="J3">
            <v>36983</v>
          </cell>
        </row>
      </sheetData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R1 Inters Rev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ble R1 Inters Rev"/>
      <sheetName val="Table R1 Dept VTD Rev"/>
      <sheetName val="Table R2 Dept STAT Exp"/>
      <sheetName val="Table R2 Dept VTD Exp"/>
      <sheetName val="Table R3 Dept VTD CI"/>
      <sheetName val="Sheet2"/>
      <sheetName val="Sheet3"/>
      <sheetName val="Table R1 AFF Rev"/>
      <sheetName val="Table R1 Intras Rev"/>
      <sheetName val="Table R1 AEC Rev"/>
      <sheetName val="Table R1 ARCI Rev"/>
      <sheetName val="Table R1 iI(CRE Rev"/>
      <sheetName val="Table R2 AFF Exp"/>
      <sheetName val="Table R2 Inters Exp"/>
      <sheetName val="Table R2 Intras Exp"/>
      <sheetName val="Table R2 AEC Exp"/>
      <sheetName val="Table R2 ARCI Exp"/>
      <sheetName val="Table R2 iI(CRE2 Exp"/>
      <sheetName val="Table R3 ARCI CI"/>
      <sheetName val="Table R6 Dept VTD Non-Bud"/>
      <sheetName val="Table R4 ARCI2 Disp"/>
      <sheetName val="Table R5 Intras GL"/>
      <sheetName val="Table R5 ARCI2 GL"/>
    </sheetNames>
    <sheetDataSet>
      <sheetData sheetId="0" refreshError="1"/>
      <sheetData sheetId="1"/>
      <sheetData sheetId="2">
        <row r="224">
          <cell r="C224" t="str">
            <v>Revenue</v>
          </cell>
        </row>
      </sheetData>
      <sheetData sheetId="3">
        <row r="224">
          <cell r="C224" t="str">
            <v>Expense</v>
          </cell>
        </row>
      </sheetData>
      <sheetData sheetId="4">
        <row r="224">
          <cell r="C224" t="str">
            <v>Expense</v>
          </cell>
        </row>
      </sheetData>
      <sheetData sheetId="5">
        <row r="224">
          <cell r="C224" t="str">
            <v>Capital Investment</v>
          </cell>
        </row>
      </sheetData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YearFunding__ALL"/>
      <sheetName val="Table_Priority_Ministry"/>
      <sheetName val="Table_ApprIncrease_Ministry"/>
      <sheetName val="Table_ApprApproved_Ministry"/>
      <sheetName val="Table_ApprApproved_Envelope"/>
      <sheetName val="SelectedColumnsTitle"/>
      <sheetName val="SelectedColumns"/>
      <sheetName val="ExclZero"/>
      <sheetName val="RawData (2)"/>
      <sheetName val="RawData"/>
      <sheetName val="ShortCutK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tatement of Operations"/>
      <sheetName val="Balance Sheet"/>
      <sheetName val="SCFP"/>
      <sheetName val="Sched 1"/>
      <sheetName val="Sched 2"/>
      <sheetName val="Sched 3 "/>
      <sheetName val="Sch4"/>
      <sheetName val="Sch5"/>
      <sheetName val="Sch6"/>
      <sheetName val="Sch7"/>
      <sheetName val="Sch8"/>
      <sheetName val="Sch1"/>
      <sheetName val="Sch2"/>
      <sheetName val="Sch3"/>
    </sheetNames>
    <sheetDataSet>
      <sheetData sheetId="0" refreshError="1">
        <row r="15">
          <cell r="A15" t="str">
            <v>FOR THE YEAR ENDED MARCH 31, 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SUM"/>
      <sheetName val="A-2 dept"/>
      <sheetName val="A-1 ministry"/>
      <sheetName val="A-2-intra"/>
      <sheetName val="A-3 inter"/>
      <sheetName val="B-1 INC_MIN_PROG(6col)"/>
      <sheetName val="EST-mh"/>
      <sheetName val="EST-msp"/>
      <sheetName val="EST-ds"/>
      <sheetName val="EST-exp-A"/>
      <sheetName val="EST-eip"/>
      <sheetName val="EST-stat"/>
      <sheetName val="TOC 27"/>
      <sheetName val="B-2 INC_MIN_PROG(4col)"/>
      <sheetName val="B-3 INC_MIN_C-1 DEPT"/>
      <sheetName val="EST-lottery"/>
      <sheetName val="C-2 INTER"/>
      <sheetName val="Blank-32"/>
      <sheetName val="NOPRINT C2-INTRA"/>
      <sheetName val="Net_Rev"/>
      <sheetName val="Ita_Rev"/>
      <sheetName val="Itr_Rev"/>
      <sheetName val="G_Rev"/>
      <sheetName val="rev_mindept"/>
      <sheetName val="TITLING"/>
    </sheetNames>
    <sheetDataSet>
      <sheetData sheetId="0" refreshError="1"/>
      <sheetData sheetId="1">
        <row r="10">
          <cell r="A10" t="str">
            <v>Code</v>
          </cell>
          <cell r="C10" t="str">
            <v>07-08A</v>
          </cell>
          <cell r="D10" t="str">
            <v>08-09E</v>
          </cell>
          <cell r="E10" t="str">
            <v>08-09F</v>
          </cell>
          <cell r="F10" t="str">
            <v>09-10P</v>
          </cell>
          <cell r="G10" t="str">
            <v>10-11P</v>
          </cell>
          <cell r="H10" t="str">
            <v>11-12P</v>
          </cell>
        </row>
        <row r="11">
          <cell r="A11" t="str">
            <v>REVENUE</v>
          </cell>
        </row>
        <row r="12">
          <cell r="A12">
            <v>674000</v>
          </cell>
          <cell r="B12" t="str">
            <v>Refunds of expense</v>
          </cell>
          <cell r="C12">
            <v>295</v>
          </cell>
          <cell r="D12">
            <v>0</v>
          </cell>
          <cell r="E12">
            <v>134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673000</v>
          </cell>
          <cell r="B13" t="str">
            <v>Miscellaneous</v>
          </cell>
          <cell r="C13">
            <v>0</v>
          </cell>
          <cell r="D13">
            <v>0</v>
          </cell>
          <cell r="E13">
            <v>52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691000</v>
          </cell>
          <cell r="B14" t="str">
            <v>Internal Government Transfes Lottery Fund - FNDF</v>
          </cell>
          <cell r="C14">
            <v>101875</v>
          </cell>
          <cell r="D14">
            <v>110000</v>
          </cell>
          <cell r="E14">
            <v>110000</v>
          </cell>
          <cell r="F14">
            <v>118000</v>
          </cell>
          <cell r="G14">
            <v>126500</v>
          </cell>
          <cell r="H14">
            <v>134000</v>
          </cell>
        </row>
        <row r="15">
          <cell r="A15" t="str">
            <v>691000</v>
          </cell>
          <cell r="B15" t="str">
            <v>Internal Government Transfes from Lottery Fund programs</v>
          </cell>
          <cell r="C15">
            <v>200</v>
          </cell>
          <cell r="D15">
            <v>200</v>
          </cell>
          <cell r="E15">
            <v>200</v>
          </cell>
          <cell r="F15">
            <v>200</v>
          </cell>
          <cell r="G15">
            <v>200</v>
          </cell>
          <cell r="H15">
            <v>200</v>
          </cell>
        </row>
        <row r="16">
          <cell r="B16" t="str">
            <v>Total Revenue</v>
          </cell>
          <cell r="C16">
            <v>102370</v>
          </cell>
          <cell r="D16">
            <v>110200</v>
          </cell>
          <cell r="E16">
            <v>110386</v>
          </cell>
          <cell r="F16">
            <v>118200</v>
          </cell>
          <cell r="G16">
            <v>126700</v>
          </cell>
          <cell r="H16">
            <v>134200</v>
          </cell>
        </row>
      </sheetData>
      <sheetData sheetId="2"/>
      <sheetData sheetId="3">
        <row r="10">
          <cell r="A10" t="str">
            <v>Code</v>
          </cell>
          <cell r="C10" t="str">
            <v>07-08A</v>
          </cell>
          <cell r="D10" t="str">
            <v>08-09E</v>
          </cell>
          <cell r="E10" t="str">
            <v>08-09F</v>
          </cell>
          <cell r="F10" t="str">
            <v>09-10P</v>
          </cell>
          <cell r="G10" t="str">
            <v>10-11P</v>
          </cell>
          <cell r="H10" t="str">
            <v>11-12P</v>
          </cell>
        </row>
        <row r="11">
          <cell r="A11" t="str">
            <v>REVENUE</v>
          </cell>
        </row>
        <row r="24">
          <cell r="A24" t="str">
            <v>TOTAL REV CONSOL ADJ.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</sheetData>
      <sheetData sheetId="4">
        <row r="17">
          <cell r="A17" t="str">
            <v>Code</v>
          </cell>
        </row>
      </sheetData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B1" t="str">
            <v>2010-11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P 2007-08"/>
      <sheetName val="AER 2007-08"/>
      <sheetName val="ACP 2008-09"/>
      <sheetName val="AER 2008-09"/>
      <sheetName val="Invest cat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B2" t="str">
            <v>Brownfield Redevelopment Infrastructure</v>
          </cell>
        </row>
        <row r="3">
          <cell r="B3" t="str">
            <v>Connectivity and Broadband Infrastructure</v>
          </cell>
        </row>
        <row r="4">
          <cell r="B4" t="str">
            <v>Cultural Infrastructure</v>
          </cell>
        </row>
        <row r="5">
          <cell r="B5" t="str">
            <v>Disaster Mitigation Infrastructure</v>
          </cell>
        </row>
        <row r="6">
          <cell r="B6" t="str">
            <v>Green Energy Infrastructure</v>
          </cell>
        </row>
        <row r="7">
          <cell r="B7" t="str">
            <v>Local Road Infrastructure</v>
          </cell>
        </row>
        <row r="8">
          <cell r="B8" t="str">
            <v>National Highway System Infrastructure</v>
          </cell>
        </row>
        <row r="9">
          <cell r="B9" t="str">
            <v>Non-National Highway System Roads</v>
          </cell>
        </row>
        <row r="10">
          <cell r="B10" t="str">
            <v>Public Transit Infrastructure</v>
          </cell>
        </row>
        <row r="11">
          <cell r="B11" t="str">
            <v>Regional and Local Airport Infrastructure</v>
          </cell>
        </row>
        <row r="12">
          <cell r="B12" t="str">
            <v>Short-line Rail Infrastructure</v>
          </cell>
        </row>
        <row r="13">
          <cell r="B13" t="str">
            <v>Short-sea Shipping Infrastructure</v>
          </cell>
        </row>
        <row r="14">
          <cell r="B14" t="str">
            <v>Solid Waste Management Infrastructure</v>
          </cell>
        </row>
        <row r="15">
          <cell r="B15" t="str">
            <v>Sport Infrastructure</v>
          </cell>
        </row>
        <row r="16">
          <cell r="B16" t="str">
            <v>Tourism</v>
          </cell>
        </row>
        <row r="17">
          <cell r="B17" t="str">
            <v>Wastewater Infrastructure</v>
          </cell>
        </row>
        <row r="18">
          <cell r="B18" t="str">
            <v>Water Infrastructure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-dept"/>
      <sheetName val="A-arc"/>
      <sheetName val="A-access"/>
      <sheetName val="A-icore"/>
      <sheetName val="A-ministry"/>
      <sheetName val="A-vtdrec"/>
      <sheetName val="D-intra"/>
      <sheetName val="E-inter"/>
      <sheetName val="B-1 INC_MIN_PROG(6col)"/>
      <sheetName val="B-2 INC_MIN_PROG(4col)"/>
      <sheetName val="EST-mh"/>
      <sheetName val="EST-msp"/>
      <sheetName val="EST-ds"/>
      <sheetName val="EST-exp A"/>
      <sheetName val="EST-exp B"/>
      <sheetName val="EST-eip"/>
      <sheetName val="EST-cr-rec"/>
      <sheetName val="EST-vnb"/>
      <sheetName val="EST-stat"/>
      <sheetName val="TOC 310"/>
      <sheetName val="C1-INC_MIN_ENTITY"/>
      <sheetName val="C1-INC_DEPT"/>
      <sheetName val="C1-INC_ACCESS"/>
      <sheetName val="C1-INC_ARC"/>
      <sheetName val="C1-INC_ICORE"/>
      <sheetName val="EST-lottery"/>
      <sheetName val="C2-INTRA"/>
      <sheetName val="C2-INTER"/>
      <sheetName val="Net_Rev"/>
      <sheetName val="Ita_Rev"/>
      <sheetName val="Itr_Rev"/>
      <sheetName val="rev_gross"/>
      <sheetName val="rev_dept"/>
      <sheetName val="rev_access"/>
      <sheetName val="rev_arc"/>
      <sheetName val="rev_icore"/>
      <sheetName val="TITL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B1" t="str">
            <v>2007-08</v>
          </cell>
        </row>
        <row r="2">
          <cell r="B2" t="str">
            <v>2006-07</v>
          </cell>
        </row>
        <row r="3">
          <cell r="B3" t="str">
            <v>2005-06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9"/>
      <sheetName val="list"/>
    </sheetNames>
    <sheetDataSet>
      <sheetData sheetId="0" refreshError="1"/>
      <sheetData sheetId="1">
        <row r="1">
          <cell r="A1" t="str">
            <v>ABLY</v>
          </cell>
        </row>
        <row r="2">
          <cell r="A2" t="str">
            <v>ADET</v>
          </cell>
        </row>
        <row r="3">
          <cell r="A3" t="str">
            <v>AGRI</v>
          </cell>
        </row>
        <row r="4">
          <cell r="A4" t="str">
            <v>CLTR</v>
          </cell>
        </row>
        <row r="5">
          <cell r="A5" t="str">
            <v>EDUC</v>
          </cell>
        </row>
        <row r="6">
          <cell r="A6" t="str">
            <v>ENGY</v>
          </cell>
        </row>
        <row r="7">
          <cell r="A7" t="str">
            <v>ENVT</v>
          </cell>
        </row>
        <row r="8">
          <cell r="A8" t="str">
            <v>EXCL</v>
          </cell>
        </row>
        <row r="9">
          <cell r="A9" t="str">
            <v>FINC</v>
          </cell>
        </row>
        <row r="10">
          <cell r="A10" t="str">
            <v>HLTH</v>
          </cell>
        </row>
        <row r="11">
          <cell r="A11" t="str">
            <v>HMSV</v>
          </cell>
        </row>
        <row r="12">
          <cell r="A12" t="str">
            <v>INFR</v>
          </cell>
        </row>
        <row r="13">
          <cell r="A13" t="str">
            <v>INTR</v>
          </cell>
        </row>
        <row r="14">
          <cell r="A14" t="str">
            <v>JUST</v>
          </cell>
        </row>
        <row r="15">
          <cell r="A15" t="str">
            <v>MUNA</v>
          </cell>
        </row>
        <row r="16">
          <cell r="A16" t="str">
            <v>SENR</v>
          </cell>
        </row>
        <row r="17">
          <cell r="A17" t="str">
            <v>SERV</v>
          </cell>
        </row>
        <row r="18">
          <cell r="A18" t="str">
            <v>SOLG</v>
          </cell>
        </row>
        <row r="19">
          <cell r="A19" t="str">
            <v>SUST</v>
          </cell>
        </row>
        <row r="20">
          <cell r="A20" t="str">
            <v>TPRC</v>
          </cell>
        </row>
        <row r="21">
          <cell r="A21" t="str">
            <v>TRNS</v>
          </cell>
        </row>
        <row r="22">
          <cell r="A22" t="str">
            <v>TYBD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.alberta.ca/lice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54:K55"/>
  <sheetViews>
    <sheetView tabSelected="1" workbookViewId="0">
      <selection activeCell="A53" sqref="A53"/>
    </sheetView>
  </sheetViews>
  <sheetFormatPr defaultRowHeight="12"/>
  <sheetData>
    <row r="54" spans="1:11">
      <c r="A54" s="593" t="s">
        <v>427</v>
      </c>
      <c r="B54" s="593"/>
      <c r="C54" s="593"/>
      <c r="D54" s="593"/>
      <c r="E54" s="593"/>
      <c r="F54" s="593"/>
      <c r="G54" s="593"/>
      <c r="H54" s="593"/>
      <c r="I54" s="593"/>
      <c r="J54" s="593"/>
      <c r="K54" s="593"/>
    </row>
    <row r="55" spans="1:11">
      <c r="A55" s="594" t="s">
        <v>428</v>
      </c>
      <c r="B55" s="594"/>
      <c r="C55" s="594"/>
      <c r="D55" s="594"/>
      <c r="E55" s="594"/>
      <c r="F55" s="594"/>
      <c r="G55" s="594"/>
      <c r="H55" s="594"/>
      <c r="I55" s="594"/>
      <c r="J55" s="594"/>
      <c r="K55" s="594"/>
    </row>
  </sheetData>
  <mergeCells count="2">
    <mergeCell ref="A54:K54"/>
    <mergeCell ref="A55:K55"/>
  </mergeCells>
  <hyperlinks>
    <hyperlink ref="A55" r:id="rId1" tooltip="https://open.alberta.ca/licence" display="https://open.alberta.ca/licence" xr:uid="{00000000-0004-0000-0000-000000000000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G39"/>
  <sheetViews>
    <sheetView showGridLines="0" zoomScaleNormal="100" workbookViewId="0">
      <selection activeCell="A44" sqref="A44"/>
    </sheetView>
  </sheetViews>
  <sheetFormatPr defaultColWidth="8.5703125" defaultRowHeight="12"/>
  <cols>
    <col min="1" max="1" width="51.5703125" customWidth="1"/>
    <col min="2" max="7" width="8" customWidth="1"/>
  </cols>
  <sheetData>
    <row r="1" spans="1:7" ht="15.75">
      <c r="A1" s="1" t="s">
        <v>0</v>
      </c>
      <c r="B1" s="2"/>
      <c r="G1" s="3"/>
    </row>
    <row r="2" spans="1:7">
      <c r="A2" s="4" t="s">
        <v>1</v>
      </c>
      <c r="B2" s="5"/>
    </row>
    <row r="3" spans="1:7" ht="4.5" customHeight="1">
      <c r="A3" s="4"/>
      <c r="B3" s="5"/>
    </row>
    <row r="4" spans="1:7">
      <c r="A4" s="6"/>
      <c r="B4" s="7" t="s">
        <v>4</v>
      </c>
      <c r="C4" s="595" t="s">
        <v>5</v>
      </c>
      <c r="D4" s="595"/>
      <c r="E4" s="8" t="s">
        <v>6</v>
      </c>
      <c r="F4" s="7" t="s">
        <v>301</v>
      </c>
      <c r="G4" s="7" t="s">
        <v>347</v>
      </c>
    </row>
    <row r="5" spans="1:7">
      <c r="A5" s="9"/>
      <c r="B5" s="10" t="s">
        <v>7</v>
      </c>
      <c r="C5" s="10" t="s">
        <v>8</v>
      </c>
      <c r="D5" s="11" t="s">
        <v>9</v>
      </c>
      <c r="E5" s="12" t="s">
        <v>10</v>
      </c>
      <c r="F5" s="11" t="s">
        <v>11</v>
      </c>
      <c r="G5" s="11" t="s">
        <v>11</v>
      </c>
    </row>
    <row r="6" spans="1:7" ht="3.75" customHeight="1">
      <c r="A6" s="13"/>
      <c r="B6" s="14"/>
      <c r="C6" s="15"/>
      <c r="E6" s="16"/>
    </row>
    <row r="7" spans="1:7" ht="12.75" customHeight="1">
      <c r="A7" s="17" t="s">
        <v>12</v>
      </c>
      <c r="B7" s="18"/>
      <c r="C7" s="18"/>
      <c r="D7" s="18"/>
      <c r="E7" s="19"/>
      <c r="F7" s="18"/>
      <c r="G7" s="18"/>
    </row>
    <row r="8" spans="1:7" ht="12.75" customHeight="1">
      <c r="A8" s="20" t="s">
        <v>13</v>
      </c>
      <c r="B8" s="18">
        <v>23506</v>
      </c>
      <c r="C8" s="18">
        <v>23034</v>
      </c>
      <c r="D8" s="18">
        <v>24580</v>
      </c>
      <c r="E8" s="19">
        <v>24992</v>
      </c>
      <c r="F8" s="18">
        <v>27055</v>
      </c>
      <c r="G8" s="18">
        <v>28609</v>
      </c>
    </row>
    <row r="9" spans="1:7" ht="12.75" customHeight="1">
      <c r="A9" s="20" t="s">
        <v>14</v>
      </c>
      <c r="B9" s="18">
        <v>16170</v>
      </c>
      <c r="C9" s="18">
        <v>13840</v>
      </c>
      <c r="D9" s="18">
        <v>27544</v>
      </c>
      <c r="E9" s="19">
        <v>18361</v>
      </c>
      <c r="F9" s="18">
        <v>17284</v>
      </c>
      <c r="G9" s="18">
        <v>15742</v>
      </c>
    </row>
    <row r="10" spans="1:7" ht="12.75" customHeight="1">
      <c r="A10" s="20" t="s">
        <v>15</v>
      </c>
      <c r="B10" s="18">
        <v>11595</v>
      </c>
      <c r="C10" s="18">
        <v>12054</v>
      </c>
      <c r="D10" s="18">
        <v>11765</v>
      </c>
      <c r="E10" s="19">
        <v>12552</v>
      </c>
      <c r="F10" s="18">
        <v>12475</v>
      </c>
      <c r="G10" s="18">
        <v>13113</v>
      </c>
    </row>
    <row r="11" spans="1:7" ht="12.75" customHeight="1">
      <c r="A11" s="20" t="s">
        <v>16</v>
      </c>
      <c r="B11" s="18">
        <v>3579</v>
      </c>
      <c r="C11" s="18">
        <v>3173</v>
      </c>
      <c r="D11" s="18">
        <v>1035</v>
      </c>
      <c r="E11" s="19">
        <v>3154</v>
      </c>
      <c r="F11" s="18">
        <v>3273</v>
      </c>
      <c r="G11" s="18">
        <v>3407</v>
      </c>
    </row>
    <row r="12" spans="1:7" ht="12.75" customHeight="1">
      <c r="A12" s="20" t="s">
        <v>17</v>
      </c>
      <c r="B12" s="21">
        <v>13472</v>
      </c>
      <c r="C12" s="21">
        <v>10506</v>
      </c>
      <c r="D12" s="21">
        <v>11101</v>
      </c>
      <c r="E12" s="61">
        <v>11594</v>
      </c>
      <c r="F12" s="21">
        <v>11637</v>
      </c>
      <c r="G12" s="21">
        <v>11737</v>
      </c>
    </row>
    <row r="13" spans="1:7" ht="12.75" customHeight="1">
      <c r="A13" s="22" t="s">
        <v>18</v>
      </c>
      <c r="B13" s="23">
        <v>68322</v>
      </c>
      <c r="C13" s="23">
        <v>62607</v>
      </c>
      <c r="D13" s="23">
        <v>76025</v>
      </c>
      <c r="E13" s="24">
        <v>70653</v>
      </c>
      <c r="F13" s="23">
        <v>71724</v>
      </c>
      <c r="G13" s="23">
        <v>72608</v>
      </c>
    </row>
    <row r="14" spans="1:7" ht="3.75" customHeight="1">
      <c r="A14" s="20"/>
      <c r="B14" s="18"/>
      <c r="C14" s="18"/>
      <c r="D14" s="18"/>
      <c r="E14" s="19"/>
      <c r="F14" s="18"/>
      <c r="G14" s="18"/>
    </row>
    <row r="15" spans="1:7" ht="12.75" customHeight="1">
      <c r="A15" s="17" t="s">
        <v>44</v>
      </c>
      <c r="B15" s="18"/>
      <c r="C15" s="18"/>
      <c r="D15" s="18"/>
      <c r="E15" s="25"/>
      <c r="F15" s="18"/>
      <c r="G15" s="18"/>
    </row>
    <row r="16" spans="1:7" ht="12.75" customHeight="1">
      <c r="A16" s="20" t="s">
        <v>19</v>
      </c>
      <c r="B16" s="18">
        <v>52343</v>
      </c>
      <c r="C16" s="18">
        <v>51487</v>
      </c>
      <c r="D16" s="18">
        <v>55384</v>
      </c>
      <c r="E16" s="19">
        <v>57038</v>
      </c>
      <c r="F16" s="18">
        <v>58049</v>
      </c>
      <c r="G16" s="18">
        <v>59200</v>
      </c>
    </row>
    <row r="17" spans="1:7" ht="12.75" customHeight="1">
      <c r="A17" s="20" t="s">
        <v>20</v>
      </c>
      <c r="B17" s="18">
        <v>2503</v>
      </c>
      <c r="C17" s="18">
        <v>2429</v>
      </c>
      <c r="D17" s="18">
        <v>1845</v>
      </c>
      <c r="E17" s="19">
        <v>2821</v>
      </c>
      <c r="F17" s="18">
        <v>3209</v>
      </c>
      <c r="G17" s="18">
        <v>3274</v>
      </c>
    </row>
    <row r="18" spans="1:7" ht="12.75" customHeight="1">
      <c r="A18" s="20" t="s">
        <v>21</v>
      </c>
      <c r="B18" s="18">
        <v>4186</v>
      </c>
      <c r="C18" s="18">
        <v>4057</v>
      </c>
      <c r="D18" s="18">
        <v>4480</v>
      </c>
      <c r="E18" s="19">
        <v>4397</v>
      </c>
      <c r="F18" s="18">
        <v>4460</v>
      </c>
      <c r="G18" s="18">
        <v>4509</v>
      </c>
    </row>
    <row r="19" spans="1:7" ht="12.75" customHeight="1">
      <c r="A19" s="20" t="s">
        <v>22</v>
      </c>
      <c r="B19" s="18">
        <v>2641</v>
      </c>
      <c r="C19" s="18">
        <v>2662</v>
      </c>
      <c r="D19" s="18">
        <v>2715</v>
      </c>
      <c r="E19" s="19">
        <v>2848</v>
      </c>
      <c r="F19" s="18">
        <v>2805</v>
      </c>
      <c r="G19" s="18">
        <v>3103</v>
      </c>
    </row>
    <row r="20" spans="1:7" ht="12.75" customHeight="1">
      <c r="A20" s="20" t="s">
        <v>23</v>
      </c>
      <c r="B20" s="18">
        <v>-365</v>
      </c>
      <c r="C20" s="18">
        <v>-289</v>
      </c>
      <c r="D20" s="18">
        <v>-111</v>
      </c>
      <c r="E20" s="19">
        <v>-322</v>
      </c>
      <c r="F20" s="18">
        <v>-336</v>
      </c>
      <c r="G20" s="18">
        <v>-347</v>
      </c>
    </row>
    <row r="21" spans="1:7" ht="12.75" customHeight="1">
      <c r="A21" s="542" t="s">
        <v>405</v>
      </c>
      <c r="B21" s="18">
        <v>3076</v>
      </c>
      <c r="C21" s="18">
        <v>1750</v>
      </c>
      <c r="D21" s="18">
        <v>1322</v>
      </c>
      <c r="E21" s="19">
        <v>1500</v>
      </c>
      <c r="F21" s="18">
        <v>1500</v>
      </c>
      <c r="G21" s="18">
        <v>1500</v>
      </c>
    </row>
    <row r="22" spans="1:7" ht="15" customHeight="1">
      <c r="A22" s="22" t="s">
        <v>24</v>
      </c>
      <c r="B22" s="29">
        <v>64378</v>
      </c>
      <c r="C22" s="29">
        <v>62096</v>
      </c>
      <c r="D22" s="29">
        <v>65635</v>
      </c>
      <c r="E22" s="28">
        <v>68282</v>
      </c>
      <c r="F22" s="29">
        <v>69687</v>
      </c>
      <c r="G22" s="29">
        <v>71239</v>
      </c>
    </row>
    <row r="23" spans="1:7" ht="3.75" customHeight="1">
      <c r="A23" s="26"/>
      <c r="B23" s="18"/>
      <c r="C23" s="18"/>
      <c r="D23" s="18"/>
      <c r="E23" s="25"/>
      <c r="F23" s="18"/>
      <c r="G23" s="18"/>
    </row>
    <row r="24" spans="1:7" ht="12.75" customHeight="1" thickBot="1">
      <c r="A24" s="30" t="s">
        <v>25</v>
      </c>
      <c r="B24" s="31">
        <v>3944</v>
      </c>
      <c r="C24" s="31">
        <v>511</v>
      </c>
      <c r="D24" s="31">
        <v>10390</v>
      </c>
      <c r="E24" s="32">
        <v>2371</v>
      </c>
      <c r="F24" s="31">
        <v>2037</v>
      </c>
      <c r="G24" s="31">
        <v>1369</v>
      </c>
    </row>
    <row r="25" spans="1:7" ht="3.75" customHeight="1">
      <c r="A25" s="33"/>
      <c r="B25" s="23"/>
      <c r="C25" s="23"/>
      <c r="D25" s="23"/>
      <c r="E25" s="34"/>
      <c r="F25" s="23"/>
      <c r="G25" s="23"/>
    </row>
    <row r="26" spans="1:7" ht="12.75" customHeight="1"/>
    <row r="27" spans="1:7" ht="15" customHeight="1"/>
    <row r="28" spans="1:7" ht="12.75" customHeight="1"/>
    <row r="30" spans="1:7">
      <c r="A30" s="35"/>
    </row>
    <row r="39" spans="4:6">
      <c r="D39" s="36"/>
      <c r="E39" s="36"/>
      <c r="F39" s="36"/>
    </row>
  </sheetData>
  <mergeCells count="1">
    <mergeCell ref="C4:D4"/>
  </mergeCells>
  <pageMargins left="0.75" right="0.75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F35"/>
  <sheetViews>
    <sheetView showGridLines="0" zoomScaleNormal="100" workbookViewId="0">
      <selection activeCell="A44" sqref="A44"/>
    </sheetView>
  </sheetViews>
  <sheetFormatPr defaultColWidth="8.5703125" defaultRowHeight="12"/>
  <cols>
    <col min="1" max="1" width="51.5703125" customWidth="1"/>
    <col min="2" max="6" width="9.42578125" customWidth="1"/>
  </cols>
  <sheetData>
    <row r="1" spans="1:6" ht="15.75" customHeight="1">
      <c r="A1" s="37" t="s">
        <v>26</v>
      </c>
      <c r="B1" s="38"/>
      <c r="C1" s="39"/>
      <c r="D1" s="40"/>
      <c r="E1" s="40"/>
    </row>
    <row r="2" spans="1:6" ht="12" customHeight="1">
      <c r="A2" s="4" t="s">
        <v>1</v>
      </c>
      <c r="B2" s="38"/>
      <c r="C2" s="39"/>
      <c r="D2" s="40"/>
      <c r="E2" s="40"/>
    </row>
    <row r="3" spans="1:6" ht="4.5" customHeight="1">
      <c r="A3" s="4"/>
      <c r="B3" s="38"/>
      <c r="C3" s="39"/>
      <c r="D3" s="40"/>
      <c r="E3" s="40"/>
    </row>
    <row r="4" spans="1:6" ht="12.75" customHeight="1">
      <c r="A4" s="41"/>
      <c r="B4" s="596" t="s">
        <v>27</v>
      </c>
      <c r="C4" s="596"/>
      <c r="D4" s="596"/>
      <c r="E4" s="596"/>
      <c r="F4" s="596"/>
    </row>
    <row r="5" spans="1:6">
      <c r="A5" s="42"/>
      <c r="B5" s="43" t="s">
        <v>28</v>
      </c>
      <c r="C5" s="44" t="s">
        <v>29</v>
      </c>
      <c r="D5" s="45" t="s">
        <v>30</v>
      </c>
      <c r="E5" s="44" t="s">
        <v>332</v>
      </c>
      <c r="F5" s="44" t="s">
        <v>348</v>
      </c>
    </row>
    <row r="6" spans="1:6">
      <c r="A6" s="9"/>
      <c r="B6" s="11" t="s">
        <v>7</v>
      </c>
      <c r="C6" s="11" t="s">
        <v>9</v>
      </c>
      <c r="D6" s="12" t="s">
        <v>10</v>
      </c>
      <c r="E6" s="11" t="s">
        <v>11</v>
      </c>
      <c r="F6" s="11" t="s">
        <v>11</v>
      </c>
    </row>
    <row r="7" spans="1:6" ht="2.25" customHeight="1">
      <c r="A7" s="13"/>
      <c r="B7" s="7"/>
      <c r="C7" s="7"/>
      <c r="D7" s="46"/>
      <c r="E7" s="47"/>
      <c r="F7" s="47"/>
    </row>
    <row r="8" spans="1:6">
      <c r="A8" s="41" t="s">
        <v>31</v>
      </c>
      <c r="B8" s="48">
        <v>78126</v>
      </c>
      <c r="C8" s="48">
        <v>71533</v>
      </c>
      <c r="D8" s="49">
        <v>71851</v>
      </c>
      <c r="E8" s="48">
        <v>72782</v>
      </c>
      <c r="F8" s="48">
        <v>75506</v>
      </c>
    </row>
    <row r="9" spans="1:6">
      <c r="A9" s="41" t="s">
        <v>32</v>
      </c>
      <c r="B9" s="18">
        <v>135092</v>
      </c>
      <c r="C9" s="18">
        <v>118902</v>
      </c>
      <c r="D9" s="19">
        <v>118356</v>
      </c>
      <c r="E9" s="18">
        <v>118375</v>
      </c>
      <c r="F9" s="18">
        <v>119612</v>
      </c>
    </row>
    <row r="10" spans="1:6">
      <c r="A10" s="50" t="s">
        <v>33</v>
      </c>
      <c r="B10" s="51">
        <v>-56966</v>
      </c>
      <c r="C10" s="51">
        <v>-47369</v>
      </c>
      <c r="D10" s="52">
        <v>-46505</v>
      </c>
      <c r="E10" s="51">
        <v>-45593</v>
      </c>
      <c r="F10" s="51">
        <v>-44106</v>
      </c>
    </row>
    <row r="11" spans="1:6">
      <c r="A11" s="35" t="s">
        <v>34</v>
      </c>
      <c r="B11" s="53">
        <v>58576</v>
      </c>
      <c r="C11" s="53">
        <v>59549</v>
      </c>
      <c r="D11" s="54">
        <v>61197</v>
      </c>
      <c r="E11" s="53">
        <v>62362</v>
      </c>
      <c r="F11" s="53">
        <v>62244</v>
      </c>
    </row>
    <row r="12" spans="1:6">
      <c r="A12" s="55" t="s">
        <v>35</v>
      </c>
      <c r="B12" s="53">
        <v>-3523</v>
      </c>
      <c r="C12" s="53">
        <v>-3703</v>
      </c>
      <c r="D12" s="54">
        <v>-3844</v>
      </c>
      <c r="E12" s="53">
        <v>-3884</v>
      </c>
      <c r="F12" s="53">
        <v>-3884</v>
      </c>
    </row>
    <row r="13" spans="1:6" ht="12.75" thickBot="1">
      <c r="A13" s="30" t="s">
        <v>36</v>
      </c>
      <c r="B13" s="31">
        <v>-1913</v>
      </c>
      <c r="C13" s="56">
        <v>8477</v>
      </c>
      <c r="D13" s="32">
        <v>10848</v>
      </c>
      <c r="E13" s="31">
        <v>12885</v>
      </c>
      <c r="F13" s="31">
        <v>14254</v>
      </c>
    </row>
    <row r="14" spans="1:6" ht="3.75" customHeight="1">
      <c r="D14" s="57"/>
    </row>
    <row r="15" spans="1:6">
      <c r="A15" s="35" t="s">
        <v>37</v>
      </c>
      <c r="B15" s="18">
        <v>-5761</v>
      </c>
      <c r="C15" s="18">
        <v>-1913</v>
      </c>
      <c r="D15" s="19">
        <v>8477</v>
      </c>
      <c r="E15" s="18">
        <v>10848</v>
      </c>
      <c r="F15" s="18">
        <v>12885</v>
      </c>
    </row>
    <row r="16" spans="1:6">
      <c r="A16" s="35" t="s">
        <v>38</v>
      </c>
      <c r="B16" s="18">
        <v>3944</v>
      </c>
      <c r="C16" s="18">
        <v>10390</v>
      </c>
      <c r="D16" s="19">
        <v>2371</v>
      </c>
      <c r="E16" s="18">
        <v>2037</v>
      </c>
      <c r="F16" s="18">
        <v>1369</v>
      </c>
    </row>
    <row r="17" spans="1:6">
      <c r="A17" s="35" t="s">
        <v>39</v>
      </c>
      <c r="B17" s="18">
        <v>-96</v>
      </c>
      <c r="C17" s="18">
        <v>0</v>
      </c>
      <c r="D17" s="19">
        <v>0</v>
      </c>
      <c r="E17" s="18">
        <v>0</v>
      </c>
      <c r="F17" s="18">
        <v>0</v>
      </c>
    </row>
    <row r="18" spans="1:6" ht="3.75" customHeight="1">
      <c r="A18" s="58"/>
      <c r="B18" s="27"/>
      <c r="C18" s="27"/>
      <c r="D18" s="28"/>
      <c r="E18" s="27"/>
      <c r="F18" s="27"/>
    </row>
    <row r="19" spans="1:6">
      <c r="A19" s="59" t="s">
        <v>40</v>
      </c>
      <c r="B19" s="60">
        <v>-1913</v>
      </c>
      <c r="C19" s="60">
        <v>8477</v>
      </c>
      <c r="D19" s="61">
        <v>10848</v>
      </c>
      <c r="E19" s="60">
        <v>12885</v>
      </c>
      <c r="F19" s="60">
        <v>14254</v>
      </c>
    </row>
    <row r="20" spans="1:6" ht="3.75" customHeight="1">
      <c r="C20" s="36"/>
      <c r="D20" s="62"/>
      <c r="E20" s="36"/>
    </row>
    <row r="21" spans="1:6" ht="12.75" thickBot="1">
      <c r="A21" s="63" t="s">
        <v>41</v>
      </c>
      <c r="B21" s="64">
        <v>-0.152</v>
      </c>
      <c r="C21" s="64">
        <v>-0.10199999999999999</v>
      </c>
      <c r="D21" s="65">
        <v>-0.10199999999999999</v>
      </c>
      <c r="E21" s="64">
        <v>-9.7000000000000003E-2</v>
      </c>
      <c r="F21" s="64">
        <v>-9.0999999999999998E-2</v>
      </c>
    </row>
    <row r="35" spans="2:6">
      <c r="B35" s="553"/>
      <c r="C35" s="553"/>
      <c r="D35" s="553"/>
      <c r="E35" s="553"/>
      <c r="F35" s="553"/>
    </row>
  </sheetData>
  <mergeCells count="1">
    <mergeCell ref="B4:F4"/>
  </mergeCells>
  <pageMargins left="0.75" right="0.75" top="0.75" bottom="0.75" header="0.3" footer="0.3"/>
  <pageSetup orientation="portrait" r:id="rId1"/>
  <headerFooter alignWithMargins="0"/>
  <ignoredErrors>
    <ignoredError sqref="B5:F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I184"/>
  <sheetViews>
    <sheetView showGridLines="0" zoomScaleNormal="100" workbookViewId="0">
      <selection activeCell="A44" sqref="A44"/>
    </sheetView>
  </sheetViews>
  <sheetFormatPr defaultColWidth="9" defaultRowHeight="11.25"/>
  <cols>
    <col min="1" max="1" width="3" style="66" customWidth="1"/>
    <col min="2" max="2" width="55.5703125" style="169" customWidth="1"/>
    <col min="3" max="3" width="8" style="68" customWidth="1"/>
    <col min="4" max="5" width="8" style="109" customWidth="1"/>
    <col min="6" max="7" width="8" style="68" customWidth="1"/>
    <col min="8" max="8" width="8" style="66" customWidth="1"/>
    <col min="9" max="16384" width="9" style="66"/>
  </cols>
  <sheetData>
    <row r="1" spans="1:9" ht="15.75">
      <c r="B1" s="67" t="s">
        <v>42</v>
      </c>
      <c r="D1" s="69"/>
      <c r="E1" s="69"/>
    </row>
    <row r="2" spans="1:9" s="70" customFormat="1" ht="12" customHeight="1">
      <c r="B2" s="71" t="s">
        <v>1</v>
      </c>
      <c r="C2" s="69"/>
      <c r="D2" s="72"/>
      <c r="E2" s="72"/>
      <c r="F2" s="72"/>
      <c r="G2" s="72"/>
    </row>
    <row r="3" spans="1:9" s="70" customFormat="1" ht="3.75" customHeight="1">
      <c r="B3" s="71"/>
      <c r="C3" s="69"/>
      <c r="D3" s="69"/>
      <c r="E3" s="69"/>
      <c r="F3" s="72"/>
      <c r="G3" s="72"/>
    </row>
    <row r="4" spans="1:9" s="73" customFormat="1" ht="12" customHeight="1">
      <c r="B4" s="597" t="s">
        <v>43</v>
      </c>
      <c r="C4" s="7" t="s">
        <v>4</v>
      </c>
      <c r="D4" s="595" t="s">
        <v>5</v>
      </c>
      <c r="E4" s="595"/>
      <c r="F4" s="8" t="s">
        <v>6</v>
      </c>
      <c r="G4" s="7" t="s">
        <v>301</v>
      </c>
      <c r="H4" s="73" t="s">
        <v>347</v>
      </c>
    </row>
    <row r="5" spans="1:9" s="75" customFormat="1" ht="12" customHeight="1">
      <c r="A5" s="74"/>
      <c r="B5" s="598"/>
      <c r="C5" s="11" t="s">
        <v>7</v>
      </c>
      <c r="D5" s="11" t="s">
        <v>8</v>
      </c>
      <c r="E5" s="11" t="s">
        <v>9</v>
      </c>
      <c r="F5" s="12" t="s">
        <v>10</v>
      </c>
      <c r="G5" s="11" t="s">
        <v>11</v>
      </c>
      <c r="H5" s="11" t="s">
        <v>11</v>
      </c>
    </row>
    <row r="6" spans="1:9" s="76" customFormat="1" ht="3.75" customHeight="1">
      <c r="C6" s="69"/>
      <c r="D6" s="77"/>
      <c r="E6" s="77"/>
      <c r="F6" s="78"/>
    </row>
    <row r="7" spans="1:9" ht="13.5" customHeight="1">
      <c r="A7" s="66">
        <v>1</v>
      </c>
      <c r="B7" s="79" t="s">
        <v>18</v>
      </c>
      <c r="C7" s="80">
        <v>68322</v>
      </c>
      <c r="D7" s="80">
        <v>62607</v>
      </c>
      <c r="E7" s="80">
        <v>76025</v>
      </c>
      <c r="F7" s="81">
        <v>70653</v>
      </c>
      <c r="G7" s="80">
        <v>71724</v>
      </c>
      <c r="H7" s="80">
        <v>72608</v>
      </c>
      <c r="I7"/>
    </row>
    <row r="8" spans="1:9" ht="12.75" customHeight="1">
      <c r="B8" s="82" t="s">
        <v>44</v>
      </c>
      <c r="C8" s="83"/>
      <c r="D8" s="84"/>
      <c r="E8" s="84"/>
      <c r="F8" s="85"/>
      <c r="G8" s="86"/>
      <c r="H8" s="86"/>
      <c r="I8"/>
    </row>
    <row r="9" spans="1:9" ht="12.75" customHeight="1">
      <c r="A9" s="66">
        <v>2</v>
      </c>
      <c r="B9" s="87" t="s">
        <v>19</v>
      </c>
      <c r="C9" s="88">
        <v>52343</v>
      </c>
      <c r="D9" s="88">
        <v>51487</v>
      </c>
      <c r="E9" s="88">
        <v>55384</v>
      </c>
      <c r="F9" s="85">
        <v>57038</v>
      </c>
      <c r="G9" s="88">
        <v>58049</v>
      </c>
      <c r="H9" s="88">
        <v>59200</v>
      </c>
      <c r="I9"/>
    </row>
    <row r="10" spans="1:9" ht="12.75" customHeight="1">
      <c r="A10" s="66">
        <v>3</v>
      </c>
      <c r="B10" s="90" t="s">
        <v>45</v>
      </c>
      <c r="C10" s="91">
        <v>3.2263790009269044</v>
      </c>
      <c r="D10" s="92">
        <v>-1.6353667157021912</v>
      </c>
      <c r="E10" s="92">
        <v>5.8097548860401638</v>
      </c>
      <c r="F10" s="93">
        <v>2.9864220713563538</v>
      </c>
      <c r="G10" s="92">
        <v>1.7725025421648777</v>
      </c>
      <c r="H10" s="94">
        <v>1.9828076280383744</v>
      </c>
      <c r="I10"/>
    </row>
    <row r="11" spans="1:9" ht="12.75" customHeight="1">
      <c r="A11" s="66">
        <v>4</v>
      </c>
      <c r="B11" s="87" t="s">
        <v>20</v>
      </c>
      <c r="C11" s="88">
        <v>2503</v>
      </c>
      <c r="D11" s="88">
        <v>2429</v>
      </c>
      <c r="E11" s="88">
        <v>1845</v>
      </c>
      <c r="F11" s="85">
        <v>2821</v>
      </c>
      <c r="G11" s="88">
        <v>3209</v>
      </c>
      <c r="H11" s="88">
        <v>3274</v>
      </c>
      <c r="I11"/>
    </row>
    <row r="12" spans="1:9" s="95" customFormat="1" ht="12.75" customHeight="1">
      <c r="A12" s="66">
        <v>5</v>
      </c>
      <c r="B12" s="87" t="s">
        <v>21</v>
      </c>
      <c r="C12" s="88">
        <v>4186</v>
      </c>
      <c r="D12" s="88">
        <v>4057</v>
      </c>
      <c r="E12" s="88">
        <v>4480</v>
      </c>
      <c r="F12" s="85">
        <v>4397</v>
      </c>
      <c r="G12" s="88">
        <v>4460</v>
      </c>
      <c r="H12" s="88">
        <v>4509</v>
      </c>
      <c r="I12"/>
    </row>
    <row r="13" spans="1:9" s="95" customFormat="1" ht="12.75" customHeight="1">
      <c r="A13" s="66">
        <v>6</v>
      </c>
      <c r="B13" s="538" t="s">
        <v>389</v>
      </c>
      <c r="C13" s="88">
        <v>2278</v>
      </c>
      <c r="D13" s="88">
        <v>2443</v>
      </c>
      <c r="E13" s="88">
        <v>2217</v>
      </c>
      <c r="F13" s="85">
        <v>2097</v>
      </c>
      <c r="G13" s="88">
        <v>2156</v>
      </c>
      <c r="H13" s="88">
        <v>2513</v>
      </c>
      <c r="I13"/>
    </row>
    <row r="14" spans="1:9" ht="12.75" customHeight="1">
      <c r="A14" s="66">
        <v>7</v>
      </c>
      <c r="B14" s="538" t="s">
        <v>164</v>
      </c>
      <c r="C14" s="88">
        <v>363</v>
      </c>
      <c r="D14" s="88">
        <v>219</v>
      </c>
      <c r="E14" s="88">
        <v>498</v>
      </c>
      <c r="F14" s="85">
        <v>751</v>
      </c>
      <c r="G14" s="88">
        <v>649</v>
      </c>
      <c r="H14" s="88">
        <v>590</v>
      </c>
      <c r="I14"/>
    </row>
    <row r="15" spans="1:9" ht="12.75" customHeight="1">
      <c r="A15" s="66">
        <v>8</v>
      </c>
      <c r="B15" s="87" t="s">
        <v>23</v>
      </c>
      <c r="C15" s="88">
        <v>-365</v>
      </c>
      <c r="D15" s="88">
        <v>-289</v>
      </c>
      <c r="E15" s="88">
        <v>-111</v>
      </c>
      <c r="F15" s="85">
        <v>-322</v>
      </c>
      <c r="G15" s="88">
        <v>-336</v>
      </c>
      <c r="H15" s="88">
        <v>-347</v>
      </c>
      <c r="I15"/>
    </row>
    <row r="16" spans="1:9" ht="12.75" customHeight="1">
      <c r="A16" s="66">
        <v>9</v>
      </c>
      <c r="B16" s="131" t="s">
        <v>388</v>
      </c>
      <c r="C16" s="98">
        <v>3076</v>
      </c>
      <c r="D16" s="98">
        <v>1750</v>
      </c>
      <c r="E16" s="98">
        <v>1322</v>
      </c>
      <c r="F16" s="99">
        <v>1500</v>
      </c>
      <c r="G16" s="98">
        <v>1500</v>
      </c>
      <c r="H16" s="98">
        <v>1500</v>
      </c>
      <c r="I16"/>
    </row>
    <row r="17" spans="1:9" ht="12.75" customHeight="1">
      <c r="A17" s="66">
        <v>10</v>
      </c>
      <c r="B17" s="50" t="s">
        <v>24</v>
      </c>
      <c r="C17" s="102">
        <v>64378</v>
      </c>
      <c r="D17" s="102">
        <v>62096</v>
      </c>
      <c r="E17" s="102">
        <v>65635</v>
      </c>
      <c r="F17" s="103">
        <v>68282</v>
      </c>
      <c r="G17" s="102">
        <v>69687</v>
      </c>
      <c r="H17" s="102">
        <v>71239</v>
      </c>
      <c r="I17"/>
    </row>
    <row r="18" spans="1:9" ht="3.75" customHeight="1">
      <c r="B18" s="100"/>
      <c r="C18" s="101"/>
      <c r="D18" s="101"/>
      <c r="E18" s="101"/>
      <c r="F18" s="99"/>
      <c r="G18" s="101"/>
      <c r="H18" s="101"/>
      <c r="I18"/>
    </row>
    <row r="19" spans="1:9" ht="14.25" customHeight="1" thickBot="1">
      <c r="A19" s="105">
        <v>11</v>
      </c>
      <c r="B19" s="106" t="s">
        <v>38</v>
      </c>
      <c r="C19" s="107">
        <v>3944</v>
      </c>
      <c r="D19" s="107">
        <v>511</v>
      </c>
      <c r="E19" s="107">
        <v>10390</v>
      </c>
      <c r="F19" s="108">
        <v>2371</v>
      </c>
      <c r="G19" s="107">
        <v>2037</v>
      </c>
      <c r="H19" s="107">
        <v>1369</v>
      </c>
      <c r="I19"/>
    </row>
    <row r="20" spans="1:9" ht="3.75" customHeight="1">
      <c r="B20" s="100"/>
      <c r="C20" s="109"/>
      <c r="F20" s="98"/>
      <c r="G20" s="109"/>
      <c r="H20" s="109"/>
    </row>
    <row r="21" spans="1:9" ht="15.75" customHeight="1">
      <c r="A21" s="110"/>
      <c r="B21" s="111" t="s">
        <v>46</v>
      </c>
      <c r="C21" s="112"/>
      <c r="D21" s="112"/>
      <c r="E21" s="112"/>
      <c r="F21" s="113"/>
      <c r="G21" s="112"/>
      <c r="H21" s="112"/>
    </row>
    <row r="22" spans="1:9" ht="3.75" customHeight="1">
      <c r="B22" s="114"/>
      <c r="C22" s="109"/>
      <c r="D22" s="101"/>
      <c r="E22" s="101"/>
      <c r="F22" s="99"/>
      <c r="G22" s="109"/>
      <c r="H22" s="109"/>
    </row>
    <row r="23" spans="1:9" ht="12.75" customHeight="1">
      <c r="A23" s="66">
        <v>12</v>
      </c>
      <c r="B23" s="87" t="s">
        <v>20</v>
      </c>
      <c r="C23" s="68">
        <v>2503</v>
      </c>
      <c r="D23" s="68">
        <v>2429</v>
      </c>
      <c r="E23" s="68">
        <v>1845</v>
      </c>
      <c r="F23" s="99">
        <v>2821</v>
      </c>
      <c r="G23" s="68">
        <v>3209</v>
      </c>
      <c r="H23" s="68">
        <v>3274</v>
      </c>
    </row>
    <row r="24" spans="1:9" ht="12.75" customHeight="1">
      <c r="A24" s="66">
        <v>13</v>
      </c>
      <c r="B24" s="115" t="s">
        <v>47</v>
      </c>
      <c r="C24" s="68">
        <v>4119</v>
      </c>
      <c r="D24" s="68">
        <v>5105</v>
      </c>
      <c r="E24" s="68">
        <v>4601</v>
      </c>
      <c r="F24" s="99">
        <v>5184</v>
      </c>
      <c r="G24" s="68">
        <v>4767</v>
      </c>
      <c r="H24" s="68">
        <v>3733</v>
      </c>
    </row>
    <row r="25" spans="1:9" ht="3.75" customHeight="1">
      <c r="B25" s="87"/>
      <c r="C25" s="116"/>
      <c r="D25" s="117"/>
      <c r="E25" s="117"/>
      <c r="F25" s="118"/>
      <c r="G25" s="117"/>
      <c r="H25" s="117"/>
    </row>
    <row r="26" spans="1:9" ht="14.25" customHeight="1" thickBot="1">
      <c r="A26" s="105">
        <v>14</v>
      </c>
      <c r="B26" s="106" t="s">
        <v>48</v>
      </c>
      <c r="C26" s="107">
        <v>6622</v>
      </c>
      <c r="D26" s="119">
        <v>7534</v>
      </c>
      <c r="E26" s="119">
        <v>6446</v>
      </c>
      <c r="F26" s="108">
        <v>8005</v>
      </c>
      <c r="G26" s="107">
        <v>7976</v>
      </c>
      <c r="H26" s="107">
        <v>7008</v>
      </c>
    </row>
    <row r="27" spans="1:9" ht="3.75" customHeight="1">
      <c r="B27" s="120"/>
      <c r="C27" s="121"/>
      <c r="D27" s="84"/>
      <c r="E27" s="84"/>
      <c r="F27" s="88"/>
      <c r="G27" s="88"/>
      <c r="H27" s="122"/>
    </row>
    <row r="28" spans="1:9" ht="15.75" customHeight="1">
      <c r="A28" s="110"/>
      <c r="B28" s="123" t="s">
        <v>49</v>
      </c>
      <c r="C28" s="599" t="s">
        <v>50</v>
      </c>
      <c r="D28" s="599"/>
      <c r="E28" s="599"/>
      <c r="F28" s="599"/>
      <c r="G28" s="599"/>
      <c r="H28" s="599"/>
    </row>
    <row r="29" spans="1:9" ht="3.75" customHeight="1">
      <c r="B29" s="125"/>
      <c r="C29" s="124"/>
      <c r="D29" s="126"/>
      <c r="E29" s="126"/>
      <c r="F29" s="124"/>
      <c r="G29" s="124"/>
      <c r="H29" s="124"/>
    </row>
    <row r="30" spans="1:9" ht="13.5" customHeight="1">
      <c r="A30" s="66">
        <v>15</v>
      </c>
      <c r="B30" s="50" t="s">
        <v>385</v>
      </c>
      <c r="C30" s="127">
        <v>7429</v>
      </c>
      <c r="D30" s="128">
        <v>7241</v>
      </c>
      <c r="E30" s="128">
        <v>8858</v>
      </c>
      <c r="F30" s="129">
        <v>3644</v>
      </c>
      <c r="G30" s="128">
        <v>1443</v>
      </c>
      <c r="H30" s="128">
        <v>0</v>
      </c>
    </row>
    <row r="31" spans="1:9" ht="13.5" customHeight="1">
      <c r="A31" s="66">
        <v>16</v>
      </c>
      <c r="B31" s="50" t="s">
        <v>25</v>
      </c>
      <c r="C31" s="121">
        <v>3944</v>
      </c>
      <c r="D31" s="96">
        <v>511</v>
      </c>
      <c r="E31" s="96">
        <v>10390</v>
      </c>
      <c r="F31" s="97">
        <v>2371</v>
      </c>
      <c r="G31" s="121">
        <v>2037</v>
      </c>
      <c r="H31" s="121">
        <v>1369</v>
      </c>
    </row>
    <row r="32" spans="1:9" ht="13.5" customHeight="1">
      <c r="B32" s="50" t="s">
        <v>401</v>
      </c>
      <c r="C32" s="121"/>
      <c r="D32" s="96"/>
      <c r="E32" s="96"/>
      <c r="F32" s="130"/>
      <c r="G32" s="121"/>
      <c r="H32" s="121"/>
    </row>
    <row r="33" spans="1:8" ht="13.5" customHeight="1">
      <c r="B33" s="87" t="s">
        <v>391</v>
      </c>
      <c r="C33" s="66"/>
      <c r="D33" s="66"/>
      <c r="E33" s="66"/>
      <c r="F33" s="541"/>
      <c r="G33" s="66"/>
    </row>
    <row r="34" spans="1:8" ht="13.5" customHeight="1">
      <c r="A34" s="66">
        <v>17</v>
      </c>
      <c r="B34" s="539" t="s">
        <v>61</v>
      </c>
      <c r="C34" s="121">
        <v>-705</v>
      </c>
      <c r="D34" s="121">
        <v>-494</v>
      </c>
      <c r="E34" s="121">
        <v>-1813</v>
      </c>
      <c r="F34" s="97">
        <v>-1096</v>
      </c>
      <c r="G34" s="121">
        <v>-1324</v>
      </c>
      <c r="H34" s="121">
        <v>-1494</v>
      </c>
    </row>
    <row r="35" spans="1:8" ht="13.5" customHeight="1">
      <c r="A35" s="66">
        <v>18</v>
      </c>
      <c r="B35" s="539" t="s">
        <v>390</v>
      </c>
      <c r="C35" s="121">
        <v>-1236</v>
      </c>
      <c r="D35" s="121">
        <v>-941</v>
      </c>
      <c r="E35" s="121">
        <v>120</v>
      </c>
      <c r="F35" s="97">
        <v>-1629</v>
      </c>
      <c r="G35" s="121">
        <v>-1528</v>
      </c>
      <c r="H35" s="121">
        <v>-1720</v>
      </c>
    </row>
    <row r="36" spans="1:8" ht="13.5" customHeight="1">
      <c r="A36" s="66">
        <v>19</v>
      </c>
      <c r="B36" s="87" t="s">
        <v>51</v>
      </c>
      <c r="C36" s="121">
        <v>-2268</v>
      </c>
      <c r="D36" s="121">
        <v>917</v>
      </c>
      <c r="E36" s="121">
        <v>1364</v>
      </c>
      <c r="F36" s="97">
        <v>2080</v>
      </c>
      <c r="G36" s="121">
        <v>1421</v>
      </c>
      <c r="H36" s="121">
        <v>1663</v>
      </c>
    </row>
    <row r="37" spans="1:8" ht="13.5" customHeight="1">
      <c r="B37" s="131" t="s">
        <v>392</v>
      </c>
      <c r="C37" s="121"/>
      <c r="D37" s="121"/>
      <c r="E37" s="121"/>
      <c r="F37" s="97"/>
      <c r="G37" s="121"/>
      <c r="H37" s="121"/>
    </row>
    <row r="38" spans="1:8" ht="13.5" customHeight="1">
      <c r="A38" s="66">
        <v>20</v>
      </c>
      <c r="B38" s="539" t="s">
        <v>394</v>
      </c>
      <c r="C38" s="68">
        <v>-3492</v>
      </c>
      <c r="D38" s="68">
        <v>-3547</v>
      </c>
      <c r="E38" s="68">
        <v>-3139</v>
      </c>
      <c r="F38" s="99">
        <v>-3759</v>
      </c>
      <c r="G38" s="68">
        <v>-3428</v>
      </c>
      <c r="H38" s="68">
        <v>-2516</v>
      </c>
    </row>
    <row r="39" spans="1:8" ht="13.5" customHeight="1">
      <c r="A39" s="66">
        <v>21</v>
      </c>
      <c r="B39" s="176" t="s">
        <v>395</v>
      </c>
      <c r="C39" s="121">
        <v>1118</v>
      </c>
      <c r="D39" s="121">
        <v>1304</v>
      </c>
      <c r="E39" s="121">
        <v>1249</v>
      </c>
      <c r="F39" s="97">
        <v>1302</v>
      </c>
      <c r="G39" s="121">
        <v>1360</v>
      </c>
      <c r="H39" s="121">
        <v>1400</v>
      </c>
    </row>
    <row r="40" spans="1:8" ht="13.5" customHeight="1">
      <c r="A40" s="66">
        <v>22</v>
      </c>
      <c r="B40" s="176" t="s">
        <v>393</v>
      </c>
      <c r="C40" s="121">
        <v>-36</v>
      </c>
      <c r="D40" s="121">
        <v>-7</v>
      </c>
      <c r="E40" s="121">
        <v>-31</v>
      </c>
      <c r="F40" s="97">
        <v>-28</v>
      </c>
      <c r="G40" s="121">
        <v>-97</v>
      </c>
      <c r="H40" s="121">
        <v>-103</v>
      </c>
    </row>
    <row r="41" spans="1:8" ht="15.75" customHeight="1">
      <c r="A41" s="66">
        <v>23</v>
      </c>
      <c r="B41" s="50" t="s">
        <v>346</v>
      </c>
      <c r="C41" s="132">
        <v>4754</v>
      </c>
      <c r="D41" s="132">
        <v>4983</v>
      </c>
      <c r="E41" s="132">
        <v>16998</v>
      </c>
      <c r="F41" s="540">
        <v>2885</v>
      </c>
      <c r="G41" s="132">
        <v>-116</v>
      </c>
      <c r="H41" s="132">
        <v>-1401</v>
      </c>
    </row>
    <row r="42" spans="1:8" ht="13.5" customHeight="1">
      <c r="A42" s="66">
        <v>24</v>
      </c>
      <c r="B42" s="87" t="s">
        <v>382</v>
      </c>
      <c r="C42" s="121">
        <v>-708</v>
      </c>
      <c r="D42" s="96">
        <v>-3207</v>
      </c>
      <c r="E42" s="96">
        <v>-13354</v>
      </c>
      <c r="F42" s="130">
        <v>-1442</v>
      </c>
      <c r="G42" s="121">
        <v>0</v>
      </c>
      <c r="H42" s="121">
        <v>0</v>
      </c>
    </row>
    <row r="43" spans="1:8" ht="13.5" customHeight="1">
      <c r="A43" s="66">
        <v>25</v>
      </c>
      <c r="B43" s="131" t="s">
        <v>383</v>
      </c>
      <c r="C43" s="68">
        <v>4812</v>
      </c>
      <c r="D43" s="68">
        <v>224</v>
      </c>
      <c r="E43" s="68">
        <v>0</v>
      </c>
      <c r="F43" s="130">
        <v>0</v>
      </c>
      <c r="G43" s="68">
        <v>116</v>
      </c>
      <c r="H43" s="68">
        <v>1401</v>
      </c>
    </row>
    <row r="44" spans="1:8" ht="12.75" customHeight="1">
      <c r="A44" s="66">
        <v>26</v>
      </c>
      <c r="B44" s="87" t="s">
        <v>384</v>
      </c>
      <c r="C44" s="121">
        <v>0</v>
      </c>
      <c r="D44" s="96">
        <v>0</v>
      </c>
      <c r="E44" s="96">
        <v>0</v>
      </c>
      <c r="F44" s="97">
        <v>-1443</v>
      </c>
      <c r="G44" s="96">
        <v>0</v>
      </c>
      <c r="H44" s="96">
        <v>0</v>
      </c>
    </row>
    <row r="45" spans="1:8" ht="13.5" customHeight="1" thickBot="1">
      <c r="A45" s="105">
        <v>27</v>
      </c>
      <c r="B45" s="134" t="s">
        <v>53</v>
      </c>
      <c r="C45" s="534">
        <v>8858</v>
      </c>
      <c r="D45" s="534">
        <v>2000</v>
      </c>
      <c r="E45" s="534">
        <v>3644</v>
      </c>
      <c r="F45" s="535">
        <v>0</v>
      </c>
      <c r="G45" s="534">
        <v>0</v>
      </c>
      <c r="H45" s="534">
        <v>0</v>
      </c>
    </row>
    <row r="46" spans="1:8" ht="3.75" customHeight="1">
      <c r="B46"/>
      <c r="C46"/>
      <c r="D46"/>
      <c r="E46"/>
      <c r="F46"/>
      <c r="G46"/>
      <c r="H46"/>
    </row>
    <row r="47" spans="1:8" ht="15.75" customHeight="1">
      <c r="B47" s="135" t="s">
        <v>54</v>
      </c>
      <c r="C47" s="600" t="s">
        <v>50</v>
      </c>
      <c r="D47" s="600"/>
      <c r="E47" s="600"/>
      <c r="F47" s="600"/>
      <c r="G47" s="600"/>
      <c r="H47" s="600"/>
    </row>
    <row r="48" spans="1:8" ht="3.75" customHeight="1">
      <c r="A48" s="136"/>
      <c r="B48" s="137"/>
      <c r="C48" s="138"/>
      <c r="D48" s="138"/>
      <c r="E48" s="138"/>
      <c r="F48" s="139"/>
      <c r="G48" s="138"/>
      <c r="H48" s="138"/>
    </row>
    <row r="49" spans="1:8" ht="12.75" customHeight="1">
      <c r="B49" s="140" t="s">
        <v>55</v>
      </c>
      <c r="C49" s="141"/>
      <c r="D49" s="142"/>
      <c r="E49" s="142"/>
      <c r="F49" s="143"/>
      <c r="G49" s="144"/>
      <c r="H49" s="144"/>
    </row>
    <row r="50" spans="1:8" ht="12.75" customHeight="1">
      <c r="A50" s="66">
        <v>28</v>
      </c>
      <c r="B50" s="145" t="s">
        <v>56</v>
      </c>
      <c r="C50" s="146">
        <v>42733</v>
      </c>
      <c r="D50" s="147">
        <v>47381</v>
      </c>
      <c r="E50" s="147">
        <v>47529</v>
      </c>
      <c r="F50" s="148">
        <v>45828</v>
      </c>
      <c r="G50" s="149">
        <v>45815</v>
      </c>
      <c r="H50" s="149">
        <v>45849</v>
      </c>
    </row>
    <row r="51" spans="1:8" ht="12.75" customHeight="1">
      <c r="A51" s="66">
        <v>29</v>
      </c>
      <c r="B51" s="145" t="s">
        <v>57</v>
      </c>
      <c r="C51" s="150">
        <v>43</v>
      </c>
      <c r="D51" s="150">
        <v>81</v>
      </c>
      <c r="E51" s="150">
        <v>56</v>
      </c>
      <c r="F51" s="19">
        <v>64</v>
      </c>
      <c r="G51" s="150">
        <v>1</v>
      </c>
      <c r="H51" s="150">
        <v>0</v>
      </c>
    </row>
    <row r="52" spans="1:8" ht="12.75" customHeight="1">
      <c r="A52" s="66">
        <v>30</v>
      </c>
      <c r="B52" s="66" t="s">
        <v>378</v>
      </c>
      <c r="C52" s="150">
        <v>-83</v>
      </c>
      <c r="D52" s="150">
        <v>-89</v>
      </c>
      <c r="E52" s="150">
        <v>-89</v>
      </c>
      <c r="F52" s="19">
        <v>-92</v>
      </c>
      <c r="G52" s="150">
        <v>-98</v>
      </c>
      <c r="H52" s="150">
        <v>-103</v>
      </c>
    </row>
    <row r="53" spans="1:8" ht="12.75" customHeight="1">
      <c r="A53" s="66">
        <v>31</v>
      </c>
      <c r="B53" s="66" t="s">
        <v>379</v>
      </c>
      <c r="C53" s="146">
        <v>4836</v>
      </c>
      <c r="D53" s="147">
        <v>-1355</v>
      </c>
      <c r="E53" s="147">
        <v>-1668</v>
      </c>
      <c r="F53" s="148">
        <v>15</v>
      </c>
      <c r="G53" s="149">
        <v>131</v>
      </c>
      <c r="H53" s="149">
        <v>1415</v>
      </c>
    </row>
    <row r="54" spans="1:8" ht="12.75" customHeight="1">
      <c r="A54" s="66">
        <v>32</v>
      </c>
      <c r="B54" s="151" t="s">
        <v>58</v>
      </c>
      <c r="C54" s="152">
        <v>47529</v>
      </c>
      <c r="D54" s="152">
        <v>46018</v>
      </c>
      <c r="E54" s="152">
        <v>45828</v>
      </c>
      <c r="F54" s="153">
        <v>45815</v>
      </c>
      <c r="G54" s="154">
        <v>45849</v>
      </c>
      <c r="H54" s="154">
        <v>47161</v>
      </c>
    </row>
    <row r="55" spans="1:8" ht="12.75" customHeight="1">
      <c r="B55" s="140" t="s">
        <v>380</v>
      </c>
      <c r="C55" s="155"/>
      <c r="D55" s="156"/>
      <c r="E55" s="156"/>
      <c r="F55" s="157"/>
      <c r="G55" s="155"/>
      <c r="H55" s="155"/>
    </row>
    <row r="56" spans="1:8" ht="12.75" customHeight="1">
      <c r="A56" s="66">
        <v>33</v>
      </c>
      <c r="B56" s="145" t="s">
        <v>56</v>
      </c>
      <c r="C56" s="149">
        <v>50303</v>
      </c>
      <c r="D56" s="147">
        <v>50303</v>
      </c>
      <c r="E56" s="147">
        <v>45595</v>
      </c>
      <c r="F56" s="158">
        <v>33909</v>
      </c>
      <c r="G56" s="159">
        <v>32477</v>
      </c>
      <c r="H56" s="159">
        <v>32487</v>
      </c>
    </row>
    <row r="57" spans="1:8" ht="12.75" customHeight="1">
      <c r="A57" s="66">
        <v>34</v>
      </c>
      <c r="B57" s="66" t="s">
        <v>379</v>
      </c>
      <c r="C57" s="160">
        <v>-4708</v>
      </c>
      <c r="D57" s="160">
        <v>-1603</v>
      </c>
      <c r="E57" s="160">
        <v>-11686</v>
      </c>
      <c r="F57" s="161">
        <v>-1432</v>
      </c>
      <c r="G57" s="160">
        <v>10</v>
      </c>
      <c r="H57" s="160">
        <v>10</v>
      </c>
    </row>
    <row r="58" spans="1:8" ht="12.75" customHeight="1">
      <c r="A58" s="66">
        <v>35</v>
      </c>
      <c r="B58" s="151" t="s">
        <v>59</v>
      </c>
      <c r="C58" s="152">
        <v>45595</v>
      </c>
      <c r="D58" s="152">
        <v>48700</v>
      </c>
      <c r="E58" s="152">
        <v>33909</v>
      </c>
      <c r="F58" s="153">
        <v>32477</v>
      </c>
      <c r="G58" s="152">
        <v>32487</v>
      </c>
      <c r="H58" s="152">
        <v>32497</v>
      </c>
    </row>
    <row r="59" spans="1:8" ht="3.75" customHeight="1">
      <c r="A59" s="162"/>
      <c r="B59" s="140"/>
      <c r="C59" s="142"/>
      <c r="D59" s="36"/>
      <c r="E59" s="36"/>
      <c r="F59" s="163"/>
      <c r="G59" s="164"/>
      <c r="H59" s="164"/>
    </row>
    <row r="60" spans="1:8" ht="12.75" customHeight="1" thickBot="1">
      <c r="A60" s="105">
        <v>36</v>
      </c>
      <c r="B60" s="165" t="s">
        <v>381</v>
      </c>
      <c r="C60" s="166">
        <v>93124</v>
      </c>
      <c r="D60" s="167">
        <v>94718</v>
      </c>
      <c r="E60" s="167">
        <v>79737</v>
      </c>
      <c r="F60" s="168">
        <v>78292</v>
      </c>
      <c r="G60" s="166">
        <v>78336</v>
      </c>
      <c r="H60" s="166">
        <v>79658</v>
      </c>
    </row>
    <row r="61" spans="1:8" ht="12.75" customHeight="1"/>
    <row r="62" spans="1:8" ht="12.75" customHeight="1">
      <c r="B62" s="66"/>
      <c r="C62" s="66"/>
      <c r="D62" s="66"/>
      <c r="E62" s="66"/>
      <c r="F62" s="66"/>
      <c r="G62" s="66"/>
    </row>
    <row r="63" spans="1:8" ht="12.75" customHeight="1">
      <c r="B63" s="66"/>
      <c r="C63" s="66"/>
      <c r="D63" s="66"/>
      <c r="E63" s="66"/>
      <c r="F63" s="66"/>
      <c r="G63" s="66"/>
    </row>
    <row r="64" spans="1:8" ht="3.75" customHeight="1">
      <c r="B64" s="66"/>
      <c r="C64" s="66"/>
      <c r="D64" s="66"/>
      <c r="E64" s="66"/>
      <c r="F64" s="66"/>
      <c r="G64" s="66"/>
    </row>
    <row r="65" spans="1:8" ht="12.75" customHeight="1">
      <c r="B65" s="66"/>
      <c r="C65" s="66"/>
      <c r="D65" s="66"/>
      <c r="E65" s="66"/>
      <c r="F65" s="66"/>
      <c r="G65" s="66"/>
    </row>
    <row r="66" spans="1:8" ht="12.75" customHeight="1">
      <c r="B66" s="66"/>
      <c r="C66" s="66"/>
      <c r="D66" s="66"/>
      <c r="E66" s="66"/>
      <c r="F66" s="66"/>
      <c r="G66" s="66"/>
    </row>
    <row r="67" spans="1:8" ht="12.75" customHeight="1">
      <c r="B67" s="66"/>
      <c r="C67" s="66"/>
      <c r="D67" s="66"/>
      <c r="E67" s="66"/>
      <c r="F67" s="66"/>
      <c r="G67" s="66"/>
    </row>
    <row r="68" spans="1:8" ht="12.75" customHeight="1">
      <c r="B68" s="66"/>
      <c r="C68" s="66"/>
      <c r="D68" s="66"/>
      <c r="E68" s="66"/>
      <c r="F68" s="66"/>
      <c r="G68" s="66"/>
    </row>
    <row r="69" spans="1:8" ht="12.75" customHeight="1">
      <c r="B69" s="66"/>
      <c r="C69" s="66"/>
      <c r="D69" s="66"/>
      <c r="E69" s="66"/>
      <c r="F69" s="66"/>
      <c r="G69" s="66"/>
    </row>
    <row r="70" spans="1:8" ht="12.75" customHeight="1">
      <c r="B70" s="66"/>
      <c r="C70" s="66"/>
      <c r="D70" s="66"/>
      <c r="E70" s="66"/>
      <c r="F70" s="66"/>
      <c r="G70" s="66"/>
    </row>
    <row r="71" spans="1:8" ht="12.75" customHeight="1">
      <c r="B71" s="66"/>
      <c r="C71" s="66"/>
      <c r="D71" s="66"/>
      <c r="E71" s="66"/>
      <c r="F71" s="66"/>
      <c r="G71" s="66"/>
    </row>
    <row r="72" spans="1:8" ht="12.75" customHeight="1">
      <c r="A72"/>
      <c r="B72"/>
      <c r="C72"/>
      <c r="D72"/>
      <c r="E72"/>
      <c r="F72"/>
      <c r="G72"/>
      <c r="H72"/>
    </row>
    <row r="73" spans="1:8" ht="12.75" customHeight="1">
      <c r="A73"/>
      <c r="B73"/>
      <c r="C73"/>
      <c r="D73"/>
      <c r="E73"/>
      <c r="F73"/>
      <c r="G73"/>
      <c r="H73"/>
    </row>
    <row r="74" spans="1:8" ht="3.75" customHeight="1">
      <c r="A74"/>
      <c r="B74"/>
      <c r="C74"/>
      <c r="D74"/>
      <c r="E74"/>
      <c r="F74"/>
      <c r="G74"/>
      <c r="H74"/>
    </row>
    <row r="75" spans="1:8" ht="12.75" customHeight="1">
      <c r="A75"/>
      <c r="B75"/>
      <c r="C75"/>
      <c r="D75"/>
      <c r="E75"/>
      <c r="F75"/>
      <c r="G75"/>
      <c r="H75"/>
    </row>
    <row r="76" spans="1:8" ht="12.75" customHeight="1">
      <c r="A76"/>
      <c r="B76"/>
      <c r="C76"/>
      <c r="D76"/>
      <c r="E76"/>
      <c r="F76"/>
      <c r="G76"/>
      <c r="H76"/>
    </row>
    <row r="77" spans="1:8" ht="12.75" customHeight="1">
      <c r="A77"/>
      <c r="B77"/>
      <c r="C77"/>
      <c r="D77"/>
      <c r="E77"/>
      <c r="F77"/>
      <c r="G77"/>
      <c r="H77"/>
    </row>
    <row r="78" spans="1:8" ht="12.75" customHeight="1">
      <c r="A78"/>
      <c r="B78"/>
      <c r="C78"/>
      <c r="D78"/>
      <c r="E78"/>
      <c r="F78"/>
      <c r="G78"/>
      <c r="H78"/>
    </row>
    <row r="79" spans="1:8" ht="12.75" customHeight="1">
      <c r="A79"/>
      <c r="B79"/>
      <c r="C79"/>
      <c r="D79"/>
      <c r="E79"/>
      <c r="F79"/>
      <c r="G79"/>
      <c r="H79"/>
    </row>
    <row r="80" spans="1:8" ht="12.75" customHeight="1">
      <c r="A80"/>
      <c r="B80"/>
      <c r="C80"/>
      <c r="D80"/>
      <c r="E80"/>
      <c r="F80"/>
      <c r="G80"/>
      <c r="H80"/>
    </row>
    <row r="81" spans="1:8" ht="12.75" customHeight="1">
      <c r="A81"/>
      <c r="B81"/>
      <c r="C81"/>
      <c r="D81"/>
      <c r="E81"/>
      <c r="F81"/>
      <c r="G81"/>
      <c r="H81"/>
    </row>
    <row r="82" spans="1:8" ht="3.75" customHeight="1">
      <c r="A82"/>
      <c r="B82"/>
      <c r="C82"/>
      <c r="D82"/>
      <c r="E82"/>
      <c r="F82"/>
      <c r="G82"/>
      <c r="H82"/>
    </row>
    <row r="83" spans="1:8" ht="12.75" customHeight="1">
      <c r="A83"/>
      <c r="B83"/>
      <c r="C83"/>
      <c r="D83"/>
      <c r="E83"/>
      <c r="F83"/>
      <c r="G83"/>
      <c r="H83"/>
    </row>
    <row r="84" spans="1:8" ht="3.75" customHeight="1">
      <c r="A84"/>
      <c r="B84"/>
      <c r="C84"/>
      <c r="D84"/>
      <c r="E84"/>
      <c r="F84"/>
      <c r="G84"/>
      <c r="H84"/>
    </row>
    <row r="85" spans="1:8" ht="12.75" customHeight="1">
      <c r="A85"/>
      <c r="B85"/>
      <c r="C85"/>
      <c r="D85"/>
      <c r="E85"/>
      <c r="F85"/>
      <c r="G85"/>
      <c r="H85"/>
    </row>
    <row r="86" spans="1:8" ht="12.75" customHeight="1">
      <c r="A86"/>
      <c r="B86"/>
      <c r="C86"/>
      <c r="D86"/>
      <c r="E86"/>
      <c r="F86"/>
      <c r="G86"/>
      <c r="H86"/>
    </row>
    <row r="87" spans="1:8" ht="12.75" customHeight="1">
      <c r="A87"/>
      <c r="B87"/>
      <c r="C87"/>
      <c r="D87"/>
      <c r="E87"/>
      <c r="F87"/>
      <c r="G87"/>
      <c r="H87"/>
    </row>
    <row r="88" spans="1:8" ht="3.75" customHeight="1">
      <c r="A88"/>
      <c r="B88"/>
      <c r="C88"/>
      <c r="D88"/>
      <c r="E88"/>
      <c r="F88"/>
      <c r="G88"/>
      <c r="H88"/>
    </row>
    <row r="89" spans="1:8" ht="12.75" customHeight="1">
      <c r="A89"/>
      <c r="B89"/>
      <c r="C89"/>
      <c r="D89"/>
      <c r="E89"/>
      <c r="F89"/>
      <c r="G89"/>
      <c r="H89"/>
    </row>
    <row r="90" spans="1:8" ht="12.75" customHeight="1">
      <c r="A90"/>
      <c r="B90"/>
      <c r="C90"/>
      <c r="D90"/>
      <c r="E90"/>
      <c r="F90"/>
      <c r="G90"/>
      <c r="H90"/>
    </row>
    <row r="91" spans="1:8" ht="12.75" customHeight="1">
      <c r="A91"/>
      <c r="B91"/>
      <c r="C91"/>
      <c r="D91"/>
      <c r="E91"/>
      <c r="F91"/>
      <c r="G91"/>
      <c r="H91"/>
    </row>
    <row r="92" spans="1:8" ht="12.75" customHeight="1">
      <c r="A92"/>
      <c r="B92"/>
      <c r="C92"/>
      <c r="D92"/>
      <c r="E92"/>
      <c r="F92"/>
      <c r="G92"/>
      <c r="H92"/>
    </row>
    <row r="93" spans="1:8" ht="3.75" customHeight="1">
      <c r="A93"/>
      <c r="B93"/>
      <c r="C93"/>
      <c r="D93"/>
      <c r="E93"/>
      <c r="F93"/>
      <c r="G93"/>
      <c r="H93"/>
    </row>
    <row r="94" spans="1:8" ht="12.75" customHeight="1">
      <c r="A94"/>
      <c r="B94"/>
      <c r="C94"/>
      <c r="D94"/>
      <c r="E94"/>
      <c r="F94"/>
      <c r="G94"/>
      <c r="H94"/>
    </row>
    <row r="95" spans="1:8" ht="12.75" customHeight="1">
      <c r="A95"/>
      <c r="B95"/>
      <c r="C95"/>
      <c r="D95"/>
      <c r="E95"/>
      <c r="F95"/>
      <c r="G95"/>
      <c r="H95"/>
    </row>
    <row r="96" spans="1:8" ht="12.75" customHeight="1">
      <c r="A96"/>
      <c r="B96"/>
      <c r="C96"/>
      <c r="D96"/>
      <c r="E96"/>
      <c r="F96"/>
      <c r="G96"/>
      <c r="H96"/>
    </row>
    <row r="97" spans="1:8" ht="12.75" customHeight="1">
      <c r="A97"/>
      <c r="B97"/>
      <c r="C97"/>
      <c r="D97"/>
      <c r="E97"/>
      <c r="F97"/>
      <c r="G97"/>
      <c r="H97"/>
    </row>
    <row r="98" spans="1:8" ht="12">
      <c r="A98"/>
      <c r="B98"/>
      <c r="C98"/>
      <c r="D98"/>
      <c r="E98"/>
      <c r="F98"/>
      <c r="G98"/>
      <c r="H98"/>
    </row>
    <row r="99" spans="1:8" ht="12.75" customHeight="1">
      <c r="A99"/>
      <c r="B99"/>
      <c r="C99"/>
      <c r="D99"/>
      <c r="E99"/>
      <c r="F99"/>
      <c r="G99"/>
      <c r="H99"/>
    </row>
    <row r="100" spans="1:8" ht="12.75" customHeight="1">
      <c r="A100"/>
      <c r="B100"/>
      <c r="C100"/>
      <c r="D100"/>
      <c r="E100"/>
      <c r="F100"/>
      <c r="G100"/>
      <c r="H100"/>
    </row>
    <row r="101" spans="1:8" ht="12.75" customHeight="1">
      <c r="A101"/>
      <c r="B101"/>
      <c r="C101"/>
      <c r="D101"/>
      <c r="E101"/>
      <c r="F101"/>
      <c r="G101"/>
      <c r="H101"/>
    </row>
    <row r="102" spans="1:8" ht="3.75" customHeight="1">
      <c r="A102"/>
      <c r="B102"/>
      <c r="C102"/>
      <c r="D102"/>
      <c r="E102"/>
      <c r="F102"/>
      <c r="G102"/>
      <c r="H102"/>
    </row>
    <row r="103" spans="1:8" ht="12.75" customHeight="1">
      <c r="A103"/>
      <c r="B103"/>
      <c r="C103"/>
      <c r="D103"/>
      <c r="E103"/>
      <c r="F103"/>
      <c r="G103"/>
      <c r="H103"/>
    </row>
    <row r="104" spans="1:8" ht="3.75" customHeight="1">
      <c r="A104"/>
      <c r="B104"/>
      <c r="C104"/>
      <c r="D104"/>
      <c r="E104"/>
      <c r="F104"/>
      <c r="G104"/>
      <c r="H104"/>
    </row>
    <row r="105" spans="1:8" ht="12.75" customHeight="1">
      <c r="A105"/>
      <c r="B105"/>
      <c r="C105"/>
      <c r="D105"/>
      <c r="E105"/>
      <c r="F105"/>
      <c r="G105"/>
      <c r="H105"/>
    </row>
    <row r="106" spans="1:8" ht="3.75" customHeight="1">
      <c r="A106"/>
      <c r="B106"/>
      <c r="C106"/>
      <c r="D106"/>
      <c r="E106"/>
      <c r="F106"/>
      <c r="G106"/>
      <c r="H106"/>
    </row>
    <row r="107" spans="1:8" ht="12.75" customHeight="1">
      <c r="A107"/>
      <c r="B107"/>
      <c r="C107"/>
      <c r="D107"/>
      <c r="E107"/>
      <c r="F107"/>
      <c r="G107"/>
      <c r="H107"/>
    </row>
    <row r="108" spans="1:8" ht="12.75" customHeight="1">
      <c r="A108"/>
      <c r="B108"/>
      <c r="C108"/>
      <c r="D108"/>
      <c r="E108"/>
      <c r="F108"/>
      <c r="G108"/>
      <c r="H108"/>
    </row>
    <row r="109" spans="1:8" ht="12.75" customHeight="1">
      <c r="A109"/>
      <c r="B109"/>
      <c r="C109"/>
      <c r="D109"/>
      <c r="E109"/>
      <c r="F109"/>
      <c r="G109"/>
      <c r="H109"/>
    </row>
    <row r="110" spans="1:8" ht="12.75" customHeight="1">
      <c r="A110"/>
      <c r="B110"/>
      <c r="C110"/>
      <c r="D110"/>
      <c r="E110"/>
      <c r="F110"/>
      <c r="G110"/>
      <c r="H110"/>
    </row>
    <row r="111" spans="1:8" ht="12.75" customHeight="1">
      <c r="A111"/>
      <c r="B111"/>
      <c r="C111"/>
      <c r="D111"/>
      <c r="E111"/>
      <c r="F111"/>
      <c r="G111"/>
      <c r="H111"/>
    </row>
    <row r="112" spans="1:8" ht="12.75" customHeight="1">
      <c r="A112"/>
      <c r="B112"/>
      <c r="C112"/>
      <c r="D112"/>
      <c r="E112"/>
      <c r="F112"/>
      <c r="G112"/>
      <c r="H112"/>
    </row>
    <row r="113" spans="1:8" ht="15.75" customHeight="1">
      <c r="A113"/>
      <c r="B113"/>
      <c r="C113"/>
      <c r="D113"/>
      <c r="E113"/>
      <c r="F113"/>
      <c r="G113"/>
      <c r="H113"/>
    </row>
    <row r="114" spans="1:8" ht="3.75" customHeight="1">
      <c r="A114"/>
      <c r="B114"/>
      <c r="C114"/>
      <c r="D114"/>
      <c r="E114"/>
      <c r="F114"/>
      <c r="G114"/>
      <c r="H114"/>
    </row>
    <row r="115" spans="1:8" ht="15" customHeight="1">
      <c r="A115"/>
      <c r="B115"/>
      <c r="C115"/>
      <c r="D115"/>
      <c r="E115"/>
      <c r="F115"/>
      <c r="G115"/>
      <c r="H115"/>
    </row>
    <row r="116" spans="1:8" ht="12.75" customHeight="1">
      <c r="A116"/>
      <c r="B116"/>
      <c r="C116"/>
      <c r="D116"/>
      <c r="E116"/>
      <c r="F116"/>
      <c r="G116"/>
      <c r="H116"/>
    </row>
    <row r="117" spans="1:8" ht="12.75" customHeight="1">
      <c r="A117"/>
      <c r="B117"/>
      <c r="C117"/>
      <c r="D117"/>
      <c r="E117"/>
      <c r="F117"/>
      <c r="G117"/>
      <c r="H117"/>
    </row>
    <row r="118" spans="1:8" ht="3.75" customHeight="1">
      <c r="B118" s="170"/>
      <c r="C118" s="121"/>
      <c r="D118" s="84"/>
      <c r="E118" s="84"/>
      <c r="F118" s="88"/>
      <c r="G118" s="88"/>
    </row>
    <row r="119" spans="1:8" ht="3.75" customHeight="1">
      <c r="B119" s="170"/>
      <c r="C119" s="121"/>
      <c r="D119" s="84"/>
      <c r="E119" s="84"/>
      <c r="F119" s="88"/>
      <c r="G119" s="88"/>
    </row>
    <row r="120" spans="1:8" ht="12.75" customHeight="1">
      <c r="B120" s="170"/>
      <c r="C120" s="121"/>
      <c r="D120" s="84"/>
      <c r="E120" s="84"/>
      <c r="F120" s="88"/>
      <c r="G120" s="88"/>
    </row>
    <row r="121" spans="1:8" ht="12.75" customHeight="1">
      <c r="B121" s="170"/>
      <c r="C121" s="121"/>
      <c r="D121" s="84"/>
      <c r="E121" s="84"/>
      <c r="F121" s="88"/>
      <c r="G121" s="88"/>
    </row>
    <row r="122" spans="1:8" ht="12.75" customHeight="1">
      <c r="B122" s="170"/>
      <c r="C122" s="121"/>
      <c r="D122" s="84"/>
      <c r="E122" s="84"/>
      <c r="F122" s="88"/>
      <c r="G122" s="88"/>
    </row>
    <row r="123" spans="1:8" ht="12.75" customHeight="1">
      <c r="B123" s="170"/>
      <c r="C123" s="121"/>
      <c r="D123" s="84"/>
      <c r="E123" s="84"/>
      <c r="F123" s="88"/>
      <c r="G123" s="88"/>
    </row>
    <row r="124" spans="1:8" ht="12.75" customHeight="1">
      <c r="B124" s="170"/>
      <c r="C124" s="121"/>
      <c r="D124" s="84"/>
      <c r="E124" s="84"/>
      <c r="F124" s="88"/>
      <c r="G124" s="88"/>
    </row>
    <row r="125" spans="1:8" ht="3.75" customHeight="1">
      <c r="B125" s="170"/>
      <c r="C125" s="121"/>
      <c r="D125" s="84"/>
      <c r="E125" s="84"/>
      <c r="F125" s="88"/>
      <c r="G125" s="88"/>
    </row>
    <row r="126" spans="1:8" customFormat="1" ht="12.75" customHeight="1"/>
    <row r="127" spans="1:8" customFormat="1" ht="3.75" customHeight="1"/>
    <row r="128" spans="1:8" customFormat="1" ht="12.75" customHeight="1"/>
    <row r="129" customFormat="1" ht="3.75" customHeight="1"/>
    <row r="130" customFormat="1" ht="12.75" customHeight="1"/>
    <row r="131" customFormat="1" ht="12.75" customHeight="1"/>
    <row r="132" customFormat="1" ht="12.75" customHeight="1"/>
    <row r="133" customFormat="1" ht="12.75" customHeight="1"/>
    <row r="134" customFormat="1" ht="12.75" customHeight="1"/>
    <row r="135" customFormat="1" ht="12.75" customHeight="1"/>
    <row r="136" customFormat="1" ht="7.5" customHeight="1"/>
    <row r="137" customFormat="1" ht="12.75" customHeight="1"/>
    <row r="138" customFormat="1" ht="3.75" customHeight="1"/>
    <row r="139" customFormat="1" ht="12.75" customHeight="1"/>
    <row r="140" customFormat="1" ht="12.75" customHeight="1"/>
    <row r="141" customFormat="1" ht="12.75" customHeight="1"/>
    <row r="142" customFormat="1" ht="12.75" customHeight="1"/>
    <row r="143" customFormat="1" ht="12.75" customHeight="1"/>
    <row r="144" customFormat="1" ht="12.75" customHeight="1"/>
    <row r="145" customFormat="1" ht="12.75" customHeight="1"/>
    <row r="146" customFormat="1" ht="3.75" customHeight="1"/>
    <row r="147" customFormat="1" ht="12.75" customHeight="1"/>
    <row r="148" customFormat="1" ht="12"/>
    <row r="149" customFormat="1" ht="12" customHeight="1"/>
    <row r="150" customFormat="1" ht="7.5" customHeight="1"/>
    <row r="151" customFormat="1" ht="12.75" customHeight="1"/>
    <row r="152" customFormat="1" ht="12.75" customHeight="1"/>
    <row r="153" customFormat="1" ht="13.5" customHeight="1"/>
    <row r="154" customFormat="1" ht="3.75" customHeight="1"/>
    <row r="155" customFormat="1" ht="12.75" customHeight="1"/>
    <row r="156" customFormat="1" ht="12.75" customHeight="1"/>
    <row r="157" customFormat="1" ht="12.75" customHeight="1"/>
    <row r="158" customFormat="1" ht="12.75" customHeight="1"/>
    <row r="159" customFormat="1" ht="12.75" customHeight="1"/>
    <row r="160" customFormat="1" ht="12.75" customHeight="1"/>
    <row r="161" customFormat="1" ht="12.75" customHeight="1"/>
    <row r="162" customFormat="1" ht="12.75" customHeight="1"/>
    <row r="163" customFormat="1" ht="12.75" customHeight="1"/>
    <row r="164" customFormat="1" ht="12.75" customHeight="1"/>
    <row r="165" customFormat="1" ht="12.75" customHeight="1"/>
    <row r="166" customFormat="1" ht="12.75" customHeight="1"/>
    <row r="167" customFormat="1" ht="12.75" customHeight="1"/>
    <row r="168" customFormat="1" ht="12.75" customHeight="1"/>
    <row r="169" customFormat="1" ht="12.75" customHeight="1"/>
    <row r="170" customFormat="1" ht="12.75" customHeight="1"/>
    <row r="171" customFormat="1" ht="12.75" customHeight="1"/>
    <row r="172" customFormat="1" ht="12.75" customHeight="1"/>
    <row r="173" customFormat="1" ht="12.75" customHeight="1"/>
    <row r="174" customFormat="1" ht="12.75" customHeight="1"/>
    <row r="175" customFormat="1" ht="12.75" customHeight="1"/>
    <row r="176" customFormat="1" ht="12.75" customHeight="1"/>
    <row r="177" spans="1:8" customFormat="1" ht="12"/>
    <row r="178" spans="1:8" customFormat="1" ht="3.75" customHeight="1"/>
    <row r="179" spans="1:8" customFormat="1" ht="12"/>
    <row r="180" spans="1:8" customFormat="1" ht="12"/>
    <row r="181" spans="1:8" ht="3.75" customHeight="1"/>
    <row r="183" spans="1:8" s="169" customFormat="1" ht="12.75" customHeight="1">
      <c r="A183" s="171"/>
      <c r="C183" s="68"/>
      <c r="D183" s="109"/>
      <c r="E183" s="109"/>
      <c r="F183" s="68"/>
      <c r="G183" s="68"/>
      <c r="H183" s="66"/>
    </row>
    <row r="184" spans="1:8" s="169" customFormat="1">
      <c r="A184" s="171"/>
      <c r="C184" s="68"/>
      <c r="D184" s="109"/>
      <c r="E184" s="109"/>
      <c r="F184" s="68"/>
      <c r="G184" s="68"/>
      <c r="H184" s="66"/>
    </row>
  </sheetData>
  <mergeCells count="4">
    <mergeCell ref="B4:B5"/>
    <mergeCell ref="D4:E4"/>
    <mergeCell ref="C28:H28"/>
    <mergeCell ref="C47:H47"/>
  </mergeCells>
  <pageMargins left="0.75" right="0.75" top="0.75" bottom="0.75" header="0.3" footer="0.3"/>
  <pageSetup scale="93" orientation="portrait" r:id="rId1"/>
  <headerFooter alignWithMargins="0"/>
  <rowBreaks count="1" manualBreakCount="1">
    <brk id="14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F55"/>
  <sheetViews>
    <sheetView showGridLines="0" zoomScaleNormal="100" workbookViewId="0">
      <selection activeCell="A44" sqref="A44"/>
    </sheetView>
  </sheetViews>
  <sheetFormatPr defaultColWidth="9" defaultRowHeight="11.25"/>
  <cols>
    <col min="1" max="1" width="59.140625" style="41" customWidth="1"/>
    <col min="2" max="2" width="8" style="38" customWidth="1"/>
    <col min="3" max="4" width="8" style="39" customWidth="1"/>
    <col min="5" max="6" width="8" style="40" customWidth="1"/>
    <col min="7" max="16384" width="9" style="40"/>
  </cols>
  <sheetData>
    <row r="1" spans="1:6" ht="15.75">
      <c r="A1" s="37" t="s">
        <v>60</v>
      </c>
    </row>
    <row r="2" spans="1:6">
      <c r="A2" s="4" t="s">
        <v>1</v>
      </c>
    </row>
    <row r="3" spans="1:6" ht="4.5" customHeight="1">
      <c r="A3" s="4"/>
    </row>
    <row r="4" spans="1:6" s="172" customFormat="1" ht="12.75" customHeight="1">
      <c r="A4" s="41"/>
      <c r="B4" s="596" t="s">
        <v>27</v>
      </c>
      <c r="C4" s="596"/>
      <c r="D4" s="596"/>
      <c r="E4" s="596"/>
      <c r="F4" s="596"/>
    </row>
    <row r="5" spans="1:6" s="172" customFormat="1" ht="12.75" customHeight="1">
      <c r="A5" s="42"/>
      <c r="B5" s="43" t="s">
        <v>28</v>
      </c>
      <c r="C5" s="44" t="s">
        <v>29</v>
      </c>
      <c r="D5" s="45" t="s">
        <v>30</v>
      </c>
      <c r="E5" s="44" t="s">
        <v>332</v>
      </c>
      <c r="F5" s="44" t="s">
        <v>348</v>
      </c>
    </row>
    <row r="6" spans="1:6" s="172" customFormat="1" ht="12.75" customHeight="1">
      <c r="A6" s="9"/>
      <c r="B6" s="11" t="s">
        <v>7</v>
      </c>
      <c r="C6" s="11" t="s">
        <v>9</v>
      </c>
      <c r="D6" s="12" t="s">
        <v>10</v>
      </c>
      <c r="E6" s="11" t="s">
        <v>11</v>
      </c>
      <c r="F6" s="11" t="s">
        <v>11</v>
      </c>
    </row>
    <row r="7" spans="1:6" s="174" customFormat="1" ht="18" customHeight="1">
      <c r="A7" s="50" t="s">
        <v>31</v>
      </c>
      <c r="B7" s="48"/>
      <c r="C7" s="173"/>
      <c r="D7" s="49"/>
      <c r="E7"/>
      <c r="F7"/>
    </row>
    <row r="8" spans="1:6" s="174" customFormat="1" ht="13.5" customHeight="1">
      <c r="A8" s="131" t="s">
        <v>61</v>
      </c>
      <c r="B8" s="48">
        <v>17094</v>
      </c>
      <c r="C8" s="173">
        <v>18907</v>
      </c>
      <c r="D8" s="49">
        <v>20003</v>
      </c>
      <c r="E8" s="173">
        <v>21327</v>
      </c>
      <c r="F8" s="173">
        <v>22821</v>
      </c>
    </row>
    <row r="9" spans="1:6" s="174" customFormat="1" ht="13.5" customHeight="1">
      <c r="A9" s="131" t="s">
        <v>62</v>
      </c>
      <c r="B9" s="48"/>
      <c r="C9" s="173"/>
      <c r="D9" s="49"/>
      <c r="E9" s="173"/>
      <c r="F9" s="173"/>
    </row>
    <row r="10" spans="1:6" s="174" customFormat="1" ht="13.5" customHeight="1">
      <c r="A10" s="176" t="s">
        <v>63</v>
      </c>
      <c r="B10" s="48">
        <v>2094</v>
      </c>
      <c r="C10" s="173">
        <v>2018</v>
      </c>
      <c r="D10" s="49">
        <v>2120</v>
      </c>
      <c r="E10" s="173">
        <v>2228</v>
      </c>
      <c r="F10" s="173">
        <v>2352</v>
      </c>
    </row>
    <row r="11" spans="1:6" s="174" customFormat="1" ht="13.5" customHeight="1">
      <c r="A11" s="176" t="s">
        <v>64</v>
      </c>
      <c r="B11" s="48">
        <v>1249</v>
      </c>
      <c r="C11" s="173">
        <v>1195</v>
      </c>
      <c r="D11" s="49">
        <v>1232</v>
      </c>
      <c r="E11" s="173">
        <v>1286</v>
      </c>
      <c r="F11" s="173">
        <v>1350</v>
      </c>
    </row>
    <row r="12" spans="1:6" s="174" customFormat="1" ht="13.5" customHeight="1">
      <c r="A12" s="176" t="s">
        <v>65</v>
      </c>
      <c r="B12" s="48">
        <v>1447</v>
      </c>
      <c r="C12" s="173">
        <v>1333</v>
      </c>
      <c r="D12" s="49">
        <v>1375</v>
      </c>
      <c r="E12" s="173">
        <v>1408</v>
      </c>
      <c r="F12" s="173">
        <v>1447</v>
      </c>
    </row>
    <row r="13" spans="1:6" s="174" customFormat="1" ht="13.5" customHeight="1">
      <c r="A13" s="131" t="s">
        <v>66</v>
      </c>
      <c r="B13" s="48">
        <v>292</v>
      </c>
      <c r="C13" s="173">
        <v>339</v>
      </c>
      <c r="D13" s="49">
        <v>335</v>
      </c>
      <c r="E13" s="173">
        <v>332</v>
      </c>
      <c r="F13" s="173">
        <v>329</v>
      </c>
    </row>
    <row r="14" spans="1:6" s="174" customFormat="1" ht="13.5" customHeight="1">
      <c r="A14" s="131" t="s">
        <v>376</v>
      </c>
      <c r="B14" s="173">
        <v>8858</v>
      </c>
      <c r="C14" s="173">
        <v>3644</v>
      </c>
      <c r="D14" s="49">
        <v>1443</v>
      </c>
      <c r="E14" s="48">
        <v>0</v>
      </c>
      <c r="F14" s="48">
        <v>0</v>
      </c>
    </row>
    <row r="15" spans="1:6" s="174" customFormat="1" ht="13.5" customHeight="1">
      <c r="A15" s="131" t="s">
        <v>67</v>
      </c>
      <c r="B15" s="18"/>
      <c r="C15" s="18"/>
      <c r="D15" s="19"/>
      <c r="E15" s="18"/>
      <c r="F15" s="18"/>
    </row>
    <row r="16" spans="1:6" s="174" customFormat="1" ht="13.5" customHeight="1">
      <c r="A16" s="176" t="s">
        <v>343</v>
      </c>
      <c r="B16" s="48">
        <v>14424</v>
      </c>
      <c r="C16" s="173">
        <v>14690</v>
      </c>
      <c r="D16" s="49">
        <v>14583</v>
      </c>
      <c r="E16" s="48">
        <v>14430</v>
      </c>
      <c r="F16" s="48">
        <v>14246</v>
      </c>
    </row>
    <row r="17" spans="1:6" s="174" customFormat="1" ht="13.5" customHeight="1">
      <c r="A17" s="176" t="s">
        <v>68</v>
      </c>
      <c r="B17" s="48">
        <v>3967</v>
      </c>
      <c r="C17" s="173">
        <v>3864</v>
      </c>
      <c r="D17" s="49">
        <v>4833</v>
      </c>
      <c r="E17" s="48">
        <v>6033</v>
      </c>
      <c r="F17" s="48">
        <v>7373</v>
      </c>
    </row>
    <row r="18" spans="1:6" s="174" customFormat="1" ht="13.5" customHeight="1">
      <c r="A18" s="131" t="s">
        <v>69</v>
      </c>
      <c r="B18" s="53">
        <v>1766</v>
      </c>
      <c r="C18" s="178">
        <v>1898</v>
      </c>
      <c r="D18" s="54">
        <v>2300</v>
      </c>
      <c r="E18" s="178">
        <v>2393</v>
      </c>
      <c r="F18" s="178">
        <v>2628</v>
      </c>
    </row>
    <row r="19" spans="1:6" s="174" customFormat="1" ht="13.5" customHeight="1">
      <c r="A19" s="131" t="s">
        <v>70</v>
      </c>
      <c r="B19" s="53">
        <v>3647</v>
      </c>
      <c r="C19" s="178">
        <v>4204</v>
      </c>
      <c r="D19" s="54">
        <v>4749</v>
      </c>
      <c r="E19" s="178">
        <v>5319</v>
      </c>
      <c r="F19" s="178">
        <v>5855</v>
      </c>
    </row>
    <row r="20" spans="1:6" s="174" customFormat="1" ht="13.5" customHeight="1">
      <c r="A20" s="131" t="s">
        <v>224</v>
      </c>
      <c r="B20" s="53">
        <v>337</v>
      </c>
      <c r="C20" s="178">
        <v>499</v>
      </c>
      <c r="D20" s="54">
        <v>533</v>
      </c>
      <c r="E20" s="178">
        <v>569</v>
      </c>
      <c r="F20" s="178">
        <v>558</v>
      </c>
    </row>
    <row r="21" spans="1:6" s="174" customFormat="1" ht="13.5" customHeight="1">
      <c r="A21" s="131" t="s">
        <v>71</v>
      </c>
      <c r="B21" s="178">
        <v>22951</v>
      </c>
      <c r="C21" s="178">
        <v>18942</v>
      </c>
      <c r="D21" s="54">
        <v>18345</v>
      </c>
      <c r="E21" s="178">
        <v>17457</v>
      </c>
      <c r="F21" s="178">
        <v>16547</v>
      </c>
    </row>
    <row r="22" spans="1:6" s="174" customFormat="1" ht="15" customHeight="1" thickBot="1">
      <c r="A22" s="30" t="s">
        <v>72</v>
      </c>
      <c r="B22" s="179">
        <v>78126</v>
      </c>
      <c r="C22" s="56">
        <v>71533</v>
      </c>
      <c r="D22" s="180">
        <v>71851</v>
      </c>
      <c r="E22" s="179">
        <v>72782</v>
      </c>
      <c r="F22" s="179">
        <v>75506</v>
      </c>
    </row>
    <row r="23" spans="1:6" s="174" customFormat="1" ht="4.5" customHeight="1">
      <c r="A23" s="33"/>
      <c r="B23" s="53"/>
      <c r="C23" s="178"/>
      <c r="D23" s="54"/>
      <c r="E23" s="53"/>
      <c r="F23" s="53"/>
    </row>
    <row r="24" spans="1:6" s="174" customFormat="1" ht="18" customHeight="1">
      <c r="A24" s="50" t="s">
        <v>32</v>
      </c>
      <c r="B24" s="18"/>
      <c r="C24" s="18"/>
      <c r="D24" s="19"/>
      <c r="E24" s="18"/>
      <c r="F24" s="18"/>
    </row>
    <row r="25" spans="1:6" s="174" customFormat="1" ht="12.75" customHeight="1">
      <c r="A25" s="181" t="s">
        <v>73</v>
      </c>
      <c r="B25" s="48"/>
      <c r="C25" s="173"/>
      <c r="D25" s="49"/>
      <c r="E25" s="48"/>
      <c r="F25" s="48"/>
    </row>
    <row r="26" spans="1:6" s="174" customFormat="1" ht="12.75" customHeight="1">
      <c r="A26" s="182" t="s">
        <v>74</v>
      </c>
      <c r="B26" s="48">
        <v>44482</v>
      </c>
      <c r="C26" s="173">
        <v>42814</v>
      </c>
      <c r="D26" s="49">
        <v>42829</v>
      </c>
      <c r="E26" s="173">
        <v>42960</v>
      </c>
      <c r="F26" s="173">
        <v>44375</v>
      </c>
    </row>
    <row r="27" spans="1:6" s="174" customFormat="1" ht="12.75" customHeight="1">
      <c r="A27" s="182" t="s">
        <v>75</v>
      </c>
      <c r="B27" s="48">
        <v>3047</v>
      </c>
      <c r="C27" s="173">
        <v>3014</v>
      </c>
      <c r="D27" s="49">
        <v>2986</v>
      </c>
      <c r="E27" s="173">
        <v>2889</v>
      </c>
      <c r="F27" s="173">
        <v>2786</v>
      </c>
    </row>
    <row r="28" spans="1:6" s="174" customFormat="1" ht="12.75" customHeight="1">
      <c r="A28" s="183" t="s">
        <v>76</v>
      </c>
      <c r="B28" s="48">
        <v>594</v>
      </c>
      <c r="C28" s="173">
        <v>594</v>
      </c>
      <c r="D28" s="49">
        <v>594</v>
      </c>
      <c r="E28" s="48">
        <v>594</v>
      </c>
      <c r="F28" s="48">
        <v>594</v>
      </c>
    </row>
    <row r="29" spans="1:6" s="174" customFormat="1" ht="12.75" customHeight="1">
      <c r="A29" s="183" t="s">
        <v>77</v>
      </c>
      <c r="B29" s="48">
        <v>45001</v>
      </c>
      <c r="C29" s="173">
        <v>33315</v>
      </c>
      <c r="D29" s="49">
        <v>31883</v>
      </c>
      <c r="E29" s="173">
        <v>31893</v>
      </c>
      <c r="F29" s="173">
        <v>31903</v>
      </c>
    </row>
    <row r="30" spans="1:6" s="174" customFormat="1" ht="12.75" customHeight="1">
      <c r="A30" s="184" t="s">
        <v>78</v>
      </c>
      <c r="B30" s="185">
        <v>93124</v>
      </c>
      <c r="C30" s="186">
        <v>79737</v>
      </c>
      <c r="D30" s="187">
        <v>78292</v>
      </c>
      <c r="E30" s="185">
        <v>78336</v>
      </c>
      <c r="F30" s="185">
        <v>79658</v>
      </c>
    </row>
    <row r="31" spans="1:6" s="55" customFormat="1" ht="13.5" customHeight="1">
      <c r="A31" s="188" t="s">
        <v>79</v>
      </c>
      <c r="B31" s="48"/>
      <c r="C31" s="173"/>
      <c r="D31" s="49"/>
      <c r="E31" s="48"/>
      <c r="F31" s="48"/>
    </row>
    <row r="32" spans="1:6" s="174" customFormat="1" ht="13.5" customHeight="1">
      <c r="A32" s="176" t="s">
        <v>344</v>
      </c>
      <c r="B32" s="48">
        <v>14424</v>
      </c>
      <c r="C32" s="173">
        <v>14690</v>
      </c>
      <c r="D32" s="49">
        <v>14583</v>
      </c>
      <c r="E32" s="48">
        <v>14430</v>
      </c>
      <c r="F32" s="48">
        <v>14246</v>
      </c>
    </row>
    <row r="33" spans="1:6" s="174" customFormat="1" ht="13.5" customHeight="1">
      <c r="A33" s="176" t="s">
        <v>68</v>
      </c>
      <c r="B33" s="48">
        <v>2604</v>
      </c>
      <c r="C33" s="173">
        <v>2772</v>
      </c>
      <c r="D33" s="49">
        <v>3077</v>
      </c>
      <c r="E33" s="48">
        <v>3207</v>
      </c>
      <c r="F33" s="48">
        <v>3337</v>
      </c>
    </row>
    <row r="34" spans="1:6" s="174" customFormat="1" ht="13.5" customHeight="1">
      <c r="A34" s="190" t="s">
        <v>80</v>
      </c>
      <c r="B34" s="185">
        <v>110152</v>
      </c>
      <c r="C34" s="186">
        <v>97199</v>
      </c>
      <c r="D34" s="187">
        <v>95952</v>
      </c>
      <c r="E34" s="185">
        <v>95973</v>
      </c>
      <c r="F34" s="185">
        <v>97241</v>
      </c>
    </row>
    <row r="35" spans="1:6" s="174" customFormat="1" ht="3.75" customHeight="1">
      <c r="A35" s="190"/>
      <c r="B35" s="48"/>
      <c r="C35" s="173"/>
      <c r="D35" s="49"/>
      <c r="E35" s="48"/>
      <c r="F35" s="48"/>
    </row>
    <row r="36" spans="1:6" s="174" customFormat="1" ht="13.5" customHeight="1">
      <c r="A36" s="131" t="s">
        <v>81</v>
      </c>
      <c r="B36" s="178">
        <v>761</v>
      </c>
      <c r="C36" s="178">
        <v>686</v>
      </c>
      <c r="D36" s="54">
        <v>609</v>
      </c>
      <c r="E36" s="178">
        <v>530</v>
      </c>
      <c r="F36" s="178">
        <v>448</v>
      </c>
    </row>
    <row r="37" spans="1:6" s="174" customFormat="1" ht="13.5" customHeight="1">
      <c r="A37" s="131" t="s">
        <v>82</v>
      </c>
      <c r="B37" s="191">
        <v>8271</v>
      </c>
      <c r="C37" s="191">
        <v>8160</v>
      </c>
      <c r="D37" s="192">
        <v>7838</v>
      </c>
      <c r="E37" s="191">
        <v>7502</v>
      </c>
      <c r="F37" s="191">
        <v>7155</v>
      </c>
    </row>
    <row r="38" spans="1:6" s="196" customFormat="1" ht="13.5" customHeight="1">
      <c r="A38" s="131" t="s">
        <v>83</v>
      </c>
      <c r="B38" s="193">
        <v>15908</v>
      </c>
      <c r="C38" s="194">
        <v>12857</v>
      </c>
      <c r="D38" s="195">
        <v>13957</v>
      </c>
      <c r="E38" s="193">
        <v>14370</v>
      </c>
      <c r="F38" s="193">
        <v>14768</v>
      </c>
    </row>
    <row r="39" spans="1:6" s="174" customFormat="1" ht="15" customHeight="1" thickBot="1">
      <c r="A39" s="30" t="s">
        <v>84</v>
      </c>
      <c r="B39" s="179">
        <v>135092</v>
      </c>
      <c r="C39" s="56">
        <v>118902</v>
      </c>
      <c r="D39" s="180">
        <v>118356</v>
      </c>
      <c r="E39" s="179">
        <v>118375</v>
      </c>
      <c r="F39" s="179">
        <v>119612</v>
      </c>
    </row>
    <row r="40" spans="1:6" s="174" customFormat="1" ht="15" customHeight="1">
      <c r="A40" s="50" t="s">
        <v>33</v>
      </c>
      <c r="B40" s="23">
        <v>-56966</v>
      </c>
      <c r="C40" s="23">
        <v>-47369</v>
      </c>
      <c r="D40" s="49">
        <v>-46505</v>
      </c>
      <c r="E40" s="23">
        <v>-45593</v>
      </c>
      <c r="F40" s="23">
        <v>-44106</v>
      </c>
    </row>
    <row r="41" spans="1:6" s="174" customFormat="1" ht="15" customHeight="1">
      <c r="A41" s="33" t="s">
        <v>34</v>
      </c>
      <c r="B41" s="53">
        <v>58576</v>
      </c>
      <c r="C41" s="178">
        <v>59549</v>
      </c>
      <c r="D41" s="54">
        <v>61197</v>
      </c>
      <c r="E41" s="53">
        <v>62362</v>
      </c>
      <c r="F41" s="53">
        <v>62244</v>
      </c>
    </row>
    <row r="42" spans="1:6" s="174" customFormat="1" ht="13.5" customHeight="1">
      <c r="A42" s="35" t="s">
        <v>35</v>
      </c>
      <c r="B42" s="53">
        <v>-3523</v>
      </c>
      <c r="C42" s="178">
        <v>-3703</v>
      </c>
      <c r="D42" s="54">
        <v>-3844</v>
      </c>
      <c r="E42" s="178">
        <v>-3884</v>
      </c>
      <c r="F42" s="178">
        <v>-3884</v>
      </c>
    </row>
    <row r="43" spans="1:6" s="174" customFormat="1" ht="15" customHeight="1" thickBot="1">
      <c r="A43" s="30" t="s">
        <v>36</v>
      </c>
      <c r="B43" s="31">
        <v>-1913</v>
      </c>
      <c r="C43" s="31">
        <v>8477</v>
      </c>
      <c r="D43" s="32">
        <v>10848</v>
      </c>
      <c r="E43" s="31">
        <v>12885</v>
      </c>
      <c r="F43" s="31">
        <v>14254</v>
      </c>
    </row>
    <row r="44" spans="1:6" s="174" customFormat="1" ht="18" customHeight="1" thickBot="1">
      <c r="A44" s="517" t="s">
        <v>341</v>
      </c>
      <c r="B44" s="533">
        <v>-0.152</v>
      </c>
      <c r="C44" s="533">
        <v>-0.10199999999999999</v>
      </c>
      <c r="D44" s="533">
        <v>-0.10199999999999999</v>
      </c>
      <c r="E44" s="533">
        <v>-9.7000000000000003E-2</v>
      </c>
      <c r="F44" s="533">
        <v>-9.0999999999999998E-2</v>
      </c>
    </row>
    <row r="45" spans="1:6" s="174" customFormat="1" ht="18" customHeight="1">
      <c r="A45" s="550"/>
      <c r="B45" s="551"/>
      <c r="C45" s="551"/>
      <c r="D45" s="551"/>
      <c r="E45" s="551"/>
      <c r="F45" s="551"/>
    </row>
    <row r="46" spans="1:6" s="557" customFormat="1" ht="14.25" customHeight="1">
      <c r="A46" s="554"/>
      <c r="B46" s="555"/>
      <c r="C46" s="555"/>
      <c r="D46" s="556"/>
      <c r="E46" s="556"/>
      <c r="F46" s="556"/>
    </row>
    <row r="47" spans="1:6" s="557" customFormat="1" ht="14.25" customHeight="1">
      <c r="A47" s="558"/>
      <c r="B47" s="553"/>
      <c r="C47" s="559"/>
      <c r="D47" s="559"/>
      <c r="E47" s="559"/>
      <c r="F47" s="559"/>
    </row>
    <row r="48" spans="1:6" ht="12">
      <c r="A48" s="560"/>
      <c r="B48" s="561"/>
      <c r="C48" s="562"/>
      <c r="D48" s="562"/>
      <c r="E48" s="562"/>
      <c r="F48" s="562"/>
    </row>
    <row r="49" spans="1:6">
      <c r="A49" s="561"/>
      <c r="B49" s="561"/>
      <c r="C49" s="562"/>
      <c r="D49" s="562"/>
      <c r="E49" s="562"/>
      <c r="F49" s="562"/>
    </row>
    <row r="50" spans="1:6">
      <c r="A50" s="561"/>
      <c r="B50" s="561"/>
      <c r="C50" s="562"/>
      <c r="D50" s="562"/>
      <c r="E50" s="561"/>
      <c r="F50" s="561"/>
    </row>
    <row r="51" spans="1:6">
      <c r="A51" s="563"/>
      <c r="B51" s="562"/>
      <c r="C51" s="562"/>
      <c r="D51" s="562"/>
      <c r="E51" s="562"/>
      <c r="F51" s="562"/>
    </row>
    <row r="52" spans="1:6">
      <c r="A52" s="563"/>
      <c r="B52" s="562"/>
      <c r="C52" s="562"/>
      <c r="D52" s="562"/>
      <c r="E52" s="562"/>
      <c r="F52" s="562"/>
    </row>
    <row r="53" spans="1:6">
      <c r="A53" s="561"/>
      <c r="B53" s="564"/>
      <c r="C53" s="562"/>
      <c r="D53" s="562"/>
      <c r="E53" s="561"/>
      <c r="F53" s="561"/>
    </row>
    <row r="54" spans="1:6">
      <c r="A54" s="563"/>
      <c r="B54" s="564"/>
      <c r="C54" s="564"/>
      <c r="D54" s="564"/>
      <c r="E54" s="564"/>
      <c r="F54" s="564"/>
    </row>
    <row r="55" spans="1:6">
      <c r="A55" s="563"/>
      <c r="B55" s="564"/>
      <c r="C55" s="562"/>
      <c r="D55" s="562"/>
      <c r="E55" s="561"/>
      <c r="F55" s="561"/>
    </row>
  </sheetData>
  <mergeCells count="1">
    <mergeCell ref="B4:F4"/>
  </mergeCells>
  <pageMargins left="0.75" right="0.75" top="0.75" bottom="0.75" header="0.3" footer="0.3"/>
  <pageSetup orientation="portrait" r:id="rId1"/>
  <headerFooter alignWithMargins="0"/>
  <ignoredErrors>
    <ignoredError sqref="B5:F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F17"/>
  <sheetViews>
    <sheetView showGridLines="0" zoomScaleNormal="100" workbookViewId="0">
      <selection activeCell="A44" sqref="A44"/>
    </sheetView>
  </sheetViews>
  <sheetFormatPr defaultColWidth="9" defaultRowHeight="11.25"/>
  <cols>
    <col min="1" max="1" width="59.140625" style="41" customWidth="1"/>
    <col min="2" max="2" width="8" style="38" customWidth="1"/>
    <col min="3" max="4" width="8" style="39" customWidth="1"/>
    <col min="5" max="6" width="8" style="40" customWidth="1"/>
    <col min="7" max="16384" width="9" style="40"/>
  </cols>
  <sheetData>
    <row r="1" spans="1:6" s="174" customFormat="1" ht="15.75" customHeight="1">
      <c r="A1" s="197" t="s">
        <v>85</v>
      </c>
      <c r="B1"/>
      <c r="C1" s="203"/>
      <c r="D1"/>
      <c r="E1"/>
      <c r="F1"/>
    </row>
    <row r="2" spans="1:6" s="174" customFormat="1" ht="11.25" customHeight="1">
      <c r="A2" s="204" t="s">
        <v>1</v>
      </c>
      <c r="B2"/>
      <c r="C2" s="203"/>
      <c r="D2"/>
      <c r="E2"/>
      <c r="F2"/>
    </row>
    <row r="3" spans="1:6" s="174" customFormat="1" ht="3.75" customHeight="1">
      <c r="A3" s="197"/>
      <c r="B3"/>
      <c r="C3" s="203"/>
      <c r="D3"/>
      <c r="E3"/>
      <c r="F3"/>
    </row>
    <row r="4" spans="1:6" s="174" customFormat="1" ht="12" customHeight="1">
      <c r="A4" s="197"/>
      <c r="B4" s="596" t="s">
        <v>27</v>
      </c>
      <c r="C4" s="596"/>
      <c r="D4" s="596"/>
      <c r="E4" s="596"/>
      <c r="F4" s="596"/>
    </row>
    <row r="5" spans="1:6" s="174" customFormat="1" ht="12" customHeight="1">
      <c r="A5" s="197"/>
      <c r="B5" s="43" t="s">
        <v>28</v>
      </c>
      <c r="C5" s="44" t="s">
        <v>29</v>
      </c>
      <c r="D5" s="45" t="s">
        <v>30</v>
      </c>
      <c r="E5" s="44" t="s">
        <v>332</v>
      </c>
      <c r="F5" s="44" t="s">
        <v>348</v>
      </c>
    </row>
    <row r="6" spans="1:6" s="174" customFormat="1" ht="12" customHeight="1">
      <c r="A6" s="205"/>
      <c r="B6" s="10" t="s">
        <v>7</v>
      </c>
      <c r="C6" s="11" t="s">
        <v>9</v>
      </c>
      <c r="D6" s="206" t="s">
        <v>10</v>
      </c>
      <c r="E6" s="11" t="s">
        <v>11</v>
      </c>
      <c r="F6" s="11" t="s">
        <v>11</v>
      </c>
    </row>
    <row r="7" spans="1:6" s="174" customFormat="1" ht="11.25" customHeight="1">
      <c r="A7" s="198"/>
      <c r="B7" s="29"/>
      <c r="C7" s="207"/>
      <c r="D7" s="208"/>
      <c r="E7" s="199"/>
      <c r="F7" s="199"/>
    </row>
    <row r="8" spans="1:6">
      <c r="A8" s="41" t="s">
        <v>86</v>
      </c>
      <c r="B8" s="39">
        <v>55855</v>
      </c>
      <c r="C8" s="189">
        <v>57322</v>
      </c>
      <c r="D8" s="24">
        <v>58530</v>
      </c>
      <c r="E8" s="39">
        <v>60052</v>
      </c>
      <c r="F8" s="39">
        <v>61091</v>
      </c>
    </row>
    <row r="9" spans="1:6">
      <c r="A9" s="41" t="s">
        <v>87</v>
      </c>
      <c r="B9" s="39">
        <v>4119</v>
      </c>
      <c r="C9" s="39">
        <v>4601</v>
      </c>
      <c r="D9" s="24">
        <v>5184</v>
      </c>
      <c r="E9" s="39">
        <v>4767</v>
      </c>
      <c r="F9" s="39">
        <v>3733</v>
      </c>
    </row>
    <row r="10" spans="1:6">
      <c r="A10" s="41" t="s">
        <v>188</v>
      </c>
      <c r="B10" s="39">
        <v>0</v>
      </c>
      <c r="C10" s="189">
        <v>-650</v>
      </c>
      <c r="D10" s="24">
        <v>-800</v>
      </c>
      <c r="E10" s="189">
        <v>-800</v>
      </c>
      <c r="F10" s="189">
        <v>-700</v>
      </c>
    </row>
    <row r="11" spans="1:6">
      <c r="A11" s="41" t="s">
        <v>88</v>
      </c>
      <c r="B11" s="39">
        <v>-2586</v>
      </c>
      <c r="C11" s="39">
        <v>-2741</v>
      </c>
      <c r="D11" s="24">
        <v>-2862</v>
      </c>
      <c r="E11" s="39">
        <v>-2928</v>
      </c>
      <c r="F11" s="39">
        <v>-2941</v>
      </c>
    </row>
    <row r="12" spans="1:6">
      <c r="A12" s="202" t="s">
        <v>89</v>
      </c>
      <c r="B12" s="209">
        <v>-66</v>
      </c>
      <c r="C12" s="209">
        <v>-2</v>
      </c>
      <c r="D12" s="61">
        <v>0</v>
      </c>
      <c r="E12" s="21">
        <v>0</v>
      </c>
      <c r="F12" s="21">
        <v>0</v>
      </c>
    </row>
    <row r="13" spans="1:6" ht="15" customHeight="1" thickBot="1">
      <c r="A13" s="210" t="s">
        <v>90</v>
      </c>
      <c r="B13" s="211">
        <v>57322</v>
      </c>
      <c r="C13" s="212">
        <v>58530</v>
      </c>
      <c r="D13" s="32">
        <v>60052</v>
      </c>
      <c r="E13" s="31">
        <v>61091</v>
      </c>
      <c r="F13" s="31">
        <v>61183</v>
      </c>
    </row>
    <row r="14" spans="1:6" ht="12">
      <c r="B14"/>
      <c r="C14"/>
      <c r="D14"/>
      <c r="E14"/>
      <c r="F14"/>
    </row>
    <row r="16" spans="1:6" ht="12">
      <c r="A16" s="560"/>
      <c r="B16" s="561"/>
      <c r="C16" s="562"/>
      <c r="D16" s="562"/>
    </row>
    <row r="17" spans="1:2">
      <c r="A17" s="40"/>
      <c r="B17" s="40"/>
    </row>
  </sheetData>
  <mergeCells count="1">
    <mergeCell ref="B4:F4"/>
  </mergeCells>
  <pageMargins left="0.75" right="0.75" top="0.75" bottom="0.75" header="0.3" footer="0.3"/>
  <pageSetup orientation="portrait" r:id="rId1"/>
  <headerFooter alignWithMargins="0"/>
  <ignoredErrors>
    <ignoredError sqref="B5:F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H63"/>
  <sheetViews>
    <sheetView showGridLines="0" zoomScaleNormal="100" workbookViewId="0">
      <selection activeCell="A44" sqref="A44"/>
    </sheetView>
  </sheetViews>
  <sheetFormatPr defaultColWidth="8.5703125" defaultRowHeight="12"/>
  <cols>
    <col min="1" max="1" width="51.5703125" customWidth="1"/>
    <col min="2" max="7" width="8" customWidth="1"/>
  </cols>
  <sheetData>
    <row r="1" spans="1:7" ht="15.75">
      <c r="A1" s="1" t="s">
        <v>43</v>
      </c>
      <c r="B1" s="2"/>
      <c r="G1" s="3"/>
    </row>
    <row r="2" spans="1:7">
      <c r="A2" s="4" t="s">
        <v>1</v>
      </c>
      <c r="B2" s="5"/>
    </row>
    <row r="3" spans="1:7" ht="4.5" customHeight="1">
      <c r="A3" s="4"/>
      <c r="B3" s="5"/>
    </row>
    <row r="4" spans="1:7">
      <c r="A4" s="6"/>
      <c r="B4" s="7" t="s">
        <v>4</v>
      </c>
      <c r="C4" s="595" t="s">
        <v>5</v>
      </c>
      <c r="D4" s="595"/>
      <c r="E4" s="8" t="s">
        <v>6</v>
      </c>
      <c r="F4" s="7" t="s">
        <v>301</v>
      </c>
      <c r="G4" s="7" t="s">
        <v>347</v>
      </c>
    </row>
    <row r="5" spans="1:7">
      <c r="A5" s="9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</row>
    <row r="6" spans="1:7" ht="3.75" customHeight="1">
      <c r="A6" s="13"/>
      <c r="B6" s="14"/>
      <c r="C6" s="14"/>
      <c r="E6" s="57"/>
    </row>
    <row r="7" spans="1:7" ht="12.75" customHeight="1">
      <c r="A7" s="50" t="s">
        <v>12</v>
      </c>
      <c r="B7" s="23"/>
      <c r="C7" s="18"/>
      <c r="E7" s="57"/>
    </row>
    <row r="8" spans="1:7" ht="12.75" customHeight="1">
      <c r="A8" s="131" t="s">
        <v>91</v>
      </c>
      <c r="B8" s="18">
        <v>13335</v>
      </c>
      <c r="C8" s="18">
        <v>13382</v>
      </c>
      <c r="D8" s="18">
        <v>13806</v>
      </c>
      <c r="E8" s="19">
        <v>14069</v>
      </c>
      <c r="F8" s="18">
        <v>15034</v>
      </c>
      <c r="G8" s="18">
        <v>16071</v>
      </c>
    </row>
    <row r="9" spans="1:7" ht="12.75" customHeight="1">
      <c r="A9" s="131" t="s">
        <v>92</v>
      </c>
      <c r="B9" s="18">
        <v>4718</v>
      </c>
      <c r="C9" s="18">
        <v>4040</v>
      </c>
      <c r="D9" s="18">
        <v>6413</v>
      </c>
      <c r="E9" s="19">
        <v>5911</v>
      </c>
      <c r="F9" s="18">
        <v>6254</v>
      </c>
      <c r="G9" s="18">
        <v>6590</v>
      </c>
    </row>
    <row r="10" spans="1:7" ht="12.75" customHeight="1">
      <c r="A10" s="131" t="s">
        <v>93</v>
      </c>
      <c r="B10" s="18">
        <v>5453</v>
      </c>
      <c r="C10" s="18">
        <v>5612</v>
      </c>
      <c r="D10" s="18">
        <v>4361</v>
      </c>
      <c r="E10" s="19">
        <v>5012</v>
      </c>
      <c r="F10" s="18">
        <v>5767</v>
      </c>
      <c r="G10" s="18">
        <v>5948</v>
      </c>
    </row>
    <row r="11" spans="1:7" ht="12.75" customHeight="1">
      <c r="A11" s="213" t="s">
        <v>14</v>
      </c>
      <c r="B11" s="18">
        <v>16170</v>
      </c>
      <c r="C11" s="18">
        <v>13840</v>
      </c>
      <c r="D11" s="18">
        <v>27544</v>
      </c>
      <c r="E11" s="19">
        <v>18361</v>
      </c>
      <c r="F11" s="18">
        <v>17284</v>
      </c>
      <c r="G11" s="18">
        <v>15742</v>
      </c>
    </row>
    <row r="12" spans="1:7" ht="12.75" customHeight="1">
      <c r="A12" s="213" t="s">
        <v>94</v>
      </c>
      <c r="B12" s="18">
        <v>11595</v>
      </c>
      <c r="C12" s="18">
        <v>12054</v>
      </c>
      <c r="D12" s="18">
        <v>11765</v>
      </c>
      <c r="E12" s="19">
        <v>12552</v>
      </c>
      <c r="F12" s="18">
        <v>12475</v>
      </c>
      <c r="G12" s="18">
        <v>13113</v>
      </c>
    </row>
    <row r="13" spans="1:7" ht="12.75" customHeight="1">
      <c r="A13" s="213" t="s">
        <v>16</v>
      </c>
      <c r="B13" s="18">
        <v>3579</v>
      </c>
      <c r="C13" s="18">
        <v>3173</v>
      </c>
      <c r="D13" s="18">
        <v>1035</v>
      </c>
      <c r="E13" s="19">
        <v>3154</v>
      </c>
      <c r="F13" s="18">
        <v>3273</v>
      </c>
      <c r="G13" s="18">
        <v>3407</v>
      </c>
    </row>
    <row r="14" spans="1:7" ht="12.75" customHeight="1">
      <c r="A14" s="213" t="s">
        <v>95</v>
      </c>
      <c r="B14" s="18">
        <v>4810</v>
      </c>
      <c r="C14" s="18">
        <v>2435</v>
      </c>
      <c r="D14" s="18">
        <v>2449</v>
      </c>
      <c r="E14" s="19">
        <v>2727</v>
      </c>
      <c r="F14" s="18">
        <v>2422</v>
      </c>
      <c r="G14" s="18">
        <v>2647</v>
      </c>
    </row>
    <row r="15" spans="1:7" ht="12.75" customHeight="1">
      <c r="A15" s="213" t="s">
        <v>96</v>
      </c>
      <c r="B15" s="18">
        <v>4520</v>
      </c>
      <c r="C15" s="18">
        <v>4490</v>
      </c>
      <c r="D15" s="18">
        <v>4796</v>
      </c>
      <c r="E15" s="19">
        <v>5040</v>
      </c>
      <c r="F15" s="18">
        <v>5289</v>
      </c>
      <c r="G15" s="18">
        <v>5360</v>
      </c>
    </row>
    <row r="16" spans="1:7" ht="12.75" customHeight="1">
      <c r="A16" s="131" t="s">
        <v>97</v>
      </c>
      <c r="B16" s="18">
        <v>4142</v>
      </c>
      <c r="C16" s="18">
        <v>3581</v>
      </c>
      <c r="D16" s="18">
        <v>3856</v>
      </c>
      <c r="E16" s="19">
        <v>3827</v>
      </c>
      <c r="F16" s="18">
        <v>3926</v>
      </c>
      <c r="G16" s="18">
        <v>3730</v>
      </c>
    </row>
    <row r="17" spans="1:7" ht="15" customHeight="1">
      <c r="A17" s="214" t="s">
        <v>18</v>
      </c>
      <c r="B17" s="51">
        <v>68322</v>
      </c>
      <c r="C17" s="51">
        <v>62607</v>
      </c>
      <c r="D17" s="51">
        <v>76025</v>
      </c>
      <c r="E17" s="52">
        <v>70653</v>
      </c>
      <c r="F17" s="51">
        <v>71724</v>
      </c>
      <c r="G17" s="51">
        <v>72608</v>
      </c>
    </row>
    <row r="18" spans="1:7" ht="7.5" customHeight="1">
      <c r="A18" s="215"/>
      <c r="B18" s="216"/>
      <c r="C18" s="216"/>
      <c r="D18" s="36"/>
      <c r="E18" s="16"/>
      <c r="F18" s="36"/>
      <c r="G18" s="36"/>
    </row>
    <row r="19" spans="1:7" ht="12.75" customHeight="1">
      <c r="A19" s="50" t="s">
        <v>44</v>
      </c>
      <c r="B19" s="217"/>
      <c r="C19" s="217"/>
      <c r="D19" s="36"/>
      <c r="E19" s="16"/>
      <c r="F19" s="36"/>
      <c r="G19" s="36"/>
    </row>
    <row r="20" spans="1:7" ht="12.75" customHeight="1">
      <c r="A20" s="131" t="s">
        <v>98</v>
      </c>
      <c r="B20" s="218">
        <v>5731</v>
      </c>
      <c r="C20" s="218">
        <v>6065</v>
      </c>
      <c r="D20" s="218">
        <v>6154</v>
      </c>
      <c r="E20" s="161">
        <v>6339</v>
      </c>
      <c r="F20" s="218">
        <v>6471</v>
      </c>
      <c r="G20" s="218">
        <v>6618</v>
      </c>
    </row>
    <row r="21" spans="1:7" ht="12.75" customHeight="1">
      <c r="A21" s="131" t="s">
        <v>351</v>
      </c>
      <c r="B21" s="218">
        <v>380</v>
      </c>
      <c r="C21" s="218">
        <v>86</v>
      </c>
      <c r="D21" s="218">
        <v>740</v>
      </c>
      <c r="E21" s="161">
        <v>140</v>
      </c>
      <c r="F21" s="218">
        <v>92</v>
      </c>
      <c r="G21" s="218">
        <v>91</v>
      </c>
    </row>
    <row r="22" spans="1:7" ht="12.75" customHeight="1">
      <c r="A22" s="131" t="s">
        <v>352</v>
      </c>
      <c r="B22" s="218">
        <v>3661</v>
      </c>
      <c r="C22" s="218">
        <v>793</v>
      </c>
      <c r="D22" s="218">
        <v>1919</v>
      </c>
      <c r="E22" s="161">
        <v>892</v>
      </c>
      <c r="F22" s="218">
        <v>909</v>
      </c>
      <c r="G22" s="218">
        <v>920</v>
      </c>
    </row>
    <row r="23" spans="1:7" ht="12.75" customHeight="1">
      <c r="A23" s="131" t="s">
        <v>99</v>
      </c>
      <c r="B23" s="218">
        <v>1742</v>
      </c>
      <c r="C23" s="218">
        <v>2389</v>
      </c>
      <c r="D23" s="218">
        <v>2653</v>
      </c>
      <c r="E23" s="161">
        <v>2917</v>
      </c>
      <c r="F23" s="218">
        <v>2803</v>
      </c>
      <c r="G23" s="218">
        <v>3003</v>
      </c>
    </row>
    <row r="24" spans="1:7" ht="12.75" customHeight="1">
      <c r="A24" s="219" t="s">
        <v>354</v>
      </c>
      <c r="B24" s="218">
        <v>214</v>
      </c>
      <c r="C24" s="218">
        <v>269</v>
      </c>
      <c r="D24" s="218">
        <v>269</v>
      </c>
      <c r="E24" s="161">
        <v>307</v>
      </c>
      <c r="F24" s="218">
        <v>257</v>
      </c>
      <c r="G24" s="218">
        <v>221</v>
      </c>
    </row>
    <row r="25" spans="1:7" ht="12.75" customHeight="1">
      <c r="A25" s="131" t="s">
        <v>100</v>
      </c>
      <c r="B25" s="218">
        <v>8541</v>
      </c>
      <c r="C25" s="218">
        <v>8883</v>
      </c>
      <c r="D25" s="218">
        <v>8956</v>
      </c>
      <c r="E25" s="161">
        <v>9317</v>
      </c>
      <c r="F25" s="218">
        <v>9525</v>
      </c>
      <c r="G25" s="218">
        <v>9651</v>
      </c>
    </row>
    <row r="26" spans="1:7" ht="12.75" customHeight="1">
      <c r="A26" s="131" t="s">
        <v>101</v>
      </c>
      <c r="B26" s="218">
        <v>1793</v>
      </c>
      <c r="C26" s="218">
        <v>878</v>
      </c>
      <c r="D26" s="218">
        <v>1464</v>
      </c>
      <c r="E26" s="161">
        <v>984</v>
      </c>
      <c r="F26" s="218">
        <v>958</v>
      </c>
      <c r="G26" s="218">
        <v>1068</v>
      </c>
    </row>
    <row r="27" spans="1:7" ht="12.75" customHeight="1">
      <c r="A27" s="131" t="s">
        <v>355</v>
      </c>
      <c r="B27" s="218">
        <v>452</v>
      </c>
      <c r="C27" s="218">
        <v>449</v>
      </c>
      <c r="D27" s="218">
        <v>523</v>
      </c>
      <c r="E27" s="161">
        <v>554</v>
      </c>
      <c r="F27" s="218">
        <v>499</v>
      </c>
      <c r="G27" s="218">
        <v>357</v>
      </c>
    </row>
    <row r="28" spans="1:7" ht="12.75" customHeight="1">
      <c r="A28" s="131" t="s">
        <v>102</v>
      </c>
      <c r="B28" s="218">
        <v>21</v>
      </c>
      <c r="C28" s="218">
        <v>25</v>
      </c>
      <c r="D28" s="218">
        <v>31</v>
      </c>
      <c r="E28" s="161">
        <v>35</v>
      </c>
      <c r="F28" s="218">
        <v>37</v>
      </c>
      <c r="G28" s="218">
        <v>38</v>
      </c>
    </row>
    <row r="29" spans="1:7" ht="12.75" customHeight="1">
      <c r="A29" s="131" t="s">
        <v>356</v>
      </c>
      <c r="B29" s="218">
        <v>527</v>
      </c>
      <c r="C29" s="218">
        <v>427</v>
      </c>
      <c r="D29" s="218">
        <v>581</v>
      </c>
      <c r="E29" s="161">
        <v>435</v>
      </c>
      <c r="F29" s="218">
        <v>416</v>
      </c>
      <c r="G29" s="218">
        <v>408</v>
      </c>
    </row>
    <row r="30" spans="1:7" ht="12.75" customHeight="1">
      <c r="A30" s="131" t="s">
        <v>103</v>
      </c>
      <c r="B30" s="218">
        <v>24585</v>
      </c>
      <c r="C30" s="218">
        <v>23484</v>
      </c>
      <c r="D30" s="218">
        <v>25563</v>
      </c>
      <c r="E30" s="161">
        <v>26446</v>
      </c>
      <c r="F30" s="218">
        <v>27494</v>
      </c>
      <c r="G30" s="218">
        <v>27942</v>
      </c>
    </row>
    <row r="31" spans="1:7" ht="12.75" customHeight="1">
      <c r="A31" s="131" t="s">
        <v>104</v>
      </c>
      <c r="B31" s="218">
        <v>179</v>
      </c>
      <c r="C31" s="218">
        <v>184</v>
      </c>
      <c r="D31" s="218">
        <v>207</v>
      </c>
      <c r="E31" s="161">
        <v>230</v>
      </c>
      <c r="F31" s="218">
        <v>220</v>
      </c>
      <c r="G31" s="218">
        <v>220</v>
      </c>
    </row>
    <row r="32" spans="1:7" ht="12.75" customHeight="1">
      <c r="A32" s="131" t="s">
        <v>105</v>
      </c>
      <c r="B32" s="218">
        <v>574</v>
      </c>
      <c r="C32" s="218">
        <v>582</v>
      </c>
      <c r="D32" s="218">
        <v>580</v>
      </c>
      <c r="E32" s="161">
        <v>613</v>
      </c>
      <c r="F32" s="218">
        <v>630</v>
      </c>
      <c r="G32" s="218">
        <v>637</v>
      </c>
    </row>
    <row r="33" spans="1:8" ht="12.75" customHeight="1">
      <c r="A33" s="219" t="s">
        <v>357</v>
      </c>
      <c r="B33" s="218">
        <v>576</v>
      </c>
      <c r="C33" s="218">
        <v>419</v>
      </c>
      <c r="D33" s="218">
        <v>407</v>
      </c>
      <c r="E33" s="161">
        <v>374</v>
      </c>
      <c r="F33" s="218">
        <v>355</v>
      </c>
      <c r="G33" s="218">
        <v>342</v>
      </c>
    </row>
    <row r="34" spans="1:8" ht="12.75" customHeight="1">
      <c r="A34" s="131" t="s">
        <v>358</v>
      </c>
      <c r="B34" s="218">
        <v>460</v>
      </c>
      <c r="C34" s="218">
        <v>506</v>
      </c>
      <c r="D34" s="218">
        <v>598</v>
      </c>
      <c r="E34" s="161">
        <v>658</v>
      </c>
      <c r="F34" s="218">
        <v>663</v>
      </c>
      <c r="G34" s="218">
        <v>668</v>
      </c>
    </row>
    <row r="35" spans="1:8" ht="12.75" customHeight="1">
      <c r="A35" s="131" t="s">
        <v>360</v>
      </c>
      <c r="B35" s="218">
        <v>85</v>
      </c>
      <c r="C35" s="218">
        <v>101</v>
      </c>
      <c r="D35" s="218">
        <v>114</v>
      </c>
      <c r="E35" s="161">
        <v>166</v>
      </c>
      <c r="F35" s="218">
        <v>172</v>
      </c>
      <c r="G35" s="218">
        <v>191</v>
      </c>
    </row>
    <row r="36" spans="1:8" ht="12.75" customHeight="1">
      <c r="A36" s="131" t="s">
        <v>106</v>
      </c>
      <c r="B36" s="218">
        <v>1890</v>
      </c>
      <c r="C36" s="218">
        <v>968</v>
      </c>
      <c r="D36" s="218">
        <v>957</v>
      </c>
      <c r="E36" s="161">
        <v>1014</v>
      </c>
      <c r="F36" s="218">
        <v>1239</v>
      </c>
      <c r="G36" s="218">
        <v>1324</v>
      </c>
    </row>
    <row r="37" spans="1:8" ht="12.75" customHeight="1">
      <c r="A37" s="131" t="s">
        <v>361</v>
      </c>
      <c r="B37" s="218">
        <v>1178</v>
      </c>
      <c r="C37" s="218">
        <v>1053</v>
      </c>
      <c r="D37" s="218">
        <v>1099</v>
      </c>
      <c r="E37" s="161">
        <v>1217</v>
      </c>
      <c r="F37" s="218">
        <v>1246</v>
      </c>
      <c r="G37" s="218">
        <v>1239</v>
      </c>
    </row>
    <row r="38" spans="1:8" ht="12.75" customHeight="1">
      <c r="A38" s="131" t="s">
        <v>353</v>
      </c>
      <c r="B38" s="218">
        <v>4527</v>
      </c>
      <c r="C38" s="218">
        <v>4760</v>
      </c>
      <c r="D38" s="218">
        <v>5061</v>
      </c>
      <c r="E38" s="161">
        <v>5466</v>
      </c>
      <c r="F38" s="218">
        <v>5368</v>
      </c>
      <c r="G38" s="218">
        <v>5652</v>
      </c>
    </row>
    <row r="39" spans="1:8" ht="12.75" customHeight="1">
      <c r="A39" s="131" t="s">
        <v>362</v>
      </c>
      <c r="B39" s="218">
        <v>98</v>
      </c>
      <c r="C39" s="218">
        <v>112</v>
      </c>
      <c r="D39" s="218">
        <v>116</v>
      </c>
      <c r="E39" s="161">
        <v>135</v>
      </c>
      <c r="F39" s="218">
        <v>133</v>
      </c>
      <c r="G39" s="218">
        <v>127</v>
      </c>
    </row>
    <row r="40" spans="1:8" ht="12.75" customHeight="1">
      <c r="A40" s="131" t="s">
        <v>363</v>
      </c>
      <c r="B40" s="218">
        <v>142</v>
      </c>
      <c r="C40" s="218">
        <v>162</v>
      </c>
      <c r="D40" s="218">
        <v>158</v>
      </c>
      <c r="E40" s="161">
        <v>175</v>
      </c>
      <c r="F40" s="218">
        <v>175</v>
      </c>
      <c r="G40" s="218">
        <v>176</v>
      </c>
    </row>
    <row r="41" spans="1:8" ht="12.75" customHeight="1">
      <c r="A41" s="131" t="s">
        <v>364</v>
      </c>
      <c r="B41" s="218">
        <v>649</v>
      </c>
      <c r="C41" s="218">
        <v>890</v>
      </c>
      <c r="D41" s="218">
        <v>803</v>
      </c>
      <c r="E41" s="161">
        <v>1012</v>
      </c>
      <c r="F41" s="218">
        <v>839</v>
      </c>
      <c r="G41" s="218">
        <v>840</v>
      </c>
    </row>
    <row r="42" spans="1:8" ht="12.75" customHeight="1">
      <c r="A42" s="219" t="s">
        <v>359</v>
      </c>
      <c r="B42" s="218">
        <v>87</v>
      </c>
      <c r="C42" s="218">
        <v>77</v>
      </c>
      <c r="D42" s="218">
        <v>72</v>
      </c>
      <c r="E42" s="161">
        <v>86</v>
      </c>
      <c r="F42" s="218">
        <v>85</v>
      </c>
      <c r="G42" s="218">
        <v>83</v>
      </c>
    </row>
    <row r="43" spans="1:8" ht="12.75" customHeight="1">
      <c r="A43" s="131" t="s">
        <v>365</v>
      </c>
      <c r="B43" s="218">
        <v>1828</v>
      </c>
      <c r="C43" s="218">
        <v>2368</v>
      </c>
      <c r="D43" s="218">
        <v>1973</v>
      </c>
      <c r="E43" s="161">
        <v>2519</v>
      </c>
      <c r="F43" s="218">
        <v>2863</v>
      </c>
      <c r="G43" s="218">
        <v>2864</v>
      </c>
    </row>
    <row r="44" spans="1:8" ht="12.75" customHeight="1">
      <c r="A44" s="131" t="s">
        <v>108</v>
      </c>
      <c r="B44" s="218">
        <v>2062</v>
      </c>
      <c r="C44" s="218">
        <v>1875</v>
      </c>
      <c r="D44" s="218">
        <v>1897</v>
      </c>
      <c r="E44" s="161">
        <v>2043</v>
      </c>
      <c r="F44" s="218">
        <v>2085</v>
      </c>
      <c r="G44" s="218">
        <v>2120</v>
      </c>
    </row>
    <row r="45" spans="1:8" ht="12.75" customHeight="1">
      <c r="A45" s="131" t="s">
        <v>109</v>
      </c>
      <c r="B45" s="218">
        <v>119</v>
      </c>
      <c r="C45" s="218">
        <v>172</v>
      </c>
      <c r="D45" s="218">
        <v>137</v>
      </c>
      <c r="E45" s="161">
        <v>180</v>
      </c>
      <c r="F45" s="218">
        <v>183</v>
      </c>
      <c r="G45" s="218">
        <v>186</v>
      </c>
    </row>
    <row r="46" spans="1:8" ht="12.75" customHeight="1">
      <c r="A46" s="220" t="s">
        <v>396</v>
      </c>
      <c r="B46" s="221">
        <v>62102</v>
      </c>
      <c r="C46" s="221">
        <v>57973</v>
      </c>
      <c r="D46" s="221">
        <v>63031</v>
      </c>
      <c r="E46" s="222">
        <v>64256</v>
      </c>
      <c r="F46" s="221">
        <v>65718</v>
      </c>
      <c r="G46" s="221">
        <v>66983</v>
      </c>
    </row>
    <row r="47" spans="1:8" ht="12.75" customHeight="1">
      <c r="A47" s="131" t="s">
        <v>22</v>
      </c>
      <c r="B47" s="218">
        <v>2641</v>
      </c>
      <c r="C47" s="218">
        <v>2662</v>
      </c>
      <c r="D47" s="218">
        <v>2715</v>
      </c>
      <c r="E47" s="161">
        <v>2848</v>
      </c>
      <c r="F47" s="218">
        <v>2805</v>
      </c>
      <c r="G47" s="218">
        <v>3103</v>
      </c>
      <c r="H47" s="36"/>
    </row>
    <row r="48" spans="1:8" ht="12.75" customHeight="1">
      <c r="A48" s="223" t="s">
        <v>23</v>
      </c>
      <c r="B48" s="39">
        <v>-365</v>
      </c>
      <c r="C48" s="39">
        <v>-289</v>
      </c>
      <c r="D48" s="39">
        <v>-111</v>
      </c>
      <c r="E48" s="24">
        <v>-322</v>
      </c>
      <c r="F48" s="39">
        <v>-336</v>
      </c>
      <c r="G48" s="39">
        <v>-347</v>
      </c>
    </row>
    <row r="49" spans="1:7" ht="15" customHeight="1">
      <c r="A49" s="214" t="s">
        <v>397</v>
      </c>
      <c r="B49" s="51">
        <v>64378</v>
      </c>
      <c r="C49" s="51">
        <v>60346</v>
      </c>
      <c r="D49" s="51">
        <v>65635</v>
      </c>
      <c r="E49" s="52">
        <v>66782</v>
      </c>
      <c r="F49" s="51">
        <v>68187</v>
      </c>
      <c r="G49" s="51">
        <v>69739</v>
      </c>
    </row>
    <row r="50" spans="1:7" ht="15" customHeight="1">
      <c r="A50" s="133" t="s">
        <v>398</v>
      </c>
      <c r="B50" s="29">
        <v>3944</v>
      </c>
      <c r="C50" s="29">
        <v>2261</v>
      </c>
      <c r="D50" s="29">
        <v>10390</v>
      </c>
      <c r="E50" s="28">
        <v>3871</v>
      </c>
      <c r="F50" s="29">
        <v>3537</v>
      </c>
      <c r="G50" s="29">
        <v>2869</v>
      </c>
    </row>
    <row r="51" spans="1:7" ht="12.75" customHeight="1">
      <c r="A51" s="50" t="s">
        <v>399</v>
      </c>
      <c r="B51" s="160">
        <v>0</v>
      </c>
      <c r="C51" s="160">
        <v>1750</v>
      </c>
      <c r="D51" s="160">
        <v>0</v>
      </c>
      <c r="E51" s="161">
        <v>1500</v>
      </c>
      <c r="F51" s="218">
        <v>1500</v>
      </c>
      <c r="G51" s="218">
        <v>1500</v>
      </c>
    </row>
    <row r="52" spans="1:7" ht="12.75" customHeight="1">
      <c r="A52" s="224" t="s">
        <v>24</v>
      </c>
      <c r="B52" s="225">
        <v>64378</v>
      </c>
      <c r="C52" s="225">
        <v>62096</v>
      </c>
      <c r="D52" s="225">
        <v>65635</v>
      </c>
      <c r="E52" s="226">
        <v>68282</v>
      </c>
      <c r="F52" s="225">
        <v>69687</v>
      </c>
      <c r="G52" s="225">
        <v>71239</v>
      </c>
    </row>
    <row r="53" spans="1:7" ht="12.75" customHeight="1">
      <c r="A53" s="224" t="s">
        <v>25</v>
      </c>
      <c r="B53" s="51">
        <v>3944</v>
      </c>
      <c r="C53" s="51">
        <v>511</v>
      </c>
      <c r="D53" s="51">
        <v>10390</v>
      </c>
      <c r="E53" s="52">
        <v>2371</v>
      </c>
      <c r="F53" s="51">
        <v>2037</v>
      </c>
      <c r="G53" s="51">
        <v>1369</v>
      </c>
    </row>
    <row r="54" spans="1:7" ht="12.75" customHeight="1">
      <c r="B54" s="36"/>
      <c r="C54" s="2"/>
      <c r="D54" s="36"/>
      <c r="E54" s="16"/>
      <c r="F54" s="36"/>
      <c r="G54" s="36"/>
    </row>
    <row r="55" spans="1:7" ht="12" customHeight="1">
      <c r="A55" s="33" t="s">
        <v>110</v>
      </c>
      <c r="B55" s="23">
        <v>-5857</v>
      </c>
      <c r="C55" s="23">
        <v>-1913</v>
      </c>
      <c r="D55" s="23">
        <v>-1913</v>
      </c>
      <c r="E55" s="19">
        <v>8477</v>
      </c>
      <c r="F55" s="23">
        <v>10848</v>
      </c>
      <c r="G55" s="23">
        <v>12885</v>
      </c>
    </row>
    <row r="56" spans="1:7" ht="12.75" customHeight="1" thickBot="1">
      <c r="A56" s="30" t="s">
        <v>40</v>
      </c>
      <c r="B56" s="31">
        <v>-1913</v>
      </c>
      <c r="C56" s="31">
        <v>-1402</v>
      </c>
      <c r="D56" s="31">
        <v>8477</v>
      </c>
      <c r="E56" s="32">
        <v>10848</v>
      </c>
      <c r="F56" s="31">
        <v>12885</v>
      </c>
      <c r="G56" s="31">
        <v>14254</v>
      </c>
    </row>
    <row r="57" spans="1:7" ht="15" customHeight="1"/>
    <row r="58" spans="1:7" ht="12.75" customHeight="1"/>
    <row r="59" spans="1:7" ht="12.75" customHeight="1"/>
    <row r="60" spans="1:7" ht="12.75" customHeight="1">
      <c r="B60" s="36"/>
      <c r="C60" s="36"/>
      <c r="D60" s="36"/>
      <c r="E60" s="36"/>
      <c r="F60" s="36"/>
      <c r="G60" s="36"/>
    </row>
    <row r="61" spans="1:7" ht="12.75" customHeight="1"/>
    <row r="62" spans="1:7" ht="12.75" customHeight="1"/>
    <row r="63" spans="1:7" ht="12.75" customHeight="1"/>
  </sheetData>
  <mergeCells count="1">
    <mergeCell ref="C4:D4"/>
  </mergeCells>
  <pageMargins left="0.75" right="0.75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H79"/>
  <sheetViews>
    <sheetView zoomScaleNormal="100" workbookViewId="0">
      <selection activeCell="A44" sqref="A44"/>
    </sheetView>
  </sheetViews>
  <sheetFormatPr defaultColWidth="9" defaultRowHeight="12"/>
  <cols>
    <col min="1" max="1" width="51.5703125" customWidth="1"/>
    <col min="2" max="5" width="8" customWidth="1"/>
    <col min="6" max="7" width="8" style="40" customWidth="1"/>
    <col min="8" max="8" width="9" style="40"/>
  </cols>
  <sheetData>
    <row r="1" spans="1:8" ht="15.75">
      <c r="A1" s="1" t="s">
        <v>111</v>
      </c>
      <c r="B1" s="5"/>
      <c r="C1" s="40"/>
      <c r="D1" s="40"/>
    </row>
    <row r="2" spans="1:8" ht="4.5" customHeight="1">
      <c r="A2" s="4"/>
      <c r="B2" s="5"/>
      <c r="F2"/>
      <c r="G2"/>
      <c r="H2"/>
    </row>
    <row r="3" spans="1:8">
      <c r="A3" s="6"/>
      <c r="B3" s="7" t="s">
        <v>4</v>
      </c>
      <c r="C3" s="595" t="s">
        <v>5</v>
      </c>
      <c r="D3" s="595"/>
      <c r="E3" s="8" t="s">
        <v>6</v>
      </c>
      <c r="F3" s="7" t="s">
        <v>301</v>
      </c>
      <c r="G3" s="7" t="s">
        <v>347</v>
      </c>
      <c r="H3"/>
    </row>
    <row r="4" spans="1:8">
      <c r="A4" s="9"/>
      <c r="B4" s="11" t="s">
        <v>7</v>
      </c>
      <c r="C4" s="11" t="s">
        <v>8</v>
      </c>
      <c r="D4" s="11" t="s">
        <v>9</v>
      </c>
      <c r="E4" s="12" t="s">
        <v>10</v>
      </c>
      <c r="F4" s="11" t="s">
        <v>11</v>
      </c>
      <c r="G4" s="11" t="s">
        <v>11</v>
      </c>
      <c r="H4"/>
    </row>
    <row r="5" spans="1:8">
      <c r="A5" s="50" t="s">
        <v>112</v>
      </c>
      <c r="B5" s="18"/>
      <c r="C5" s="18"/>
      <c r="D5" s="18"/>
      <c r="E5" s="16"/>
      <c r="F5" s="36"/>
      <c r="G5" s="36"/>
      <c r="H5"/>
    </row>
    <row r="6" spans="1:8">
      <c r="A6" s="131" t="s">
        <v>91</v>
      </c>
      <c r="B6" s="18">
        <v>13335</v>
      </c>
      <c r="C6" s="18">
        <v>13382</v>
      </c>
      <c r="D6" s="18">
        <v>13806</v>
      </c>
      <c r="E6" s="19">
        <v>14069</v>
      </c>
      <c r="F6" s="18">
        <v>15034</v>
      </c>
      <c r="G6" s="18">
        <v>16071</v>
      </c>
      <c r="H6"/>
    </row>
    <row r="7" spans="1:8">
      <c r="A7" s="131" t="s">
        <v>92</v>
      </c>
      <c r="B7" s="18">
        <v>4718</v>
      </c>
      <c r="C7" s="18">
        <v>4040</v>
      </c>
      <c r="D7" s="18">
        <v>6413</v>
      </c>
      <c r="E7" s="19">
        <v>5911</v>
      </c>
      <c r="F7" s="18">
        <v>6254</v>
      </c>
      <c r="G7" s="18">
        <v>6590</v>
      </c>
      <c r="H7"/>
    </row>
    <row r="8" spans="1:8">
      <c r="A8" s="228"/>
      <c r="B8" s="51">
        <v>18053</v>
      </c>
      <c r="C8" s="51">
        <v>17422</v>
      </c>
      <c r="D8" s="51">
        <v>20219</v>
      </c>
      <c r="E8" s="52">
        <v>19980</v>
      </c>
      <c r="F8" s="51">
        <v>21288</v>
      </c>
      <c r="G8" s="51">
        <v>22661</v>
      </c>
      <c r="H8" s="36"/>
    </row>
    <row r="9" spans="1:8">
      <c r="A9" s="50" t="s">
        <v>113</v>
      </c>
      <c r="B9" s="18"/>
      <c r="C9" s="23"/>
      <c r="D9" s="23"/>
      <c r="E9" s="19"/>
      <c r="F9" s="18"/>
      <c r="G9" s="18"/>
    </row>
    <row r="10" spans="1:8">
      <c r="A10" s="131" t="s">
        <v>114</v>
      </c>
      <c r="B10" s="18">
        <v>2478</v>
      </c>
      <c r="C10" s="18">
        <v>2504</v>
      </c>
      <c r="D10" s="18">
        <v>2504</v>
      </c>
      <c r="E10" s="19">
        <v>2504</v>
      </c>
      <c r="F10" s="18">
        <v>2604</v>
      </c>
      <c r="G10" s="18">
        <v>2703</v>
      </c>
      <c r="H10"/>
    </row>
    <row r="11" spans="1:8">
      <c r="A11" s="131" t="s">
        <v>370</v>
      </c>
      <c r="B11" s="18">
        <v>1275</v>
      </c>
      <c r="C11" s="18">
        <v>1319</v>
      </c>
      <c r="D11" s="18">
        <v>134</v>
      </c>
      <c r="E11" s="19">
        <v>769</v>
      </c>
      <c r="F11" s="18">
        <v>1369</v>
      </c>
      <c r="G11" s="18">
        <v>1407</v>
      </c>
      <c r="H11"/>
    </row>
    <row r="12" spans="1:8">
      <c r="A12" s="131" t="s">
        <v>115</v>
      </c>
      <c r="B12" s="18">
        <v>617</v>
      </c>
      <c r="C12" s="18">
        <v>644</v>
      </c>
      <c r="D12" s="18">
        <v>510</v>
      </c>
      <c r="E12" s="19">
        <v>489</v>
      </c>
      <c r="F12" s="18">
        <v>485</v>
      </c>
      <c r="G12" s="18">
        <v>463</v>
      </c>
      <c r="H12"/>
    </row>
    <row r="13" spans="1:8">
      <c r="A13" s="131" t="s">
        <v>116</v>
      </c>
      <c r="B13" s="18">
        <v>753</v>
      </c>
      <c r="C13" s="18">
        <v>819</v>
      </c>
      <c r="D13" s="18">
        <v>798</v>
      </c>
      <c r="E13" s="19">
        <v>851</v>
      </c>
      <c r="F13" s="18">
        <v>908</v>
      </c>
      <c r="G13" s="18">
        <v>969</v>
      </c>
      <c r="H13"/>
    </row>
    <row r="14" spans="1:8">
      <c r="A14" s="131" t="s">
        <v>119</v>
      </c>
      <c r="B14" s="18">
        <v>164</v>
      </c>
      <c r="C14" s="18">
        <v>157</v>
      </c>
      <c r="D14" s="18">
        <v>168</v>
      </c>
      <c r="E14" s="19">
        <v>173</v>
      </c>
      <c r="F14" s="18">
        <v>177</v>
      </c>
      <c r="G14" s="18">
        <v>181</v>
      </c>
      <c r="H14"/>
    </row>
    <row r="15" spans="1:8">
      <c r="A15" s="131" t="s">
        <v>117</v>
      </c>
      <c r="B15" s="18">
        <v>59</v>
      </c>
      <c r="C15" s="18">
        <v>73</v>
      </c>
      <c r="D15" s="18">
        <v>95</v>
      </c>
      <c r="E15" s="19">
        <v>97</v>
      </c>
      <c r="F15" s="18">
        <v>105</v>
      </c>
      <c r="G15" s="18">
        <v>109</v>
      </c>
      <c r="H15"/>
    </row>
    <row r="16" spans="1:8">
      <c r="A16" s="131" t="s">
        <v>118</v>
      </c>
      <c r="B16" s="18">
        <v>107</v>
      </c>
      <c r="C16" s="18">
        <v>96</v>
      </c>
      <c r="D16" s="18">
        <v>152</v>
      </c>
      <c r="E16" s="19">
        <v>129</v>
      </c>
      <c r="F16" s="18">
        <v>119</v>
      </c>
      <c r="G16" s="18">
        <v>116</v>
      </c>
      <c r="H16"/>
    </row>
    <row r="17" spans="1:8">
      <c r="A17" s="228"/>
      <c r="B17" s="51">
        <v>5453</v>
      </c>
      <c r="C17" s="51">
        <v>5612</v>
      </c>
      <c r="D17" s="51">
        <v>4361</v>
      </c>
      <c r="E17" s="52">
        <v>5012</v>
      </c>
      <c r="F17" s="51">
        <v>5767</v>
      </c>
      <c r="G17" s="51">
        <v>5948</v>
      </c>
      <c r="H17" s="36"/>
    </row>
    <row r="18" spans="1:8">
      <c r="A18" s="215" t="s">
        <v>120</v>
      </c>
      <c r="B18" s="18"/>
      <c r="C18" s="23"/>
      <c r="D18" s="23"/>
      <c r="E18" s="19"/>
      <c r="F18" s="18"/>
      <c r="G18" s="18"/>
      <c r="H18"/>
    </row>
    <row r="19" spans="1:8">
      <c r="A19" s="213" t="s">
        <v>121</v>
      </c>
      <c r="B19" s="18">
        <v>11605</v>
      </c>
      <c r="C19" s="18">
        <v>10349</v>
      </c>
      <c r="D19" s="18">
        <v>18750</v>
      </c>
      <c r="E19" s="19">
        <v>12555</v>
      </c>
      <c r="F19" s="18">
        <v>12028</v>
      </c>
      <c r="G19" s="18">
        <v>10736</v>
      </c>
      <c r="H19"/>
    </row>
    <row r="20" spans="1:8">
      <c r="A20" s="213" t="s">
        <v>122</v>
      </c>
      <c r="B20" s="18">
        <v>1947</v>
      </c>
      <c r="C20" s="18">
        <v>1670</v>
      </c>
      <c r="D20" s="18">
        <v>3965</v>
      </c>
      <c r="E20" s="19">
        <v>2905</v>
      </c>
      <c r="F20" s="18">
        <v>2633</v>
      </c>
      <c r="G20" s="18">
        <v>2442</v>
      </c>
      <c r="H20" s="229"/>
    </row>
    <row r="21" spans="1:8">
      <c r="A21" s="213" t="s">
        <v>123</v>
      </c>
      <c r="B21" s="18">
        <v>2227</v>
      </c>
      <c r="C21" s="18">
        <v>1458</v>
      </c>
      <c r="D21" s="18">
        <v>4221</v>
      </c>
      <c r="E21" s="19">
        <v>2465</v>
      </c>
      <c r="F21" s="18">
        <v>2208</v>
      </c>
      <c r="G21" s="18">
        <v>2155</v>
      </c>
      <c r="H21" s="230"/>
    </row>
    <row r="22" spans="1:8">
      <c r="A22" s="213" t="s">
        <v>124</v>
      </c>
      <c r="B22" s="18">
        <v>228</v>
      </c>
      <c r="C22" s="18">
        <v>236</v>
      </c>
      <c r="D22" s="18">
        <v>409</v>
      </c>
      <c r="E22" s="19">
        <v>307</v>
      </c>
      <c r="F22" s="18">
        <v>293</v>
      </c>
      <c r="G22" s="18">
        <v>289</v>
      </c>
      <c r="H22" s="229"/>
    </row>
    <row r="23" spans="1:8">
      <c r="A23" s="213" t="s">
        <v>125</v>
      </c>
      <c r="B23" s="18">
        <v>163</v>
      </c>
      <c r="C23" s="18">
        <v>127</v>
      </c>
      <c r="D23" s="18">
        <v>199</v>
      </c>
      <c r="E23" s="19">
        <v>129</v>
      </c>
      <c r="F23" s="18">
        <v>122</v>
      </c>
      <c r="G23" s="18">
        <v>120</v>
      </c>
      <c r="H23" s="229"/>
    </row>
    <row r="24" spans="1:8">
      <c r="A24" s="228"/>
      <c r="B24" s="51">
        <v>16170</v>
      </c>
      <c r="C24" s="231">
        <v>13840</v>
      </c>
      <c r="D24" s="231">
        <v>27544</v>
      </c>
      <c r="E24" s="52">
        <v>18361</v>
      </c>
      <c r="F24" s="51">
        <v>17284</v>
      </c>
      <c r="G24" s="51">
        <v>15742</v>
      </c>
      <c r="H24" s="229"/>
    </row>
    <row r="25" spans="1:8">
      <c r="A25" s="215" t="s">
        <v>94</v>
      </c>
      <c r="B25" s="18"/>
      <c r="C25" s="23"/>
      <c r="D25" s="23"/>
      <c r="E25" s="19"/>
      <c r="F25" s="18"/>
      <c r="G25" s="18"/>
      <c r="H25" s="229"/>
    </row>
    <row r="26" spans="1:8">
      <c r="A26" s="213" t="s">
        <v>126</v>
      </c>
      <c r="B26" s="18">
        <v>5503</v>
      </c>
      <c r="C26" s="18">
        <v>5352</v>
      </c>
      <c r="D26" s="18">
        <v>5520</v>
      </c>
      <c r="E26" s="19">
        <v>6079</v>
      </c>
      <c r="F26" s="18">
        <v>6287</v>
      </c>
      <c r="G26" s="18">
        <v>6708</v>
      </c>
      <c r="H26"/>
    </row>
    <row r="27" spans="1:8">
      <c r="A27" s="213" t="s">
        <v>127</v>
      </c>
      <c r="B27" s="18">
        <v>1796</v>
      </c>
      <c r="C27" s="18">
        <v>1868</v>
      </c>
      <c r="D27" s="18">
        <v>1864</v>
      </c>
      <c r="E27" s="19">
        <v>1942</v>
      </c>
      <c r="F27" s="18">
        <v>2022</v>
      </c>
      <c r="G27" s="18">
        <v>2102</v>
      </c>
      <c r="H27"/>
    </row>
    <row r="28" spans="1:8">
      <c r="A28" s="213" t="s">
        <v>128</v>
      </c>
      <c r="B28" s="18">
        <v>478</v>
      </c>
      <c r="C28" s="18">
        <v>579</v>
      </c>
      <c r="D28" s="18">
        <v>624</v>
      </c>
      <c r="E28" s="19">
        <v>617</v>
      </c>
      <c r="F28" s="18">
        <v>623</v>
      </c>
      <c r="G28" s="18">
        <v>635</v>
      </c>
      <c r="H28"/>
    </row>
    <row r="29" spans="1:8">
      <c r="A29" s="213" t="s">
        <v>129</v>
      </c>
      <c r="B29" s="18">
        <v>808</v>
      </c>
      <c r="C29" s="18">
        <v>1293</v>
      </c>
      <c r="D29" s="18">
        <v>782</v>
      </c>
      <c r="E29" s="19">
        <v>935</v>
      </c>
      <c r="F29" s="18">
        <v>1166</v>
      </c>
      <c r="G29" s="18">
        <v>1083</v>
      </c>
      <c r="H29"/>
    </row>
    <row r="30" spans="1:8">
      <c r="A30" s="213" t="s">
        <v>130</v>
      </c>
      <c r="B30" s="18">
        <v>531</v>
      </c>
      <c r="C30" s="18">
        <v>296</v>
      </c>
      <c r="D30" s="18">
        <v>491</v>
      </c>
      <c r="E30" s="19">
        <v>480</v>
      </c>
      <c r="F30" s="18">
        <v>517</v>
      </c>
      <c r="G30" s="18">
        <v>564</v>
      </c>
      <c r="H30"/>
    </row>
    <row r="31" spans="1:8">
      <c r="A31" s="213" t="s">
        <v>131</v>
      </c>
      <c r="B31" s="18">
        <v>485</v>
      </c>
      <c r="C31" s="18">
        <v>322</v>
      </c>
      <c r="D31" s="18">
        <v>324</v>
      </c>
      <c r="E31" s="19">
        <v>325</v>
      </c>
      <c r="F31" s="18">
        <v>325</v>
      </c>
      <c r="G31" s="18">
        <v>325</v>
      </c>
      <c r="H31"/>
    </row>
    <row r="32" spans="1:8">
      <c r="A32" s="213" t="s">
        <v>366</v>
      </c>
      <c r="B32" s="18">
        <v>197</v>
      </c>
      <c r="C32" s="18">
        <v>734</v>
      </c>
      <c r="D32" s="18">
        <v>734</v>
      </c>
      <c r="E32" s="19">
        <v>937</v>
      </c>
      <c r="F32" s="18">
        <v>1062</v>
      </c>
      <c r="G32" s="18">
        <v>1226</v>
      </c>
      <c r="H32"/>
    </row>
    <row r="33" spans="1:8">
      <c r="A33" s="131" t="s">
        <v>421</v>
      </c>
      <c r="B33" s="18">
        <v>1797</v>
      </c>
      <c r="C33" s="18">
        <v>1610</v>
      </c>
      <c r="D33" s="18">
        <v>1426</v>
      </c>
      <c r="E33" s="19">
        <v>1237</v>
      </c>
      <c r="F33" s="18">
        <v>473</v>
      </c>
      <c r="G33" s="18">
        <v>470</v>
      </c>
      <c r="H33"/>
    </row>
    <row r="34" spans="1:8">
      <c r="A34" s="228"/>
      <c r="B34" s="51">
        <v>11595</v>
      </c>
      <c r="C34" s="231">
        <v>12054</v>
      </c>
      <c r="D34" s="231">
        <v>11765</v>
      </c>
      <c r="E34" s="52">
        <v>12552</v>
      </c>
      <c r="F34" s="51">
        <v>12475</v>
      </c>
      <c r="G34" s="51">
        <v>13113</v>
      </c>
      <c r="H34"/>
    </row>
    <row r="35" spans="1:8">
      <c r="A35" s="215" t="s">
        <v>132</v>
      </c>
      <c r="B35" s="18"/>
      <c r="C35" s="23"/>
      <c r="D35" s="23"/>
      <c r="E35" s="19"/>
      <c r="F35" s="18"/>
      <c r="G35" s="18"/>
      <c r="H35"/>
    </row>
    <row r="36" spans="1:8">
      <c r="A36" s="213" t="s">
        <v>61</v>
      </c>
      <c r="B36" s="18">
        <v>2128</v>
      </c>
      <c r="C36" s="18">
        <v>1976</v>
      </c>
      <c r="D36" s="18">
        <v>-74</v>
      </c>
      <c r="E36" s="19">
        <v>1226</v>
      </c>
      <c r="F36" s="18">
        <v>1458</v>
      </c>
      <c r="G36" s="18">
        <v>1632</v>
      </c>
      <c r="H36"/>
    </row>
    <row r="37" spans="1:8">
      <c r="A37" s="213" t="s">
        <v>133</v>
      </c>
      <c r="B37" s="18">
        <v>514</v>
      </c>
      <c r="C37" s="18">
        <v>440</v>
      </c>
      <c r="D37" s="18">
        <v>-76</v>
      </c>
      <c r="E37" s="19">
        <v>352</v>
      </c>
      <c r="F37" s="18">
        <v>369</v>
      </c>
      <c r="G37" s="18">
        <v>401</v>
      </c>
      <c r="H37"/>
    </row>
    <row r="38" spans="1:8">
      <c r="A38" s="213" t="s">
        <v>333</v>
      </c>
      <c r="B38" s="18">
        <v>329</v>
      </c>
      <c r="C38" s="18">
        <v>185</v>
      </c>
      <c r="D38" s="18">
        <v>450</v>
      </c>
      <c r="E38" s="19">
        <v>734</v>
      </c>
      <c r="F38" s="18">
        <v>612</v>
      </c>
      <c r="G38" s="18">
        <v>543</v>
      </c>
      <c r="H38"/>
    </row>
    <row r="39" spans="1:8">
      <c r="A39" s="213" t="s">
        <v>68</v>
      </c>
      <c r="B39" s="18">
        <v>126</v>
      </c>
      <c r="C39" s="18">
        <v>113</v>
      </c>
      <c r="D39" s="18">
        <v>91</v>
      </c>
      <c r="E39" s="19">
        <v>126</v>
      </c>
      <c r="F39" s="18">
        <v>130</v>
      </c>
      <c r="G39" s="18">
        <v>139</v>
      </c>
      <c r="H39" s="36"/>
    </row>
    <row r="40" spans="1:8">
      <c r="A40" s="131" t="s">
        <v>134</v>
      </c>
      <c r="B40" s="18">
        <v>482</v>
      </c>
      <c r="C40" s="18">
        <v>459</v>
      </c>
      <c r="D40" s="18">
        <v>644</v>
      </c>
      <c r="E40" s="19">
        <v>716</v>
      </c>
      <c r="F40" s="18">
        <v>704</v>
      </c>
      <c r="G40" s="18">
        <v>692</v>
      </c>
      <c r="H40"/>
    </row>
    <row r="41" spans="1:8">
      <c r="A41" s="228"/>
      <c r="B41" s="51">
        <v>3579</v>
      </c>
      <c r="C41" s="231">
        <v>3173</v>
      </c>
      <c r="D41" s="231">
        <v>1035</v>
      </c>
      <c r="E41" s="52">
        <v>3154</v>
      </c>
      <c r="F41" s="51">
        <v>3273</v>
      </c>
      <c r="G41" s="51">
        <v>3407</v>
      </c>
      <c r="H41"/>
    </row>
    <row r="42" spans="1:8">
      <c r="A42" s="215" t="s">
        <v>135</v>
      </c>
      <c r="B42" s="18"/>
      <c r="C42" s="23"/>
      <c r="D42" s="23"/>
      <c r="E42" s="19"/>
      <c r="F42" s="18"/>
      <c r="G42" s="18"/>
      <c r="H42" s="104"/>
    </row>
    <row r="43" spans="1:8">
      <c r="A43" s="213" t="s">
        <v>136</v>
      </c>
      <c r="B43" s="18">
        <v>1205</v>
      </c>
      <c r="C43" s="18">
        <v>1468</v>
      </c>
      <c r="D43" s="18">
        <v>1502</v>
      </c>
      <c r="E43" s="19">
        <v>1515</v>
      </c>
      <c r="F43" s="18">
        <v>1509</v>
      </c>
      <c r="G43" s="18">
        <v>1573</v>
      </c>
      <c r="H43"/>
    </row>
    <row r="44" spans="1:8">
      <c r="A44" s="213" t="s">
        <v>137</v>
      </c>
      <c r="B44" s="18">
        <v>854</v>
      </c>
      <c r="C44" s="18">
        <v>850</v>
      </c>
      <c r="D44" s="18">
        <v>832</v>
      </c>
      <c r="E44" s="19">
        <v>830</v>
      </c>
      <c r="F44" s="18">
        <v>836</v>
      </c>
      <c r="G44" s="18">
        <v>845</v>
      </c>
      <c r="H44"/>
    </row>
    <row r="45" spans="1:8">
      <c r="A45" s="213" t="s">
        <v>138</v>
      </c>
      <c r="B45" s="18">
        <v>-4</v>
      </c>
      <c r="C45" s="18">
        <v>7</v>
      </c>
      <c r="D45" s="18">
        <v>13</v>
      </c>
      <c r="E45" s="19">
        <v>5</v>
      </c>
      <c r="F45" s="18">
        <v>9</v>
      </c>
      <c r="G45" s="18">
        <v>14</v>
      </c>
      <c r="H45"/>
    </row>
    <row r="46" spans="1:8">
      <c r="A46" s="213" t="s">
        <v>139</v>
      </c>
      <c r="B46" s="18">
        <v>586</v>
      </c>
      <c r="C46" s="18">
        <v>313</v>
      </c>
      <c r="D46" s="18">
        <v>282</v>
      </c>
      <c r="E46" s="19">
        <v>279</v>
      </c>
      <c r="F46" s="18">
        <v>324</v>
      </c>
      <c r="G46" s="18">
        <v>358</v>
      </c>
      <c r="H46"/>
    </row>
    <row r="47" spans="1:8">
      <c r="A47" s="213" t="s">
        <v>140</v>
      </c>
      <c r="B47" s="18">
        <v>96</v>
      </c>
      <c r="C47" s="18">
        <v>112</v>
      </c>
      <c r="D47" s="18">
        <v>120</v>
      </c>
      <c r="E47" s="19">
        <v>103</v>
      </c>
      <c r="F47" s="18">
        <v>103</v>
      </c>
      <c r="G47" s="18">
        <v>103</v>
      </c>
      <c r="H47"/>
    </row>
    <row r="48" spans="1:8">
      <c r="A48" s="131" t="s">
        <v>141</v>
      </c>
      <c r="B48" s="18">
        <v>2073</v>
      </c>
      <c r="C48" s="18">
        <v>-315</v>
      </c>
      <c r="D48" s="18">
        <v>-300</v>
      </c>
      <c r="E48" s="19">
        <v>-5</v>
      </c>
      <c r="F48" s="18">
        <v>-359</v>
      </c>
      <c r="G48" s="18">
        <v>-246</v>
      </c>
      <c r="H48"/>
    </row>
    <row r="49" spans="1:8">
      <c r="A49" s="228"/>
      <c r="B49" s="51">
        <v>4810</v>
      </c>
      <c r="C49" s="231">
        <v>2435</v>
      </c>
      <c r="D49" s="231">
        <v>2449</v>
      </c>
      <c r="E49" s="52">
        <v>2727</v>
      </c>
      <c r="F49" s="51">
        <v>2422</v>
      </c>
      <c r="G49" s="51">
        <v>2647</v>
      </c>
      <c r="H49"/>
    </row>
    <row r="50" spans="1:8">
      <c r="A50" s="215" t="s">
        <v>142</v>
      </c>
      <c r="B50" s="18"/>
      <c r="C50" s="23"/>
      <c r="D50" s="23"/>
      <c r="E50" s="19"/>
      <c r="F50" s="18"/>
      <c r="G50" s="18"/>
      <c r="H50"/>
    </row>
    <row r="51" spans="1:8">
      <c r="A51" s="213" t="s">
        <v>143</v>
      </c>
      <c r="B51" s="18">
        <v>1465</v>
      </c>
      <c r="C51" s="18">
        <v>1645</v>
      </c>
      <c r="D51" s="18">
        <v>1667</v>
      </c>
      <c r="E51" s="19">
        <v>1771</v>
      </c>
      <c r="F51" s="18">
        <v>1865</v>
      </c>
      <c r="G51" s="18">
        <v>1902</v>
      </c>
      <c r="H51"/>
    </row>
    <row r="52" spans="1:8">
      <c r="A52" s="213" t="s">
        <v>144</v>
      </c>
      <c r="B52" s="18">
        <v>603</v>
      </c>
      <c r="C52" s="18">
        <v>661</v>
      </c>
      <c r="D52" s="18">
        <v>705</v>
      </c>
      <c r="E52" s="19">
        <v>754</v>
      </c>
      <c r="F52" s="18">
        <v>793</v>
      </c>
      <c r="G52" s="18">
        <v>832</v>
      </c>
      <c r="H52"/>
    </row>
    <row r="53" spans="1:8">
      <c r="A53" s="213" t="s">
        <v>145</v>
      </c>
      <c r="B53" s="18">
        <v>566</v>
      </c>
      <c r="C53" s="18">
        <v>548</v>
      </c>
      <c r="D53" s="18">
        <v>586</v>
      </c>
      <c r="E53" s="19">
        <v>580</v>
      </c>
      <c r="F53" s="18">
        <v>593</v>
      </c>
      <c r="G53" s="18">
        <v>605</v>
      </c>
      <c r="H53"/>
    </row>
    <row r="54" spans="1:8">
      <c r="A54" s="131" t="s">
        <v>146</v>
      </c>
      <c r="B54" s="18">
        <v>324</v>
      </c>
      <c r="C54" s="18">
        <v>359</v>
      </c>
      <c r="D54" s="18">
        <v>514</v>
      </c>
      <c r="E54" s="19">
        <v>613</v>
      </c>
      <c r="F54" s="18">
        <v>683</v>
      </c>
      <c r="G54" s="18">
        <v>741</v>
      </c>
      <c r="H54"/>
    </row>
    <row r="55" spans="1:8">
      <c r="A55" s="213" t="s">
        <v>147</v>
      </c>
      <c r="B55" s="18">
        <v>313</v>
      </c>
      <c r="C55" s="18">
        <v>309</v>
      </c>
      <c r="D55" s="18">
        <v>313</v>
      </c>
      <c r="E55" s="19">
        <v>384</v>
      </c>
      <c r="F55" s="18">
        <v>392</v>
      </c>
      <c r="G55" s="18">
        <v>399</v>
      </c>
      <c r="H55"/>
    </row>
    <row r="56" spans="1:8" ht="12" customHeight="1">
      <c r="A56" s="131" t="s">
        <v>97</v>
      </c>
      <c r="B56" s="18">
        <v>1249</v>
      </c>
      <c r="C56" s="18">
        <v>968</v>
      </c>
      <c r="D56" s="18">
        <v>1011</v>
      </c>
      <c r="E56" s="19">
        <v>938</v>
      </c>
      <c r="F56" s="18">
        <v>964</v>
      </c>
      <c r="G56" s="18">
        <v>881</v>
      </c>
      <c r="H56"/>
    </row>
    <row r="57" spans="1:8">
      <c r="A57" s="228"/>
      <c r="B57" s="51">
        <v>4520</v>
      </c>
      <c r="C57" s="231">
        <v>4490</v>
      </c>
      <c r="D57" s="231">
        <v>4796</v>
      </c>
      <c r="E57" s="52">
        <v>5040</v>
      </c>
      <c r="F57" s="51">
        <v>5289</v>
      </c>
      <c r="G57" s="51">
        <v>5360</v>
      </c>
      <c r="H57"/>
    </row>
    <row r="58" spans="1:8">
      <c r="A58" s="215" t="s">
        <v>97</v>
      </c>
      <c r="B58" s="18"/>
      <c r="C58" s="23"/>
      <c r="D58" s="23"/>
      <c r="E58" s="19"/>
      <c r="F58" s="18"/>
      <c r="G58" s="18"/>
      <c r="H58"/>
    </row>
    <row r="59" spans="1:8">
      <c r="A59" s="213" t="s">
        <v>148</v>
      </c>
      <c r="B59" s="18">
        <v>806</v>
      </c>
      <c r="C59" s="18">
        <v>876</v>
      </c>
      <c r="D59" s="18">
        <v>895</v>
      </c>
      <c r="E59" s="19">
        <v>915</v>
      </c>
      <c r="F59" s="18">
        <v>920</v>
      </c>
      <c r="G59" s="18">
        <v>942</v>
      </c>
      <c r="H59"/>
    </row>
    <row r="60" spans="1:8">
      <c r="A60" s="213" t="s">
        <v>149</v>
      </c>
      <c r="B60" s="18">
        <v>741</v>
      </c>
      <c r="C60" s="18">
        <v>640</v>
      </c>
      <c r="D60" s="18">
        <v>658</v>
      </c>
      <c r="E60" s="19">
        <v>662</v>
      </c>
      <c r="F60" s="18">
        <v>670</v>
      </c>
      <c r="G60" s="18">
        <v>675</v>
      </c>
      <c r="H60"/>
    </row>
    <row r="61" spans="1:8">
      <c r="A61" s="213" t="s">
        <v>150</v>
      </c>
      <c r="B61" s="18">
        <v>847</v>
      </c>
      <c r="C61" s="18">
        <v>729</v>
      </c>
      <c r="D61" s="18">
        <v>765</v>
      </c>
      <c r="E61" s="19">
        <v>877</v>
      </c>
      <c r="F61" s="18">
        <v>904</v>
      </c>
      <c r="G61" s="18">
        <v>931</v>
      </c>
      <c r="H61"/>
    </row>
    <row r="62" spans="1:8">
      <c r="A62" s="213" t="s">
        <v>151</v>
      </c>
      <c r="B62" s="18">
        <v>187</v>
      </c>
      <c r="C62" s="18">
        <v>273</v>
      </c>
      <c r="D62" s="18">
        <v>253</v>
      </c>
      <c r="E62" s="19">
        <v>226</v>
      </c>
      <c r="F62" s="18">
        <v>226</v>
      </c>
      <c r="G62" s="18">
        <v>226</v>
      </c>
      <c r="H62"/>
    </row>
    <row r="63" spans="1:8">
      <c r="A63" s="213" t="s">
        <v>152</v>
      </c>
      <c r="B63" s="18">
        <v>326</v>
      </c>
      <c r="C63" s="18">
        <v>182</v>
      </c>
      <c r="D63" s="18">
        <v>153</v>
      </c>
      <c r="E63" s="19">
        <v>108</v>
      </c>
      <c r="F63" s="18">
        <v>113</v>
      </c>
      <c r="G63" s="18">
        <v>128</v>
      </c>
      <c r="H63"/>
    </row>
    <row r="64" spans="1:8">
      <c r="A64" s="213" t="s">
        <v>153</v>
      </c>
      <c r="B64" s="18">
        <v>705</v>
      </c>
      <c r="C64" s="18">
        <v>421</v>
      </c>
      <c r="D64" s="18">
        <v>637</v>
      </c>
      <c r="E64" s="19">
        <v>523</v>
      </c>
      <c r="F64" s="18">
        <v>563</v>
      </c>
      <c r="G64" s="18">
        <v>303</v>
      </c>
      <c r="H64"/>
    </row>
    <row r="65" spans="1:8">
      <c r="A65" s="213" t="s">
        <v>154</v>
      </c>
      <c r="B65" s="18">
        <v>530</v>
      </c>
      <c r="C65" s="18">
        <v>460</v>
      </c>
      <c r="D65" s="18">
        <v>495</v>
      </c>
      <c r="E65" s="19">
        <v>516</v>
      </c>
      <c r="F65" s="18">
        <v>530</v>
      </c>
      <c r="G65" s="18">
        <v>525</v>
      </c>
      <c r="H65" s="36"/>
    </row>
    <row r="66" spans="1:8">
      <c r="A66" s="228"/>
      <c r="B66" s="51">
        <v>4142</v>
      </c>
      <c r="C66" s="231">
        <v>3581</v>
      </c>
      <c r="D66" s="231">
        <v>3856</v>
      </c>
      <c r="E66" s="52">
        <v>3827</v>
      </c>
      <c r="F66" s="51">
        <v>3926</v>
      </c>
      <c r="G66" s="51">
        <v>3730</v>
      </c>
      <c r="H66"/>
    </row>
    <row r="67" spans="1:8" ht="12.75" thickBot="1">
      <c r="A67" s="30" t="s">
        <v>18</v>
      </c>
      <c r="B67" s="232">
        <v>68322</v>
      </c>
      <c r="C67" s="232">
        <v>62607</v>
      </c>
      <c r="D67" s="232">
        <v>76025</v>
      </c>
      <c r="E67" s="233">
        <v>70653</v>
      </c>
      <c r="F67" s="232">
        <v>71724</v>
      </c>
      <c r="G67" s="232">
        <v>72608</v>
      </c>
      <c r="H67" s="104"/>
    </row>
    <row r="68" spans="1:8">
      <c r="A68" s="215"/>
      <c r="B68" s="216"/>
      <c r="C68" s="216"/>
      <c r="D68" s="216"/>
      <c r="E68" s="18"/>
      <c r="F68" s="39"/>
      <c r="G68" s="39"/>
      <c r="H68" s="36"/>
    </row>
    <row r="69" spans="1:8" ht="15" customHeight="1">
      <c r="A69" s="234"/>
      <c r="C69" s="235"/>
      <c r="D69" s="235"/>
      <c r="E69" s="235"/>
      <c r="F69" s="235"/>
      <c r="G69" s="235"/>
      <c r="H69" s="39"/>
    </row>
    <row r="70" spans="1:8">
      <c r="F70"/>
      <c r="G70"/>
      <c r="H70"/>
    </row>
    <row r="71" spans="1:8" ht="12" customHeight="1">
      <c r="F71"/>
      <c r="G71"/>
      <c r="H71"/>
    </row>
    <row r="72" spans="1:8" ht="12" customHeight="1">
      <c r="F72"/>
      <c r="G72"/>
      <c r="H72"/>
    </row>
    <row r="73" spans="1:8">
      <c r="F73"/>
      <c r="G73"/>
      <c r="H73"/>
    </row>
    <row r="74" spans="1:8">
      <c r="F74"/>
      <c r="G74"/>
      <c r="H74"/>
    </row>
    <row r="75" spans="1:8">
      <c r="F75"/>
      <c r="G75"/>
      <c r="H75"/>
    </row>
    <row r="76" spans="1:8">
      <c r="F76"/>
      <c r="G76"/>
      <c r="H76"/>
    </row>
    <row r="77" spans="1:8">
      <c r="F77"/>
      <c r="G77"/>
      <c r="H77"/>
    </row>
    <row r="78" spans="1:8">
      <c r="F78"/>
      <c r="G78"/>
      <c r="H78"/>
    </row>
    <row r="79" spans="1:8">
      <c r="F79"/>
      <c r="G79"/>
      <c r="H79"/>
    </row>
  </sheetData>
  <mergeCells count="1">
    <mergeCell ref="C3:D3"/>
  </mergeCells>
  <pageMargins left="0.75" right="0.75" top="0.75" bottom="0.75" header="0.3" footer="0.3"/>
  <pageSetup scale="91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Q70"/>
  <sheetViews>
    <sheetView showGridLines="0" topLeftCell="A19" zoomScaleNormal="100" workbookViewId="0">
      <selection activeCell="A44" sqref="A44"/>
    </sheetView>
  </sheetViews>
  <sheetFormatPr defaultColWidth="9" defaultRowHeight="11.25"/>
  <cols>
    <col min="1" max="1" width="51.5703125" style="236" customWidth="1"/>
    <col min="2" max="2" width="8" style="89" customWidth="1"/>
    <col min="3" max="7" width="8" style="236" customWidth="1"/>
    <col min="8" max="16384" width="9" style="236"/>
  </cols>
  <sheetData>
    <row r="1" spans="1:17" ht="15.75">
      <c r="A1" s="263" t="s">
        <v>168</v>
      </c>
    </row>
    <row r="2" spans="1:17" ht="12">
      <c r="A2" s="264" t="s">
        <v>1</v>
      </c>
      <c r="F2"/>
      <c r="G2"/>
      <c r="H2"/>
      <c r="I2"/>
      <c r="J2"/>
      <c r="K2"/>
    </row>
    <row r="3" spans="1:17" ht="4.5" customHeight="1">
      <c r="A3" s="264"/>
      <c r="F3"/>
      <c r="G3"/>
      <c r="H3"/>
      <c r="I3"/>
      <c r="J3"/>
      <c r="K3"/>
    </row>
    <row r="4" spans="1:17" ht="12">
      <c r="B4" s="7" t="s">
        <v>4</v>
      </c>
      <c r="C4" s="595" t="s">
        <v>5</v>
      </c>
      <c r="D4" s="595"/>
      <c r="E4" s="8" t="s">
        <v>6</v>
      </c>
      <c r="F4" s="7" t="s">
        <v>301</v>
      </c>
      <c r="G4" s="7" t="s">
        <v>347</v>
      </c>
      <c r="H4"/>
      <c r="I4"/>
      <c r="J4"/>
      <c r="K4"/>
    </row>
    <row r="5" spans="1:17" s="265" customFormat="1" ht="12" customHeight="1">
      <c r="A5" s="9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  <c r="H5"/>
      <c r="I5"/>
      <c r="J5"/>
      <c r="K5"/>
    </row>
    <row r="6" spans="1:17" ht="3.75" customHeight="1">
      <c r="A6" s="266"/>
      <c r="B6" s="218"/>
      <c r="C6" s="84"/>
      <c r="D6" s="84"/>
      <c r="E6" s="267"/>
      <c r="F6"/>
      <c r="G6"/>
      <c r="H6"/>
      <c r="I6"/>
      <c r="J6"/>
      <c r="K6"/>
    </row>
    <row r="7" spans="1:17" s="269" customFormat="1" ht="12.75" customHeight="1">
      <c r="A7" s="268" t="s">
        <v>98</v>
      </c>
      <c r="B7" s="218">
        <v>5138</v>
      </c>
      <c r="C7" s="96">
        <v>5283</v>
      </c>
      <c r="D7" s="96">
        <v>5358</v>
      </c>
      <c r="E7" s="161">
        <v>5604</v>
      </c>
      <c r="F7" s="218">
        <v>5730</v>
      </c>
      <c r="G7" s="96">
        <v>5862</v>
      </c>
      <c r="H7"/>
      <c r="I7"/>
      <c r="J7"/>
      <c r="K7"/>
      <c r="L7"/>
      <c r="M7"/>
      <c r="N7"/>
      <c r="O7"/>
      <c r="P7"/>
      <c r="Q7"/>
    </row>
    <row r="8" spans="1:17" s="269" customFormat="1" ht="12.75" customHeight="1">
      <c r="A8" s="268" t="s">
        <v>351</v>
      </c>
      <c r="B8" s="218">
        <v>356</v>
      </c>
      <c r="C8" s="96">
        <v>78</v>
      </c>
      <c r="D8" s="96">
        <v>732</v>
      </c>
      <c r="E8" s="161">
        <v>131</v>
      </c>
      <c r="F8" s="218">
        <v>84</v>
      </c>
      <c r="G8" s="96">
        <v>85</v>
      </c>
      <c r="H8"/>
      <c r="I8"/>
      <c r="J8"/>
      <c r="K8"/>
      <c r="L8"/>
      <c r="M8"/>
      <c r="N8"/>
      <c r="O8"/>
      <c r="P8"/>
      <c r="Q8"/>
    </row>
    <row r="9" spans="1:17" s="269" customFormat="1" ht="12.75" customHeight="1">
      <c r="A9" s="270" t="s">
        <v>352</v>
      </c>
      <c r="B9" s="218">
        <v>665</v>
      </c>
      <c r="C9" s="96">
        <v>700</v>
      </c>
      <c r="D9" s="96">
        <v>710</v>
      </c>
      <c r="E9" s="161">
        <v>804</v>
      </c>
      <c r="F9" s="218">
        <v>801</v>
      </c>
      <c r="G9" s="96">
        <v>806</v>
      </c>
      <c r="H9"/>
      <c r="I9"/>
      <c r="J9"/>
      <c r="K9"/>
      <c r="L9"/>
      <c r="M9"/>
      <c r="N9"/>
      <c r="O9"/>
      <c r="P9"/>
      <c r="Q9"/>
    </row>
    <row r="10" spans="1:17" s="269" customFormat="1" ht="12.75" customHeight="1">
      <c r="A10" s="270" t="s">
        <v>99</v>
      </c>
      <c r="B10" s="218">
        <v>1706</v>
      </c>
      <c r="C10" s="96">
        <v>2389</v>
      </c>
      <c r="D10" s="96">
        <v>2650</v>
      </c>
      <c r="E10" s="161">
        <v>2907</v>
      </c>
      <c r="F10" s="218">
        <v>2794</v>
      </c>
      <c r="G10" s="96">
        <v>2994</v>
      </c>
      <c r="H10"/>
      <c r="I10"/>
      <c r="J10"/>
      <c r="K10"/>
      <c r="L10"/>
      <c r="M10"/>
      <c r="N10"/>
      <c r="O10"/>
      <c r="P10"/>
      <c r="Q10"/>
    </row>
    <row r="11" spans="1:17" s="269" customFormat="1" ht="12.75" customHeight="1">
      <c r="A11" s="268" t="s">
        <v>354</v>
      </c>
      <c r="B11" s="218">
        <v>161</v>
      </c>
      <c r="C11" s="96">
        <v>150</v>
      </c>
      <c r="D11" s="96">
        <v>162</v>
      </c>
      <c r="E11" s="161">
        <v>162</v>
      </c>
      <c r="F11" s="218">
        <v>163</v>
      </c>
      <c r="G11" s="96">
        <v>161</v>
      </c>
      <c r="H11"/>
      <c r="I11"/>
      <c r="J11"/>
      <c r="K11"/>
      <c r="L11"/>
      <c r="M11"/>
      <c r="N11"/>
      <c r="O11"/>
      <c r="P11"/>
      <c r="Q11"/>
    </row>
    <row r="12" spans="1:17" s="269" customFormat="1" ht="12.75" customHeight="1">
      <c r="A12" s="270" t="s">
        <v>100</v>
      </c>
      <c r="B12" s="218">
        <v>7846</v>
      </c>
      <c r="C12" s="96">
        <v>8390</v>
      </c>
      <c r="D12" s="96">
        <v>8456</v>
      </c>
      <c r="E12" s="161">
        <v>8836</v>
      </c>
      <c r="F12" s="218">
        <v>9036</v>
      </c>
      <c r="G12" s="96">
        <v>9162</v>
      </c>
      <c r="H12"/>
      <c r="I12" s="532">
        <f>(E12-(D12+D37))/(D12+D37)</f>
        <v>4.2349887932051432E-2</v>
      </c>
      <c r="J12"/>
      <c r="K12"/>
      <c r="L12"/>
      <c r="M12"/>
      <c r="N12"/>
      <c r="O12"/>
      <c r="P12"/>
      <c r="Q12"/>
    </row>
    <row r="13" spans="1:17" s="269" customFormat="1" ht="12.75" customHeight="1">
      <c r="A13" s="270" t="s">
        <v>371</v>
      </c>
      <c r="B13" s="218">
        <v>1419</v>
      </c>
      <c r="C13" s="96">
        <v>491</v>
      </c>
      <c r="D13" s="96">
        <v>782</v>
      </c>
      <c r="E13" s="161">
        <v>766</v>
      </c>
      <c r="F13" s="218">
        <v>740</v>
      </c>
      <c r="G13" s="96">
        <v>736</v>
      </c>
      <c r="H13"/>
      <c r="I13" s="36">
        <f>G12-C12</f>
        <v>772</v>
      </c>
      <c r="J13"/>
      <c r="K13" s="36">
        <f>G12-F12</f>
        <v>126</v>
      </c>
      <c r="L13" s="36">
        <f>F12-E12</f>
        <v>200</v>
      </c>
      <c r="M13" s="36">
        <f>E12-C12</f>
        <v>446</v>
      </c>
      <c r="N13"/>
      <c r="O13"/>
      <c r="P13"/>
      <c r="Q13"/>
    </row>
    <row r="14" spans="1:17" s="269" customFormat="1" ht="12.75" customHeight="1">
      <c r="A14" s="270" t="s">
        <v>355</v>
      </c>
      <c r="B14" s="218">
        <v>373</v>
      </c>
      <c r="C14" s="96">
        <v>364</v>
      </c>
      <c r="D14" s="96">
        <v>444</v>
      </c>
      <c r="E14" s="161">
        <v>497</v>
      </c>
      <c r="F14" s="218">
        <v>486</v>
      </c>
      <c r="G14" s="96">
        <v>344</v>
      </c>
      <c r="H14" s="36"/>
      <c r="I14" s="36">
        <f>E12-D12-D37</f>
        <v>359</v>
      </c>
      <c r="J14"/>
      <c r="K14"/>
      <c r="L14"/>
      <c r="M14"/>
      <c r="N14"/>
      <c r="O14"/>
      <c r="P14"/>
      <c r="Q14"/>
    </row>
    <row r="15" spans="1:17" s="269" customFormat="1" ht="12.75" customHeight="1">
      <c r="A15" s="270" t="s">
        <v>102</v>
      </c>
      <c r="B15" s="218">
        <v>21</v>
      </c>
      <c r="C15" s="96">
        <v>25</v>
      </c>
      <c r="D15" s="96">
        <v>31</v>
      </c>
      <c r="E15" s="161">
        <v>35</v>
      </c>
      <c r="F15" s="218">
        <v>37</v>
      </c>
      <c r="G15" s="96">
        <v>38</v>
      </c>
      <c r="H15" s="36"/>
      <c r="I15" s="36">
        <f>D12+D37-C12-C37</f>
        <v>74</v>
      </c>
      <c r="J15"/>
      <c r="K15"/>
      <c r="L15"/>
      <c r="M15"/>
      <c r="N15"/>
      <c r="O15"/>
      <c r="P15"/>
      <c r="Q15"/>
    </row>
    <row r="16" spans="1:17" s="269" customFormat="1" ht="12.75" customHeight="1">
      <c r="A16" s="270" t="s">
        <v>356</v>
      </c>
      <c r="B16" s="218">
        <v>311</v>
      </c>
      <c r="C16" s="96">
        <v>341</v>
      </c>
      <c r="D16" s="96">
        <v>344</v>
      </c>
      <c r="E16" s="161">
        <v>385</v>
      </c>
      <c r="F16" s="218">
        <v>369</v>
      </c>
      <c r="G16" s="96">
        <v>365</v>
      </c>
      <c r="H16" s="36"/>
      <c r="I16" s="36"/>
      <c r="J16"/>
      <c r="K16"/>
      <c r="L16"/>
      <c r="M16"/>
      <c r="N16"/>
      <c r="O16"/>
      <c r="P16"/>
      <c r="Q16"/>
    </row>
    <row r="17" spans="1:17" s="269" customFormat="1" ht="12.75" customHeight="1">
      <c r="A17" s="270" t="s">
        <v>103</v>
      </c>
      <c r="B17" s="218">
        <v>21238</v>
      </c>
      <c r="C17" s="96">
        <v>21917</v>
      </c>
      <c r="D17" s="96">
        <v>22585</v>
      </c>
      <c r="E17" s="161">
        <v>24533</v>
      </c>
      <c r="F17" s="218">
        <v>25443</v>
      </c>
      <c r="G17" s="96">
        <v>26041</v>
      </c>
      <c r="H17"/>
      <c r="I17"/>
      <c r="J17"/>
      <c r="K17"/>
      <c r="L17"/>
      <c r="M17"/>
      <c r="N17"/>
      <c r="O17"/>
      <c r="P17"/>
      <c r="Q17"/>
    </row>
    <row r="18" spans="1:17" ht="12.75" customHeight="1">
      <c r="A18" s="270" t="s">
        <v>104</v>
      </c>
      <c r="B18" s="218">
        <v>153</v>
      </c>
      <c r="C18" s="96">
        <v>165</v>
      </c>
      <c r="D18" s="96">
        <v>175</v>
      </c>
      <c r="E18" s="161">
        <v>214</v>
      </c>
      <c r="F18" s="218">
        <v>212</v>
      </c>
      <c r="G18" s="96">
        <v>212</v>
      </c>
      <c r="H18"/>
      <c r="I18"/>
      <c r="J18"/>
      <c r="K18"/>
      <c r="L18"/>
      <c r="M18"/>
      <c r="N18"/>
      <c r="O18"/>
      <c r="P18"/>
      <c r="Q18"/>
    </row>
    <row r="19" spans="1:17" s="269" customFormat="1" ht="12.75" customHeight="1">
      <c r="A19" s="270" t="s">
        <v>105</v>
      </c>
      <c r="B19" s="218">
        <v>430</v>
      </c>
      <c r="C19" s="96">
        <v>408</v>
      </c>
      <c r="D19" s="96">
        <v>437</v>
      </c>
      <c r="E19" s="161">
        <v>462</v>
      </c>
      <c r="F19" s="218">
        <v>468</v>
      </c>
      <c r="G19" s="96">
        <v>466</v>
      </c>
      <c r="H19" s="36"/>
      <c r="I19" s="36"/>
      <c r="J19"/>
      <c r="K19"/>
      <c r="L19"/>
      <c r="M19"/>
      <c r="N19"/>
      <c r="O19"/>
      <c r="P19"/>
      <c r="Q19"/>
    </row>
    <row r="20" spans="1:17" s="269" customFormat="1" ht="12.75" customHeight="1">
      <c r="A20" s="268" t="s">
        <v>357</v>
      </c>
      <c r="B20" s="218">
        <v>197</v>
      </c>
      <c r="C20" s="96">
        <v>312</v>
      </c>
      <c r="D20" s="96">
        <v>300</v>
      </c>
      <c r="E20" s="161">
        <v>373</v>
      </c>
      <c r="F20" s="218">
        <v>354</v>
      </c>
      <c r="G20" s="96">
        <v>341</v>
      </c>
      <c r="H20"/>
      <c r="I20" s="36"/>
      <c r="J20"/>
      <c r="K20"/>
      <c r="L20"/>
      <c r="M20"/>
      <c r="N20"/>
      <c r="O20"/>
      <c r="P20"/>
      <c r="Q20"/>
    </row>
    <row r="21" spans="1:17" s="269" customFormat="1" ht="12.75" customHeight="1">
      <c r="A21" s="270" t="s">
        <v>358</v>
      </c>
      <c r="B21" s="218">
        <v>459</v>
      </c>
      <c r="C21" s="96">
        <v>502</v>
      </c>
      <c r="D21" s="96">
        <v>594</v>
      </c>
      <c r="E21" s="161">
        <v>655</v>
      </c>
      <c r="F21" s="218">
        <v>659</v>
      </c>
      <c r="G21" s="96">
        <v>664</v>
      </c>
      <c r="H21"/>
      <c r="I21"/>
      <c r="J21"/>
      <c r="K21"/>
      <c r="L21"/>
      <c r="M21"/>
      <c r="N21"/>
      <c r="O21"/>
      <c r="P21"/>
      <c r="Q21"/>
    </row>
    <row r="22" spans="1:17" s="269" customFormat="1" ht="12.75" customHeight="1">
      <c r="A22" s="269" t="s">
        <v>360</v>
      </c>
      <c r="B22" s="218">
        <v>64</v>
      </c>
      <c r="C22" s="96">
        <v>101</v>
      </c>
      <c r="D22" s="96">
        <v>104</v>
      </c>
      <c r="E22" s="161">
        <v>148</v>
      </c>
      <c r="F22" s="218">
        <v>157</v>
      </c>
      <c r="G22" s="96">
        <v>191</v>
      </c>
      <c r="H22"/>
      <c r="I22"/>
      <c r="J22"/>
      <c r="K22"/>
      <c r="L22"/>
      <c r="M22"/>
      <c r="N22"/>
      <c r="O22"/>
      <c r="P22"/>
      <c r="Q22"/>
    </row>
    <row r="23" spans="1:17" s="269" customFormat="1" ht="12.75" customHeight="1">
      <c r="A23" s="270" t="s">
        <v>106</v>
      </c>
      <c r="B23" s="218">
        <v>187</v>
      </c>
      <c r="C23" s="96">
        <v>186</v>
      </c>
      <c r="D23" s="96">
        <v>185</v>
      </c>
      <c r="E23" s="161">
        <v>228</v>
      </c>
      <c r="F23" s="218">
        <v>230</v>
      </c>
      <c r="G23" s="96">
        <v>232</v>
      </c>
      <c r="H23"/>
      <c r="I23"/>
      <c r="J23"/>
      <c r="K23"/>
      <c r="L23"/>
      <c r="M23"/>
      <c r="N23"/>
      <c r="O23"/>
      <c r="P23"/>
      <c r="Q23"/>
    </row>
    <row r="24" spans="1:17" s="269" customFormat="1" ht="12.75" customHeight="1">
      <c r="A24" s="270" t="s">
        <v>361</v>
      </c>
      <c r="B24" s="218">
        <v>1060</v>
      </c>
      <c r="C24" s="96">
        <v>1024</v>
      </c>
      <c r="D24" s="96">
        <v>1051</v>
      </c>
      <c r="E24" s="161">
        <v>1187</v>
      </c>
      <c r="F24" s="218">
        <v>1216</v>
      </c>
      <c r="G24" s="96">
        <v>1209</v>
      </c>
      <c r="H24"/>
      <c r="I24"/>
      <c r="J24"/>
      <c r="K24"/>
      <c r="L24"/>
      <c r="M24"/>
      <c r="N24"/>
      <c r="O24"/>
      <c r="P24"/>
      <c r="Q24"/>
    </row>
    <row r="25" spans="1:17" s="269" customFormat="1" ht="12.75" customHeight="1">
      <c r="A25" s="270" t="s">
        <v>353</v>
      </c>
      <c r="B25" s="218">
        <v>4353</v>
      </c>
      <c r="C25" s="96">
        <v>4646</v>
      </c>
      <c r="D25" s="96">
        <v>4943</v>
      </c>
      <c r="E25" s="161">
        <v>5332</v>
      </c>
      <c r="F25" s="218">
        <v>5239</v>
      </c>
      <c r="G25" s="96">
        <v>5415</v>
      </c>
      <c r="H25"/>
      <c r="I25"/>
      <c r="J25"/>
      <c r="K25"/>
      <c r="L25"/>
      <c r="M25"/>
      <c r="N25"/>
      <c r="O25"/>
      <c r="P25"/>
      <c r="Q25"/>
    </row>
    <row r="26" spans="1:17" s="269" customFormat="1" ht="12.75" customHeight="1">
      <c r="A26" s="270" t="s">
        <v>362</v>
      </c>
      <c r="B26" s="218">
        <v>80</v>
      </c>
      <c r="C26" s="96">
        <v>88</v>
      </c>
      <c r="D26" s="96">
        <v>92</v>
      </c>
      <c r="E26" s="161">
        <v>112</v>
      </c>
      <c r="F26" s="218">
        <v>109</v>
      </c>
      <c r="G26" s="96">
        <v>104</v>
      </c>
      <c r="H26"/>
      <c r="I26"/>
      <c r="J26"/>
      <c r="K26"/>
    </row>
    <row r="27" spans="1:17" s="269" customFormat="1" ht="12.75" customHeight="1">
      <c r="A27" s="270" t="s">
        <v>363</v>
      </c>
      <c r="B27" s="218">
        <v>142</v>
      </c>
      <c r="C27" s="96">
        <v>162</v>
      </c>
      <c r="D27" s="96">
        <v>158</v>
      </c>
      <c r="E27" s="161">
        <v>175</v>
      </c>
      <c r="F27" s="218">
        <v>175</v>
      </c>
      <c r="G27" s="96">
        <v>176</v>
      </c>
      <c r="H27"/>
      <c r="I27"/>
      <c r="J27"/>
      <c r="K27"/>
    </row>
    <row r="28" spans="1:17" s="269" customFormat="1" ht="12.75" customHeight="1">
      <c r="A28" s="270" t="s">
        <v>364</v>
      </c>
      <c r="B28" s="218">
        <v>497</v>
      </c>
      <c r="C28" s="96">
        <v>540</v>
      </c>
      <c r="D28" s="96">
        <v>582</v>
      </c>
      <c r="E28" s="161">
        <v>704</v>
      </c>
      <c r="F28" s="218">
        <v>690</v>
      </c>
      <c r="G28" s="96">
        <v>691</v>
      </c>
      <c r="H28"/>
      <c r="J28"/>
      <c r="K28"/>
    </row>
    <row r="29" spans="1:17" s="269" customFormat="1" ht="12.75" customHeight="1">
      <c r="A29" s="268" t="s">
        <v>359</v>
      </c>
      <c r="B29" s="218">
        <v>85</v>
      </c>
      <c r="C29" s="96">
        <v>67</v>
      </c>
      <c r="D29" s="96">
        <v>62</v>
      </c>
      <c r="E29" s="161">
        <v>86</v>
      </c>
      <c r="F29" s="218">
        <v>85</v>
      </c>
      <c r="G29" s="96">
        <v>83</v>
      </c>
      <c r="H29"/>
      <c r="I29" s="36"/>
      <c r="J29"/>
      <c r="K29"/>
    </row>
    <row r="30" spans="1:17" s="269" customFormat="1" ht="12.75" customHeight="1">
      <c r="A30" s="270" t="s">
        <v>365</v>
      </c>
      <c r="B30" s="218">
        <v>437</v>
      </c>
      <c r="C30" s="96">
        <v>461</v>
      </c>
      <c r="D30" s="96">
        <v>460</v>
      </c>
      <c r="E30" s="161">
        <v>507</v>
      </c>
      <c r="F30" s="218">
        <v>532</v>
      </c>
      <c r="G30" s="96">
        <v>546</v>
      </c>
      <c r="H30"/>
      <c r="I30"/>
      <c r="J30"/>
      <c r="K30"/>
    </row>
    <row r="31" spans="1:17" s="269" customFormat="1" ht="12.75" customHeight="1">
      <c r="A31" s="270" t="s">
        <v>108</v>
      </c>
      <c r="B31" s="218">
        <v>2035</v>
      </c>
      <c r="C31" s="96">
        <v>1847</v>
      </c>
      <c r="D31" s="96">
        <v>1869</v>
      </c>
      <c r="E31" s="161">
        <v>2018</v>
      </c>
      <c r="F31" s="218">
        <v>2059</v>
      </c>
      <c r="G31" s="96">
        <v>2093</v>
      </c>
      <c r="H31"/>
      <c r="I31"/>
      <c r="J31" s="36"/>
      <c r="K31" s="36"/>
      <c r="L31" s="36"/>
      <c r="M31" s="36"/>
      <c r="N31" s="36"/>
      <c r="O31" s="36"/>
    </row>
    <row r="32" spans="1:17" s="269" customFormat="1" ht="12.75" customHeight="1">
      <c r="A32" s="270" t="s">
        <v>109</v>
      </c>
      <c r="B32" s="218">
        <v>117</v>
      </c>
      <c r="C32" s="96">
        <v>170</v>
      </c>
      <c r="D32" s="96">
        <v>135</v>
      </c>
      <c r="E32" s="161">
        <v>178</v>
      </c>
      <c r="F32" s="218">
        <v>181</v>
      </c>
      <c r="G32" s="96">
        <v>184</v>
      </c>
      <c r="H32" s="36"/>
      <c r="I32" s="36"/>
      <c r="J32" s="36"/>
      <c r="K32" s="36"/>
      <c r="L32" s="36"/>
      <c r="M32" s="36"/>
      <c r="N32" s="36"/>
      <c r="O32" s="531"/>
    </row>
    <row r="33" spans="1:17" s="269" customFormat="1" ht="12.75" customHeight="1">
      <c r="A33" s="264" t="s">
        <v>169</v>
      </c>
      <c r="B33" s="69"/>
      <c r="C33" s="77"/>
      <c r="D33" s="77"/>
      <c r="E33" s="54"/>
      <c r="F33" s="271"/>
      <c r="G33" s="72"/>
      <c r="I33" s="36"/>
      <c r="J33" s="36"/>
      <c r="K33" s="36"/>
      <c r="L33" s="36"/>
      <c r="M33" s="36"/>
      <c r="N33" s="36"/>
      <c r="O33" s="36"/>
    </row>
    <row r="34" spans="1:17" s="269" customFormat="1" ht="12.75" customHeight="1">
      <c r="A34" s="272" t="s">
        <v>98</v>
      </c>
      <c r="B34" s="98">
        <v>15</v>
      </c>
      <c r="C34" s="98">
        <v>62</v>
      </c>
      <c r="D34" s="98">
        <v>64</v>
      </c>
      <c r="E34" s="54">
        <v>0</v>
      </c>
      <c r="F34" s="98">
        <v>0</v>
      </c>
      <c r="G34" s="98">
        <v>0</v>
      </c>
      <c r="H34" s="36"/>
      <c r="I34" s="36"/>
    </row>
    <row r="35" spans="1:17" s="269" customFormat="1" ht="12.75" customHeight="1">
      <c r="A35" s="273" t="s">
        <v>99</v>
      </c>
      <c r="B35" s="98">
        <v>36</v>
      </c>
      <c r="C35" s="98">
        <v>0</v>
      </c>
      <c r="D35" s="98">
        <v>0</v>
      </c>
      <c r="E35" s="54">
        <v>0</v>
      </c>
      <c r="F35" s="98">
        <v>0</v>
      </c>
      <c r="G35" s="98">
        <v>0</v>
      </c>
      <c r="H35" s="36"/>
      <c r="I35" s="36"/>
      <c r="J35" s="36"/>
      <c r="K35" s="36"/>
      <c r="L35" s="36"/>
      <c r="M35" s="36"/>
    </row>
    <row r="36" spans="1:17" s="269" customFormat="1" ht="12.75" customHeight="1">
      <c r="A36" s="273" t="s">
        <v>354</v>
      </c>
      <c r="B36" s="98">
        <v>12</v>
      </c>
      <c r="C36" s="98">
        <v>0</v>
      </c>
      <c r="D36" s="98">
        <v>0</v>
      </c>
      <c r="E36" s="54">
        <v>0</v>
      </c>
      <c r="F36" s="98">
        <v>0</v>
      </c>
      <c r="G36" s="98">
        <v>0</v>
      </c>
      <c r="H36" s="36"/>
      <c r="I36" s="565"/>
      <c r="J36" s="565"/>
      <c r="K36" s="565"/>
      <c r="L36" s="565"/>
      <c r="M36" s="566"/>
      <c r="N36" s="567"/>
      <c r="O36" s="567"/>
      <c r="P36" s="567"/>
      <c r="Q36" s="567"/>
    </row>
    <row r="37" spans="1:17" s="269" customFormat="1" ht="12.75" customHeight="1">
      <c r="A37" s="273" t="s">
        <v>100</v>
      </c>
      <c r="B37" s="98">
        <v>130</v>
      </c>
      <c r="C37" s="98">
        <v>13</v>
      </c>
      <c r="D37" s="98">
        <v>21</v>
      </c>
      <c r="E37" s="54">
        <v>0</v>
      </c>
      <c r="F37" s="98">
        <v>0</v>
      </c>
      <c r="G37" s="98">
        <v>0</v>
      </c>
      <c r="H37" s="36"/>
      <c r="I37" s="568"/>
      <c r="J37" s="568"/>
      <c r="K37" s="568"/>
      <c r="L37" s="568"/>
      <c r="M37" s="566"/>
      <c r="N37" s="567"/>
      <c r="O37" s="567"/>
      <c r="P37" s="567"/>
      <c r="Q37" s="567"/>
    </row>
    <row r="38" spans="1:17" s="269" customFormat="1" ht="12.75" customHeight="1">
      <c r="A38" s="273" t="s">
        <v>101</v>
      </c>
      <c r="B38" s="68">
        <v>318</v>
      </c>
      <c r="C38" s="68">
        <v>310</v>
      </c>
      <c r="D38" s="98">
        <v>600</v>
      </c>
      <c r="E38" s="54">
        <v>0</v>
      </c>
      <c r="F38" s="68">
        <v>0</v>
      </c>
      <c r="G38" s="98">
        <v>0</v>
      </c>
      <c r="H38" s="36"/>
      <c r="I38" s="566"/>
      <c r="J38" s="566"/>
      <c r="K38" s="566"/>
      <c r="L38" s="566"/>
      <c r="M38" s="566"/>
      <c r="N38" s="567"/>
      <c r="O38" s="567"/>
      <c r="P38" s="567"/>
      <c r="Q38" s="567"/>
    </row>
    <row r="39" spans="1:17" s="269" customFormat="1" ht="12.75" customHeight="1">
      <c r="A39" s="273" t="s">
        <v>355</v>
      </c>
      <c r="B39" s="68">
        <v>39</v>
      </c>
      <c r="C39" s="68">
        <v>27</v>
      </c>
      <c r="D39" s="98">
        <v>27</v>
      </c>
      <c r="E39" s="54">
        <v>0</v>
      </c>
      <c r="F39" s="68">
        <v>0</v>
      </c>
      <c r="G39" s="98">
        <v>0</v>
      </c>
      <c r="H39" s="36"/>
      <c r="I39" s="566"/>
      <c r="J39" s="566"/>
      <c r="K39" s="566"/>
      <c r="L39" s="566"/>
      <c r="M39" s="566"/>
      <c r="N39" s="567"/>
      <c r="O39" s="567"/>
      <c r="P39" s="567"/>
      <c r="Q39" s="567"/>
    </row>
    <row r="40" spans="1:17" s="269" customFormat="1" ht="12.75" customHeight="1">
      <c r="A40" s="273" t="s">
        <v>356</v>
      </c>
      <c r="B40" s="98">
        <v>37</v>
      </c>
      <c r="C40" s="98">
        <v>22</v>
      </c>
      <c r="D40" s="98">
        <v>22</v>
      </c>
      <c r="E40" s="54">
        <v>0</v>
      </c>
      <c r="F40" s="98">
        <v>0</v>
      </c>
      <c r="G40" s="98">
        <v>0</v>
      </c>
      <c r="H40" s="36"/>
      <c r="I40" s="566"/>
      <c r="J40" s="566"/>
      <c r="K40" s="566"/>
      <c r="L40" s="566"/>
      <c r="M40" s="566"/>
      <c r="N40" s="567"/>
      <c r="O40" s="567"/>
      <c r="P40" s="567"/>
      <c r="Q40" s="567"/>
    </row>
    <row r="41" spans="1:17" s="269" customFormat="1" ht="12.75" customHeight="1">
      <c r="A41" s="273" t="s">
        <v>103</v>
      </c>
      <c r="B41" s="98">
        <v>1508</v>
      </c>
      <c r="C41" s="98">
        <v>10</v>
      </c>
      <c r="D41" s="98">
        <v>983</v>
      </c>
      <c r="E41" s="54">
        <v>0</v>
      </c>
      <c r="F41" s="98">
        <v>0</v>
      </c>
      <c r="G41" s="98">
        <v>0</v>
      </c>
      <c r="H41" s="36"/>
      <c r="I41" s="566"/>
      <c r="J41" s="566"/>
      <c r="K41" s="566"/>
      <c r="L41" s="566"/>
      <c r="M41" s="566"/>
      <c r="N41" s="567"/>
      <c r="O41" s="567"/>
      <c r="P41" s="567"/>
      <c r="Q41" s="567"/>
    </row>
    <row r="42" spans="1:17" s="269" customFormat="1" ht="12.75" customHeight="1">
      <c r="A42" s="273" t="s">
        <v>105</v>
      </c>
      <c r="B42" s="98">
        <v>6</v>
      </c>
      <c r="C42" s="98">
        <v>5</v>
      </c>
      <c r="D42" s="98">
        <v>5</v>
      </c>
      <c r="E42" s="54">
        <v>0</v>
      </c>
      <c r="F42" s="98">
        <v>0</v>
      </c>
      <c r="G42" s="98">
        <v>0</v>
      </c>
      <c r="H42" s="36"/>
      <c r="I42" s="566"/>
      <c r="J42" s="566"/>
      <c r="K42" s="566"/>
      <c r="L42" s="566"/>
      <c r="M42" s="566"/>
      <c r="N42" s="567"/>
      <c r="O42" s="567"/>
      <c r="P42" s="567"/>
      <c r="Q42" s="567"/>
    </row>
    <row r="43" spans="1:17" s="269" customFormat="1" ht="12.75" customHeight="1">
      <c r="A43" s="273" t="s">
        <v>357</v>
      </c>
      <c r="B43" s="98">
        <v>377</v>
      </c>
      <c r="C43" s="98">
        <v>106</v>
      </c>
      <c r="D43" s="98">
        <v>106</v>
      </c>
      <c r="E43" s="54">
        <v>0</v>
      </c>
      <c r="F43" s="98">
        <v>0</v>
      </c>
      <c r="G43" s="98">
        <v>0</v>
      </c>
      <c r="H43" s="36"/>
      <c r="I43" s="566"/>
      <c r="J43" s="566"/>
      <c r="K43" s="566"/>
      <c r="L43" s="566"/>
      <c r="M43" s="566"/>
      <c r="N43" s="567"/>
      <c r="O43" s="567"/>
      <c r="P43" s="567"/>
      <c r="Q43" s="567"/>
    </row>
    <row r="44" spans="1:17" s="269" customFormat="1" ht="12.75" customHeight="1">
      <c r="A44" s="273" t="s">
        <v>402</v>
      </c>
      <c r="B44" s="98">
        <v>20</v>
      </c>
      <c r="C44" s="98">
        <v>0</v>
      </c>
      <c r="D44" s="98">
        <v>0</v>
      </c>
      <c r="E44" s="54">
        <v>0</v>
      </c>
      <c r="F44" s="98">
        <v>0</v>
      </c>
      <c r="G44" s="98">
        <v>0</v>
      </c>
      <c r="H44" s="36"/>
      <c r="I44" s="566"/>
      <c r="J44" s="566"/>
      <c r="K44" s="566"/>
      <c r="L44" s="566"/>
      <c r="M44" s="566"/>
      <c r="N44" s="567"/>
      <c r="O44" s="567"/>
      <c r="P44" s="567"/>
      <c r="Q44" s="567"/>
    </row>
    <row r="45" spans="1:17" s="269" customFormat="1" ht="12.75" customHeight="1">
      <c r="A45" s="273" t="s">
        <v>403</v>
      </c>
      <c r="B45" s="98">
        <v>24</v>
      </c>
      <c r="C45" s="98">
        <v>0</v>
      </c>
      <c r="D45" s="98">
        <v>0</v>
      </c>
      <c r="E45" s="54">
        <v>0</v>
      </c>
      <c r="F45" s="98">
        <v>0</v>
      </c>
      <c r="G45" s="98">
        <v>0</v>
      </c>
      <c r="H45" s="36"/>
      <c r="I45" s="566"/>
      <c r="J45" s="566"/>
      <c r="K45" s="566"/>
      <c r="L45" s="566"/>
      <c r="M45" s="566"/>
      <c r="N45" s="567"/>
      <c r="O45" s="567"/>
      <c r="P45" s="567"/>
      <c r="Q45" s="567"/>
    </row>
    <row r="46" spans="1:17" s="269" customFormat="1" ht="12.75" customHeight="1">
      <c r="A46" s="273" t="s">
        <v>353</v>
      </c>
      <c r="B46" s="98">
        <v>60</v>
      </c>
      <c r="C46" s="98">
        <v>0</v>
      </c>
      <c r="D46" s="98">
        <v>25</v>
      </c>
      <c r="E46" s="54">
        <v>0</v>
      </c>
      <c r="F46" s="98">
        <v>0</v>
      </c>
      <c r="G46" s="98">
        <v>0</v>
      </c>
      <c r="H46" s="36"/>
      <c r="I46" s="566"/>
      <c r="J46" s="566"/>
      <c r="K46" s="566"/>
      <c r="L46" s="566"/>
      <c r="M46" s="566"/>
      <c r="N46" s="567"/>
      <c r="O46" s="567"/>
      <c r="P46" s="567"/>
      <c r="Q46" s="567"/>
    </row>
    <row r="47" spans="1:17" s="269" customFormat="1" ht="12.75" customHeight="1">
      <c r="A47" s="273" t="s">
        <v>363</v>
      </c>
      <c r="B47" s="98">
        <v>2</v>
      </c>
      <c r="C47" s="98">
        <v>0</v>
      </c>
      <c r="D47" s="98">
        <v>0</v>
      </c>
      <c r="E47" s="54">
        <v>0</v>
      </c>
      <c r="F47" s="98">
        <v>0</v>
      </c>
      <c r="G47" s="98">
        <v>0</v>
      </c>
      <c r="H47" s="36"/>
      <c r="I47" s="566"/>
      <c r="J47" s="566"/>
      <c r="K47" s="566"/>
      <c r="L47" s="566"/>
      <c r="M47" s="566"/>
      <c r="N47" s="567"/>
      <c r="O47" s="567"/>
      <c r="P47" s="567"/>
      <c r="Q47" s="567"/>
    </row>
    <row r="48" spans="1:17" s="269" customFormat="1" ht="12.75" customHeight="1">
      <c r="A48" s="273" t="s">
        <v>364</v>
      </c>
      <c r="B48" s="98">
        <v>68</v>
      </c>
      <c r="C48" s="98">
        <v>122</v>
      </c>
      <c r="D48" s="98">
        <v>122</v>
      </c>
      <c r="E48" s="54">
        <v>0</v>
      </c>
      <c r="F48" s="98">
        <v>0</v>
      </c>
      <c r="G48" s="98">
        <v>0</v>
      </c>
      <c r="H48" s="36"/>
      <c r="I48" s="566"/>
      <c r="J48" s="566"/>
      <c r="K48" s="566"/>
      <c r="L48" s="566"/>
      <c r="M48" s="566"/>
      <c r="N48" s="567"/>
      <c r="O48" s="567"/>
      <c r="P48" s="567"/>
      <c r="Q48" s="567"/>
    </row>
    <row r="49" spans="1:17" s="269" customFormat="1" ht="12.75" customHeight="1">
      <c r="A49" s="454" t="s">
        <v>359</v>
      </c>
      <c r="B49" s="98">
        <v>2</v>
      </c>
      <c r="C49" s="98">
        <v>10</v>
      </c>
      <c r="D49" s="98">
        <v>10</v>
      </c>
      <c r="E49" s="54">
        <v>0</v>
      </c>
      <c r="F49" s="98">
        <v>0</v>
      </c>
      <c r="G49" s="98">
        <v>0</v>
      </c>
      <c r="H49" s="36"/>
      <c r="I49" s="566"/>
      <c r="J49" s="566"/>
      <c r="K49" s="566"/>
      <c r="L49" s="566"/>
      <c r="M49" s="566"/>
      <c r="N49" s="567"/>
      <c r="O49" s="567"/>
      <c r="P49" s="567"/>
      <c r="Q49" s="567"/>
    </row>
    <row r="50" spans="1:17" s="269" customFormat="1" ht="12.75" customHeight="1">
      <c r="A50" s="454" t="s">
        <v>365</v>
      </c>
      <c r="B50" s="98">
        <v>159</v>
      </c>
      <c r="C50" s="98">
        <v>0</v>
      </c>
      <c r="D50" s="98">
        <v>0</v>
      </c>
      <c r="E50" s="54">
        <v>0</v>
      </c>
      <c r="F50" s="98">
        <v>0</v>
      </c>
      <c r="G50" s="98">
        <v>0</v>
      </c>
      <c r="H50" s="36"/>
      <c r="I50" s="567"/>
      <c r="J50" s="566"/>
      <c r="K50" s="566"/>
      <c r="L50" s="566"/>
      <c r="M50" s="566"/>
      <c r="N50" s="567"/>
      <c r="O50" s="567"/>
      <c r="P50" s="567"/>
      <c r="Q50" s="567"/>
    </row>
    <row r="51" spans="1:17" s="269" customFormat="1" ht="12.75" customHeight="1" thickBot="1">
      <c r="A51" s="274" t="s">
        <v>170</v>
      </c>
      <c r="B51" s="179">
        <v>52343</v>
      </c>
      <c r="C51" s="179">
        <v>51487</v>
      </c>
      <c r="D51" s="179">
        <v>55384</v>
      </c>
      <c r="E51" s="180">
        <v>57038</v>
      </c>
      <c r="F51" s="179">
        <v>58049</v>
      </c>
      <c r="G51" s="179">
        <v>59200</v>
      </c>
      <c r="H51" s="36"/>
      <c r="I51" s="566"/>
      <c r="J51" s="566"/>
      <c r="K51" s="566"/>
      <c r="L51" s="566"/>
      <c r="M51" s="566"/>
      <c r="N51" s="567"/>
      <c r="O51" s="567"/>
      <c r="P51" s="567"/>
      <c r="Q51" s="567"/>
    </row>
    <row r="52" spans="1:17" s="269" customFormat="1" ht="12.75" customHeight="1">
      <c r="H52" s="36"/>
      <c r="I52" s="36"/>
      <c r="K52" s="36"/>
      <c r="L52" s="36"/>
      <c r="M52" s="36"/>
    </row>
    <row r="53" spans="1:17" s="269" customFormat="1" ht="12.75" customHeight="1">
      <c r="A53" s="264"/>
      <c r="B53" s="48"/>
      <c r="C53" s="173"/>
      <c r="D53" s="173"/>
      <c r="E53" s="48"/>
      <c r="F53" s="48"/>
      <c r="G53" s="53"/>
      <c r="H53"/>
      <c r="I53" s="36"/>
      <c r="J53" s="36"/>
      <c r="K53" s="36"/>
      <c r="L53" s="36"/>
      <c r="M53" s="36"/>
      <c r="N53" s="36"/>
      <c r="O53" s="36"/>
    </row>
    <row r="54" spans="1:17" s="269" customFormat="1" ht="12.75" customHeight="1">
      <c r="A54" s="275"/>
      <c r="B54" s="89"/>
      <c r="C54" s="236"/>
      <c r="D54" s="236"/>
      <c r="H54"/>
      <c r="I54"/>
      <c r="J54" s="531"/>
      <c r="K54" s="36"/>
      <c r="L54" s="36"/>
      <c r="M54" s="36"/>
      <c r="N54" s="36"/>
      <c r="O54" s="531"/>
    </row>
    <row r="55" spans="1:17" s="269" customFormat="1" ht="12.75">
      <c r="A55" s="276"/>
      <c r="B55" s="518"/>
      <c r="C55" s="89"/>
      <c r="D55" s="89"/>
      <c r="E55" s="89"/>
      <c r="F55" s="236"/>
      <c r="G55" s="236"/>
      <c r="I55"/>
      <c r="J55" s="36"/>
      <c r="K55" s="36"/>
      <c r="L55" s="36"/>
      <c r="M55" s="36"/>
      <c r="N55" s="36"/>
      <c r="O55" s="36"/>
    </row>
    <row r="56" spans="1:17" s="269" customFormat="1">
      <c r="A56" s="277"/>
      <c r="B56" s="236"/>
      <c r="C56" s="236"/>
      <c r="D56" s="236"/>
      <c r="E56" s="236"/>
      <c r="F56" s="236"/>
      <c r="G56" s="236"/>
      <c r="H56" s="236"/>
    </row>
    <row r="57" spans="1:17" s="269" customFormat="1" ht="12">
      <c r="A57" s="519"/>
      <c r="B57" s="89"/>
      <c r="C57" s="89"/>
      <c r="D57" s="89"/>
      <c r="E57" s="89"/>
      <c r="F57"/>
      <c r="G57"/>
      <c r="H57" s="236"/>
      <c r="I57" s="236"/>
      <c r="K57"/>
    </row>
    <row r="58" spans="1:17" s="269" customFormat="1" ht="14.25" customHeight="1">
      <c r="A58" s="236"/>
      <c r="B58"/>
      <c r="C58"/>
      <c r="D58"/>
      <c r="E58" s="39"/>
      <c r="F58" s="39"/>
      <c r="G58" s="39"/>
      <c r="H58" s="236"/>
      <c r="I58" s="236"/>
      <c r="J58" s="236"/>
    </row>
    <row r="59" spans="1:17" ht="12">
      <c r="B59"/>
      <c r="C59"/>
      <c r="D59"/>
    </row>
    <row r="60" spans="1:17" ht="12">
      <c r="B60"/>
      <c r="C60"/>
      <c r="D60" s="40"/>
      <c r="E60" s="40"/>
      <c r="F60" s="40"/>
      <c r="G60" s="40"/>
    </row>
    <row r="61" spans="1:17" ht="12">
      <c r="A61"/>
      <c r="B61"/>
      <c r="C61"/>
      <c r="D61" s="40"/>
      <c r="E61" s="40"/>
      <c r="F61" s="40"/>
      <c r="G61" s="40"/>
    </row>
    <row r="62" spans="1:17" ht="12">
      <c r="A62"/>
      <c r="B62"/>
      <c r="C62"/>
      <c r="D62" s="40"/>
      <c r="E62" s="40"/>
      <c r="F62" s="40"/>
      <c r="G62" s="40"/>
    </row>
    <row r="63" spans="1:17" ht="12">
      <c r="A63"/>
      <c r="B63"/>
      <c r="C63"/>
      <c r="D63" s="40"/>
      <c r="E63" s="278"/>
      <c r="F63" s="278"/>
      <c r="G63" s="40"/>
      <c r="J63" s="40"/>
    </row>
    <row r="64" spans="1:17" ht="12">
      <c r="A64"/>
      <c r="B64"/>
      <c r="C64"/>
      <c r="D64"/>
      <c r="E64"/>
      <c r="F64"/>
      <c r="G64"/>
    </row>
    <row r="65" spans="1:13" ht="12">
      <c r="A65"/>
      <c r="B65"/>
      <c r="C65"/>
      <c r="D65"/>
      <c r="E65"/>
      <c r="F65"/>
      <c r="G65"/>
    </row>
    <row r="66" spans="1:13" ht="12">
      <c r="A66"/>
      <c r="B66"/>
      <c r="C66"/>
      <c r="D66"/>
      <c r="E66"/>
      <c r="F66"/>
      <c r="G66"/>
    </row>
    <row r="70" spans="1:13" ht="12" thickBot="1">
      <c r="M70" s="279"/>
    </row>
  </sheetData>
  <mergeCells count="1">
    <mergeCell ref="C4:D4"/>
  </mergeCells>
  <pageMargins left="0.75" right="0.75" top="0.75" bottom="0.75" header="0.3" footer="0.3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L42"/>
  <sheetViews>
    <sheetView showGridLines="0" zoomScaleNormal="100" zoomScalePageLayoutView="150" workbookViewId="0">
      <selection activeCell="A44" sqref="A44"/>
    </sheetView>
  </sheetViews>
  <sheetFormatPr defaultColWidth="9" defaultRowHeight="12"/>
  <cols>
    <col min="1" max="1" width="51.5703125" style="40" customWidth="1"/>
    <col min="2" max="2" width="8" style="39" customWidth="1"/>
    <col min="3" max="3" width="8" style="40" customWidth="1"/>
    <col min="4" max="7" width="8" customWidth="1"/>
    <col min="8" max="9" width="9" customWidth="1"/>
    <col min="10" max="16384" width="9" style="40"/>
  </cols>
  <sheetData>
    <row r="1" spans="1:12" ht="15.75">
      <c r="A1" s="1" t="s">
        <v>173</v>
      </c>
    </row>
    <row r="2" spans="1:12">
      <c r="A2" s="41" t="s">
        <v>1</v>
      </c>
      <c r="J2"/>
      <c r="K2"/>
      <c r="L2"/>
    </row>
    <row r="3" spans="1:12">
      <c r="B3" s="89"/>
      <c r="C3" s="236"/>
      <c r="J3"/>
      <c r="K3"/>
      <c r="L3"/>
    </row>
    <row r="4" spans="1:12" s="237" customFormat="1" ht="12.75" customHeight="1">
      <c r="A4" s="6"/>
      <c r="B4" s="7" t="s">
        <v>4</v>
      </c>
      <c r="C4" s="595" t="s">
        <v>5</v>
      </c>
      <c r="D4" s="595"/>
      <c r="E4" s="8" t="s">
        <v>6</v>
      </c>
      <c r="F4" s="7" t="s">
        <v>301</v>
      </c>
      <c r="G4" s="7" t="s">
        <v>347</v>
      </c>
      <c r="I4"/>
      <c r="J4"/>
      <c r="K4"/>
      <c r="L4"/>
    </row>
    <row r="5" spans="1:12" s="292" customFormat="1" ht="12" customHeight="1">
      <c r="A5" s="9"/>
      <c r="B5" s="11" t="s">
        <v>7</v>
      </c>
      <c r="C5" s="291" t="s">
        <v>8</v>
      </c>
      <c r="D5" s="11" t="s">
        <v>9</v>
      </c>
      <c r="E5" s="12" t="s">
        <v>10</v>
      </c>
      <c r="F5" s="11" t="s">
        <v>11</v>
      </c>
      <c r="G5" s="11" t="s">
        <v>11</v>
      </c>
      <c r="I5"/>
      <c r="J5"/>
      <c r="K5"/>
      <c r="L5"/>
    </row>
    <row r="6" spans="1:12" s="174" customFormat="1" ht="8.25" customHeight="1">
      <c r="A6" s="266"/>
      <c r="B6" s="173"/>
      <c r="C6" s="293"/>
      <c r="D6"/>
      <c r="E6" s="54"/>
      <c r="I6"/>
      <c r="J6"/>
      <c r="K6"/>
      <c r="L6"/>
    </row>
    <row r="7" spans="1:12" s="174" customFormat="1" ht="12.75" customHeight="1">
      <c r="A7" s="268" t="s">
        <v>98</v>
      </c>
      <c r="B7" s="48">
        <v>530</v>
      </c>
      <c r="C7" s="293">
        <v>557</v>
      </c>
      <c r="D7" s="53">
        <v>526</v>
      </c>
      <c r="E7" s="54">
        <v>556</v>
      </c>
      <c r="F7" s="53">
        <v>559</v>
      </c>
      <c r="G7" s="53">
        <v>570</v>
      </c>
      <c r="I7"/>
      <c r="J7"/>
      <c r="K7"/>
      <c r="L7"/>
    </row>
    <row r="8" spans="1:12" s="174" customFormat="1" ht="12.75" customHeight="1">
      <c r="A8" s="268" t="s">
        <v>351</v>
      </c>
      <c r="B8" s="48">
        <v>2</v>
      </c>
      <c r="C8" s="293">
        <v>2</v>
      </c>
      <c r="D8" s="53">
        <v>2</v>
      </c>
      <c r="E8" s="54">
        <v>2</v>
      </c>
      <c r="F8" s="53">
        <v>2</v>
      </c>
      <c r="G8" s="53">
        <v>2</v>
      </c>
      <c r="I8"/>
      <c r="J8"/>
      <c r="K8"/>
      <c r="L8"/>
    </row>
    <row r="9" spans="1:12" s="174" customFormat="1" ht="12.75" customHeight="1">
      <c r="A9" s="270" t="s">
        <v>352</v>
      </c>
      <c r="B9" s="48">
        <v>37</v>
      </c>
      <c r="C9" s="293">
        <v>49</v>
      </c>
      <c r="D9" s="53">
        <v>34</v>
      </c>
      <c r="E9" s="54">
        <v>36</v>
      </c>
      <c r="F9" s="53">
        <v>39</v>
      </c>
      <c r="G9" s="53">
        <v>41</v>
      </c>
      <c r="I9"/>
      <c r="J9"/>
      <c r="K9"/>
      <c r="L9"/>
    </row>
    <row r="10" spans="1:12" s="174" customFormat="1" ht="12.75" customHeight="1">
      <c r="A10" s="270" t="s">
        <v>99</v>
      </c>
      <c r="B10" s="48">
        <v>0</v>
      </c>
      <c r="C10" s="293">
        <v>0</v>
      </c>
      <c r="D10" s="53">
        <v>0</v>
      </c>
      <c r="E10" s="54">
        <v>1</v>
      </c>
      <c r="F10" s="53">
        <v>1</v>
      </c>
      <c r="G10" s="53">
        <v>1</v>
      </c>
      <c r="I10"/>
      <c r="J10"/>
      <c r="K10"/>
      <c r="L10"/>
    </row>
    <row r="11" spans="1:12" s="174" customFormat="1" ht="12.75" customHeight="1">
      <c r="A11" s="268" t="s">
        <v>354</v>
      </c>
      <c r="B11" s="48">
        <v>7</v>
      </c>
      <c r="C11" s="293">
        <v>8</v>
      </c>
      <c r="D11" s="53">
        <v>8</v>
      </c>
      <c r="E11" s="54">
        <v>8</v>
      </c>
      <c r="F11" s="53">
        <v>7</v>
      </c>
      <c r="G11" s="53">
        <v>7</v>
      </c>
      <c r="I11"/>
      <c r="J11"/>
      <c r="K11"/>
      <c r="L11"/>
    </row>
    <row r="12" spans="1:12" s="174" customFormat="1" ht="12.75" customHeight="1">
      <c r="A12" s="268" t="s">
        <v>100</v>
      </c>
      <c r="B12" s="48">
        <v>471</v>
      </c>
      <c r="C12" s="293">
        <v>472</v>
      </c>
      <c r="D12" s="53">
        <v>469</v>
      </c>
      <c r="E12" s="54">
        <v>479</v>
      </c>
      <c r="F12" s="53">
        <v>488</v>
      </c>
      <c r="G12" s="53">
        <v>488</v>
      </c>
      <c r="I12"/>
      <c r="J12"/>
      <c r="K12"/>
      <c r="L12"/>
    </row>
    <row r="13" spans="1:12" s="294" customFormat="1" ht="12.75" customHeight="1">
      <c r="A13" s="268" t="s">
        <v>101</v>
      </c>
      <c r="B13" s="48">
        <v>14</v>
      </c>
      <c r="C13" s="293">
        <v>19</v>
      </c>
      <c r="D13" s="53">
        <v>14</v>
      </c>
      <c r="E13" s="54">
        <v>13</v>
      </c>
      <c r="F13" s="53">
        <v>13</v>
      </c>
      <c r="G13" s="53">
        <v>13</v>
      </c>
      <c r="I13"/>
      <c r="J13"/>
      <c r="K13"/>
      <c r="L13"/>
    </row>
    <row r="14" spans="1:12" s="174" customFormat="1" ht="12.75" customHeight="1">
      <c r="A14" s="270" t="s">
        <v>355</v>
      </c>
      <c r="B14" s="48">
        <v>7</v>
      </c>
      <c r="C14" s="293">
        <v>15</v>
      </c>
      <c r="D14" s="53">
        <v>5</v>
      </c>
      <c r="E14" s="54">
        <v>4</v>
      </c>
      <c r="F14" s="53">
        <v>5</v>
      </c>
      <c r="G14" s="53">
        <v>5</v>
      </c>
      <c r="I14"/>
      <c r="J14"/>
      <c r="K14"/>
      <c r="L14"/>
    </row>
    <row r="15" spans="1:12" s="174" customFormat="1" ht="12.75" customHeight="1">
      <c r="A15" s="270" t="s">
        <v>356</v>
      </c>
      <c r="B15" s="48">
        <v>32</v>
      </c>
      <c r="C15" s="293">
        <v>56</v>
      </c>
      <c r="D15" s="53">
        <v>37</v>
      </c>
      <c r="E15" s="54">
        <v>38</v>
      </c>
      <c r="F15" s="53">
        <v>40</v>
      </c>
      <c r="G15" s="53">
        <v>41</v>
      </c>
      <c r="I15"/>
      <c r="J15"/>
      <c r="K15"/>
      <c r="L15"/>
    </row>
    <row r="16" spans="1:12" s="174" customFormat="1" ht="12.75" customHeight="1">
      <c r="A16" s="268" t="s">
        <v>103</v>
      </c>
      <c r="B16" s="48">
        <v>472</v>
      </c>
      <c r="C16" s="293">
        <v>518</v>
      </c>
      <c r="D16" s="53">
        <v>518</v>
      </c>
      <c r="E16" s="54">
        <v>546</v>
      </c>
      <c r="F16" s="53">
        <v>542</v>
      </c>
      <c r="G16" s="53">
        <v>503</v>
      </c>
      <c r="I16"/>
      <c r="J16"/>
      <c r="K16"/>
      <c r="L16"/>
    </row>
    <row r="17" spans="1:12" s="174" customFormat="1" ht="12.75" customHeight="1">
      <c r="A17" s="268" t="s">
        <v>105</v>
      </c>
      <c r="B17" s="48">
        <v>126</v>
      </c>
      <c r="C17" s="293">
        <v>151</v>
      </c>
      <c r="D17" s="53">
        <v>136</v>
      </c>
      <c r="E17" s="54">
        <v>146</v>
      </c>
      <c r="F17" s="53">
        <v>160</v>
      </c>
      <c r="G17" s="53">
        <v>169</v>
      </c>
      <c r="I17"/>
      <c r="J17"/>
      <c r="K17"/>
      <c r="L17"/>
    </row>
    <row r="18" spans="1:12" s="174" customFormat="1" ht="12.75" customHeight="1">
      <c r="A18" s="268" t="s">
        <v>357</v>
      </c>
      <c r="B18" s="48">
        <v>2</v>
      </c>
      <c r="C18" s="293">
        <v>1</v>
      </c>
      <c r="D18" s="53">
        <v>1</v>
      </c>
      <c r="E18" s="54">
        <v>1</v>
      </c>
      <c r="F18" s="53">
        <v>1</v>
      </c>
      <c r="G18" s="53">
        <v>1</v>
      </c>
      <c r="I18"/>
      <c r="J18"/>
      <c r="K18"/>
      <c r="L18"/>
    </row>
    <row r="19" spans="1:12" s="294" customFormat="1" ht="12.75" customHeight="1">
      <c r="A19" s="270" t="s">
        <v>358</v>
      </c>
      <c r="B19" s="48">
        <v>1</v>
      </c>
      <c r="C19" s="293">
        <v>4</v>
      </c>
      <c r="D19" s="53">
        <v>4</v>
      </c>
      <c r="E19" s="54">
        <v>4</v>
      </c>
      <c r="F19" s="53">
        <v>4</v>
      </c>
      <c r="G19" s="53">
        <v>4</v>
      </c>
      <c r="I19"/>
      <c r="J19"/>
      <c r="K19"/>
      <c r="L19"/>
    </row>
    <row r="20" spans="1:12" s="294" customFormat="1" ht="12.75" customHeight="1">
      <c r="A20" s="268" t="s">
        <v>106</v>
      </c>
      <c r="B20" s="48">
        <v>1</v>
      </c>
      <c r="C20" s="293">
        <v>4</v>
      </c>
      <c r="D20" s="53">
        <v>4</v>
      </c>
      <c r="E20" s="54">
        <v>4</v>
      </c>
      <c r="F20" s="53">
        <v>4</v>
      </c>
      <c r="G20" s="53">
        <v>4</v>
      </c>
      <c r="I20"/>
      <c r="J20"/>
      <c r="K20"/>
      <c r="L20"/>
    </row>
    <row r="21" spans="1:12" s="174" customFormat="1" ht="12.75" customHeight="1">
      <c r="A21" s="270" t="s">
        <v>361</v>
      </c>
      <c r="B21" s="48">
        <v>28</v>
      </c>
      <c r="C21" s="293">
        <v>29</v>
      </c>
      <c r="D21" s="53">
        <v>29</v>
      </c>
      <c r="E21" s="54">
        <v>29</v>
      </c>
      <c r="F21" s="53">
        <v>29</v>
      </c>
      <c r="G21" s="53">
        <v>29</v>
      </c>
      <c r="I21"/>
      <c r="J21"/>
      <c r="K21"/>
      <c r="L21"/>
    </row>
    <row r="22" spans="1:12" s="174" customFormat="1" ht="12.75" customHeight="1">
      <c r="A22" s="270" t="s">
        <v>353</v>
      </c>
      <c r="B22" s="48">
        <v>44</v>
      </c>
      <c r="C22" s="293">
        <v>46</v>
      </c>
      <c r="D22" s="53">
        <v>48</v>
      </c>
      <c r="E22" s="54">
        <v>48</v>
      </c>
      <c r="F22" s="53">
        <v>48</v>
      </c>
      <c r="G22" s="53">
        <v>48</v>
      </c>
      <c r="I22"/>
      <c r="J22"/>
      <c r="K22"/>
      <c r="L22"/>
    </row>
    <row r="23" spans="1:12" s="174" customFormat="1" ht="12.75" customHeight="1">
      <c r="A23" s="270" t="s">
        <v>362</v>
      </c>
      <c r="B23" s="48">
        <v>14</v>
      </c>
      <c r="C23" s="293">
        <v>18</v>
      </c>
      <c r="D23" s="53">
        <v>18</v>
      </c>
      <c r="E23" s="54">
        <v>18</v>
      </c>
      <c r="F23" s="53">
        <v>18</v>
      </c>
      <c r="G23" s="53">
        <v>18</v>
      </c>
      <c r="I23"/>
      <c r="J23"/>
      <c r="K23"/>
      <c r="L23"/>
    </row>
    <row r="24" spans="1:12" s="174" customFormat="1" ht="12.75" customHeight="1">
      <c r="A24" s="270" t="s">
        <v>364</v>
      </c>
      <c r="B24" s="48">
        <v>68</v>
      </c>
      <c r="C24" s="293">
        <v>78</v>
      </c>
      <c r="D24" s="53">
        <v>78</v>
      </c>
      <c r="E24" s="54">
        <v>79</v>
      </c>
      <c r="F24" s="53">
        <v>79</v>
      </c>
      <c r="G24" s="53">
        <v>79</v>
      </c>
      <c r="I24"/>
      <c r="J24"/>
      <c r="K24"/>
      <c r="L24"/>
    </row>
    <row r="25" spans="1:12" s="174" customFormat="1" ht="12.75" customHeight="1">
      <c r="A25" s="270" t="s">
        <v>365</v>
      </c>
      <c r="B25" s="48">
        <v>700</v>
      </c>
      <c r="C25" s="293">
        <v>780</v>
      </c>
      <c r="D25" s="53">
        <v>780</v>
      </c>
      <c r="E25" s="54">
        <v>823</v>
      </c>
      <c r="F25" s="53">
        <v>861</v>
      </c>
      <c r="G25" s="53">
        <v>889</v>
      </c>
      <c r="I25"/>
      <c r="J25"/>
      <c r="K25"/>
      <c r="L25"/>
    </row>
    <row r="26" spans="1:12" s="174" customFormat="1" ht="12.75" customHeight="1">
      <c r="A26" s="268" t="s">
        <v>108</v>
      </c>
      <c r="B26" s="48">
        <v>27</v>
      </c>
      <c r="C26" s="293">
        <v>28</v>
      </c>
      <c r="D26" s="53">
        <v>28</v>
      </c>
      <c r="E26" s="54">
        <v>25</v>
      </c>
      <c r="F26" s="53">
        <v>26</v>
      </c>
      <c r="G26" s="53">
        <v>27</v>
      </c>
      <c r="I26"/>
      <c r="J26"/>
      <c r="K26"/>
      <c r="L26"/>
    </row>
    <row r="27" spans="1:12" s="174" customFormat="1" ht="12.75" customHeight="1">
      <c r="A27" s="295" t="s">
        <v>109</v>
      </c>
      <c r="B27" s="296">
        <v>2</v>
      </c>
      <c r="C27" s="297">
        <v>2</v>
      </c>
      <c r="D27" s="296">
        <v>2</v>
      </c>
      <c r="E27" s="298">
        <v>2</v>
      </c>
      <c r="F27" s="296">
        <v>2</v>
      </c>
      <c r="G27" s="296">
        <v>2</v>
      </c>
      <c r="I27"/>
      <c r="J27"/>
      <c r="K27"/>
      <c r="L27"/>
    </row>
    <row r="28" spans="1:12" s="174" customFormat="1" ht="15" customHeight="1" thickBot="1">
      <c r="A28" s="299" t="s">
        <v>174</v>
      </c>
      <c r="B28" s="300">
        <v>2586</v>
      </c>
      <c r="C28" s="301">
        <v>2839</v>
      </c>
      <c r="D28" s="300">
        <v>2741</v>
      </c>
      <c r="E28" s="302">
        <v>2862</v>
      </c>
      <c r="F28" s="300">
        <v>2928</v>
      </c>
      <c r="G28" s="300">
        <v>2941</v>
      </c>
      <c r="I28"/>
      <c r="J28"/>
      <c r="K28"/>
      <c r="L28"/>
    </row>
    <row r="29" spans="1:12" s="174" customFormat="1" ht="12" customHeight="1">
      <c r="B29" s="48"/>
      <c r="F29"/>
      <c r="G29"/>
      <c r="H29"/>
      <c r="I29"/>
    </row>
    <row r="30" spans="1:12" s="174" customFormat="1" ht="21.75" customHeight="1">
      <c r="A30" s="569"/>
      <c r="B30" s="570"/>
      <c r="C30" s="557"/>
      <c r="D30" s="557"/>
      <c r="E30" s="557"/>
      <c r="F30" s="560"/>
      <c r="G30" s="560"/>
      <c r="H30" s="560"/>
      <c r="I30"/>
    </row>
    <row r="31" spans="1:12" s="174" customFormat="1" ht="12" customHeight="1">
      <c r="A31" s="557"/>
      <c r="B31" s="173"/>
      <c r="C31" s="173"/>
      <c r="D31" s="173"/>
      <c r="E31" s="173"/>
      <c r="F31" s="178"/>
      <c r="G31" s="560"/>
      <c r="H31" s="560"/>
      <c r="I31"/>
    </row>
    <row r="32" spans="1:12" s="174" customFormat="1" ht="14.25" customHeight="1">
      <c r="A32" s="560"/>
      <c r="B32" s="566"/>
      <c r="C32" s="566"/>
      <c r="D32" s="566"/>
      <c r="E32" s="566"/>
      <c r="F32" s="566"/>
      <c r="G32" s="566"/>
      <c r="H32" s="560"/>
      <c r="I32"/>
    </row>
    <row r="33" spans="1:8">
      <c r="A33" s="560"/>
      <c r="B33" s="566"/>
      <c r="C33" s="566"/>
      <c r="D33" s="566"/>
      <c r="E33" s="566"/>
      <c r="F33" s="566"/>
      <c r="G33" s="566"/>
      <c r="H33" s="560"/>
    </row>
    <row r="34" spans="1:8">
      <c r="A34" s="571"/>
      <c r="B34" s="173"/>
      <c r="C34" s="178"/>
      <c r="D34" s="178"/>
      <c r="E34" s="77"/>
      <c r="F34" s="178"/>
      <c r="G34" s="178"/>
      <c r="H34" s="560"/>
    </row>
    <row r="35" spans="1:8">
      <c r="A35" s="560"/>
      <c r="B35" s="560"/>
      <c r="C35" s="560"/>
      <c r="D35" s="560"/>
      <c r="E35" s="560"/>
      <c r="F35" s="560"/>
      <c r="G35" s="560"/>
      <c r="H35" s="560"/>
    </row>
    <row r="36" spans="1:8">
      <c r="A36" s="560"/>
      <c r="B36" s="560"/>
      <c r="C36" s="560"/>
      <c r="D36" s="560"/>
      <c r="E36" s="560"/>
      <c r="F36" s="560"/>
      <c r="G36" s="560"/>
      <c r="H36" s="560"/>
    </row>
    <row r="37" spans="1:8">
      <c r="A37" s="560"/>
      <c r="B37" s="560"/>
      <c r="C37" s="560"/>
      <c r="D37" s="566"/>
      <c r="E37" s="566"/>
      <c r="F37" s="566"/>
      <c r="G37" s="566"/>
      <c r="H37" s="560"/>
    </row>
    <row r="38" spans="1:8">
      <c r="A38" s="560"/>
      <c r="B38" s="560"/>
      <c r="C38" s="560"/>
      <c r="D38" s="560"/>
      <c r="E38" s="560"/>
      <c r="F38" s="560"/>
      <c r="G38" s="560"/>
      <c r="H38" s="560"/>
    </row>
    <row r="39" spans="1:8">
      <c r="A39" s="560"/>
      <c r="B39" s="560"/>
      <c r="C39" s="560"/>
      <c r="D39" s="560"/>
      <c r="E39" s="560"/>
      <c r="F39" s="560"/>
      <c r="G39" s="560"/>
      <c r="H39" s="560"/>
    </row>
    <row r="40" spans="1:8">
      <c r="A40" s="560"/>
      <c r="B40" s="566"/>
      <c r="C40" s="566"/>
      <c r="D40" s="560"/>
      <c r="E40" s="560"/>
      <c r="F40" s="560"/>
      <c r="G40" s="560"/>
      <c r="H40" s="560"/>
    </row>
    <row r="41" spans="1:8">
      <c r="A41" s="560"/>
      <c r="B41" s="560"/>
      <c r="C41" s="560"/>
      <c r="D41" s="560"/>
      <c r="E41" s="560"/>
      <c r="F41" s="560"/>
      <c r="G41" s="560"/>
      <c r="H41" s="560"/>
    </row>
    <row r="42" spans="1:8">
      <c r="A42"/>
      <c r="B42"/>
      <c r="C42"/>
    </row>
  </sheetData>
  <mergeCells count="1">
    <mergeCell ref="C4:D4"/>
  </mergeCells>
  <pageMargins left="0.75" right="0.75" top="0.75" bottom="0.75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M32"/>
  <sheetViews>
    <sheetView showGridLines="0" zoomScaleNormal="100" workbookViewId="0">
      <selection activeCell="A44" sqref="A44"/>
    </sheetView>
  </sheetViews>
  <sheetFormatPr defaultColWidth="8.5703125" defaultRowHeight="12"/>
  <cols>
    <col min="1" max="1" width="51.5703125" customWidth="1"/>
    <col min="2" max="4" width="8" customWidth="1"/>
    <col min="5" max="5" width="8" style="40" customWidth="1"/>
    <col min="6" max="7" width="8" customWidth="1"/>
  </cols>
  <sheetData>
    <row r="1" spans="1:13" ht="15.75">
      <c r="A1" s="1" t="s">
        <v>175</v>
      </c>
      <c r="B1" s="39"/>
      <c r="C1" s="40"/>
      <c r="D1" s="40"/>
    </row>
    <row r="2" spans="1:13">
      <c r="A2" s="41" t="s">
        <v>1</v>
      </c>
      <c r="B2" s="39"/>
      <c r="C2" s="40"/>
      <c r="D2" s="40"/>
    </row>
    <row r="3" spans="1:13">
      <c r="A3" s="40"/>
      <c r="B3" s="89"/>
      <c r="C3" s="236"/>
      <c r="D3" s="236"/>
    </row>
    <row r="4" spans="1:13">
      <c r="A4" s="6"/>
      <c r="B4" s="7" t="s">
        <v>4</v>
      </c>
      <c r="C4" s="595" t="s">
        <v>5</v>
      </c>
      <c r="D4" s="595"/>
      <c r="E4" s="8" t="s">
        <v>6</v>
      </c>
      <c r="F4" s="7" t="s">
        <v>301</v>
      </c>
      <c r="G4" s="7" t="s">
        <v>347</v>
      </c>
    </row>
    <row r="5" spans="1:13">
      <c r="A5" s="9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</row>
    <row r="6" spans="1:13" ht="4.5" customHeight="1">
      <c r="A6" s="266"/>
      <c r="B6" s="218"/>
      <c r="C6" s="266"/>
      <c r="D6" s="266"/>
      <c r="E6" s="304"/>
    </row>
    <row r="7" spans="1:13" ht="12.75" customHeight="1">
      <c r="A7" s="41" t="s">
        <v>98</v>
      </c>
      <c r="B7" s="39">
        <v>48</v>
      </c>
      <c r="C7" s="39">
        <v>163</v>
      </c>
      <c r="D7" s="39">
        <v>205</v>
      </c>
      <c r="E7" s="24">
        <v>180</v>
      </c>
      <c r="F7" s="39">
        <v>183</v>
      </c>
      <c r="G7" s="39">
        <v>186</v>
      </c>
    </row>
    <row r="8" spans="1:13" ht="12.75" customHeight="1">
      <c r="A8" s="268" t="s">
        <v>354</v>
      </c>
      <c r="B8" s="48">
        <v>0</v>
      </c>
      <c r="C8" s="178">
        <v>1</v>
      </c>
      <c r="D8" s="178">
        <v>1</v>
      </c>
      <c r="E8" s="49">
        <v>1</v>
      </c>
      <c r="F8" s="48">
        <v>1</v>
      </c>
      <c r="G8" s="48">
        <v>1</v>
      </c>
    </row>
    <row r="9" spans="1:13" ht="12.75" customHeight="1">
      <c r="A9" s="268" t="s">
        <v>100</v>
      </c>
      <c r="B9" s="48">
        <v>83</v>
      </c>
      <c r="C9" s="178">
        <v>0</v>
      </c>
      <c r="D9" s="178">
        <v>0</v>
      </c>
      <c r="E9" s="49">
        <v>0</v>
      </c>
      <c r="F9" s="48">
        <v>0</v>
      </c>
      <c r="G9" s="48">
        <v>0</v>
      </c>
    </row>
    <row r="10" spans="1:13" ht="12.75" customHeight="1">
      <c r="A10" s="268" t="s">
        <v>356</v>
      </c>
      <c r="B10" s="48">
        <v>1</v>
      </c>
      <c r="C10" s="178">
        <v>1</v>
      </c>
      <c r="D10" s="178">
        <v>1</v>
      </c>
      <c r="E10" s="49">
        <v>1</v>
      </c>
      <c r="F10" s="48">
        <v>1</v>
      </c>
      <c r="G10" s="48">
        <v>1</v>
      </c>
    </row>
    <row r="11" spans="1:13" ht="12.75" customHeight="1">
      <c r="A11" s="268" t="s">
        <v>176</v>
      </c>
      <c r="B11" s="305">
        <v>1359</v>
      </c>
      <c r="C11" s="96">
        <v>988</v>
      </c>
      <c r="D11" s="96">
        <v>1465</v>
      </c>
      <c r="E11" s="161">
        <v>1278</v>
      </c>
      <c r="F11" s="305">
        <v>1269</v>
      </c>
      <c r="G11" s="305">
        <v>1297</v>
      </c>
    </row>
    <row r="12" spans="1:13" ht="12.75" customHeight="1">
      <c r="A12" s="268" t="s">
        <v>105</v>
      </c>
      <c r="B12" s="48">
        <v>2</v>
      </c>
      <c r="C12" s="178">
        <v>2</v>
      </c>
      <c r="D12" s="178">
        <v>2</v>
      </c>
      <c r="E12" s="49">
        <v>2</v>
      </c>
      <c r="F12" s="48">
        <v>2</v>
      </c>
      <c r="G12" s="48">
        <v>2</v>
      </c>
    </row>
    <row r="13" spans="1:13" ht="12.75" customHeight="1">
      <c r="A13" s="270" t="s">
        <v>361</v>
      </c>
      <c r="B13" s="48">
        <v>34</v>
      </c>
      <c r="C13" s="178">
        <v>0</v>
      </c>
      <c r="D13" s="178">
        <v>1</v>
      </c>
      <c r="E13" s="49">
        <v>1</v>
      </c>
      <c r="F13" s="48">
        <v>1</v>
      </c>
      <c r="G13" s="48">
        <v>1</v>
      </c>
    </row>
    <row r="14" spans="1:13" ht="12.75" customHeight="1">
      <c r="A14" s="268" t="s">
        <v>362</v>
      </c>
      <c r="B14" s="48">
        <v>4</v>
      </c>
      <c r="C14" s="178">
        <v>6</v>
      </c>
      <c r="D14" s="178">
        <v>6</v>
      </c>
      <c r="E14" s="49">
        <v>6</v>
      </c>
      <c r="F14" s="48">
        <v>6</v>
      </c>
      <c r="G14" s="48">
        <v>6</v>
      </c>
    </row>
    <row r="15" spans="1:13" ht="12.75" customHeight="1">
      <c r="A15" s="268" t="s">
        <v>365</v>
      </c>
      <c r="B15" s="48">
        <v>60</v>
      </c>
      <c r="C15" s="178">
        <v>57</v>
      </c>
      <c r="D15" s="178">
        <v>57</v>
      </c>
      <c r="E15" s="49">
        <v>62</v>
      </c>
      <c r="F15" s="48">
        <v>65</v>
      </c>
      <c r="G15" s="48">
        <v>66</v>
      </c>
    </row>
    <row r="16" spans="1:13" s="306" customFormat="1" ht="15" customHeight="1" thickBot="1">
      <c r="A16" s="30" t="s">
        <v>177</v>
      </c>
      <c r="B16" s="179">
        <v>1591</v>
      </c>
      <c r="C16" s="31">
        <v>1217</v>
      </c>
      <c r="D16" s="31">
        <v>1738</v>
      </c>
      <c r="E16" s="180">
        <v>1530</v>
      </c>
      <c r="F16" s="179">
        <v>1527</v>
      </c>
      <c r="G16" s="179">
        <v>1560</v>
      </c>
      <c r="J16"/>
      <c r="K16"/>
      <c r="L16"/>
      <c r="M16"/>
    </row>
    <row r="17" spans="1:9">
      <c r="A17" s="41"/>
      <c r="B17" s="48"/>
      <c r="D17" s="174"/>
      <c r="E17" s="174"/>
      <c r="F17" s="174"/>
      <c r="G17" s="39"/>
      <c r="H17" s="39"/>
      <c r="I17" s="39"/>
    </row>
    <row r="18" spans="1:9">
      <c r="E18"/>
      <c r="G18" s="39"/>
      <c r="H18" s="39"/>
      <c r="I18" s="39"/>
    </row>
    <row r="19" spans="1:9">
      <c r="A19" s="41"/>
      <c r="E19"/>
    </row>
    <row r="20" spans="1:9">
      <c r="B20" s="36"/>
      <c r="C20" s="36"/>
    </row>
    <row r="21" spans="1:9" ht="12.75">
      <c r="A21" s="303"/>
    </row>
    <row r="23" spans="1:9">
      <c r="E23"/>
    </row>
    <row r="24" spans="1:9">
      <c r="E24"/>
    </row>
    <row r="25" spans="1:9">
      <c r="E25"/>
    </row>
    <row r="26" spans="1:9">
      <c r="B26" s="48"/>
      <c r="C26" s="48"/>
      <c r="D26" s="48"/>
      <c r="E26" s="48"/>
      <c r="F26" s="48"/>
    </row>
    <row r="27" spans="1:9">
      <c r="B27" s="48"/>
      <c r="C27" s="48"/>
      <c r="D27" s="48"/>
      <c r="E27" s="48"/>
      <c r="F27" s="48"/>
    </row>
    <row r="28" spans="1:9">
      <c r="B28" s="48"/>
      <c r="C28" s="48"/>
      <c r="D28" s="48"/>
      <c r="E28" s="48"/>
      <c r="F28" s="48"/>
      <c r="G28" s="36"/>
    </row>
    <row r="29" spans="1:9">
      <c r="A29" s="268"/>
      <c r="B29" s="48"/>
      <c r="C29" s="48"/>
      <c r="D29" s="48"/>
      <c r="E29" s="48"/>
      <c r="F29" s="48"/>
    </row>
    <row r="30" spans="1:9">
      <c r="A30" s="268"/>
      <c r="B30" s="48"/>
      <c r="C30" s="48"/>
      <c r="D30" s="48"/>
      <c r="E30" s="48"/>
      <c r="F30" s="48"/>
    </row>
    <row r="31" spans="1:9">
      <c r="B31" s="48"/>
      <c r="C31" s="48"/>
      <c r="D31" s="48"/>
      <c r="E31" s="48"/>
      <c r="F31" s="48"/>
    </row>
    <row r="32" spans="1:9">
      <c r="B32" s="48"/>
      <c r="C32" s="48"/>
      <c r="D32" s="48"/>
      <c r="E32" s="48"/>
      <c r="F32" s="48"/>
    </row>
  </sheetData>
  <mergeCells count="1">
    <mergeCell ref="C4:D4"/>
  </mergeCells>
  <pageMargins left="0.75" right="0.75" top="0.75" bottom="0.75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  <pageSetUpPr fitToPage="1"/>
  </sheetPr>
  <dimension ref="A1:O32"/>
  <sheetViews>
    <sheetView showGridLines="0" zoomScaleNormal="100" workbookViewId="0">
      <selection activeCell="A44" sqref="A44"/>
    </sheetView>
  </sheetViews>
  <sheetFormatPr defaultColWidth="9" defaultRowHeight="11.25"/>
  <cols>
    <col min="1" max="1" width="51.5703125" style="40" customWidth="1"/>
    <col min="2" max="4" width="8" style="39" customWidth="1"/>
    <col min="5" max="7" width="8" style="40" customWidth="1"/>
    <col min="8" max="8" width="9" style="40"/>
    <col min="9" max="9" width="9" style="40" customWidth="1"/>
    <col min="10" max="16384" width="9" style="40"/>
  </cols>
  <sheetData>
    <row r="1" spans="1:15" ht="15.75">
      <c r="A1" s="307" t="s">
        <v>178</v>
      </c>
    </row>
    <row r="2" spans="1:15" ht="12">
      <c r="A2" s="41" t="s">
        <v>1</v>
      </c>
      <c r="J2"/>
      <c r="K2"/>
      <c r="L2"/>
      <c r="M2"/>
      <c r="N2"/>
      <c r="O2"/>
    </row>
    <row r="3" spans="1:15" ht="12" customHeight="1">
      <c r="J3"/>
      <c r="K3"/>
      <c r="L3"/>
      <c r="M3"/>
      <c r="N3"/>
      <c r="O3"/>
    </row>
    <row r="4" spans="1:15" s="237" customFormat="1" ht="12" customHeight="1">
      <c r="A4" s="6"/>
      <c r="B4" s="7" t="s">
        <v>4</v>
      </c>
      <c r="C4" s="595" t="s">
        <v>5</v>
      </c>
      <c r="D4" s="595"/>
      <c r="E4" s="8" t="s">
        <v>6</v>
      </c>
      <c r="F4" s="7" t="s">
        <v>301</v>
      </c>
      <c r="G4" s="7" t="s">
        <v>347</v>
      </c>
      <c r="J4"/>
      <c r="K4"/>
      <c r="L4"/>
      <c r="M4"/>
      <c r="N4"/>
      <c r="O4"/>
    </row>
    <row r="5" spans="1:15" s="237" customFormat="1" ht="12" customHeight="1">
      <c r="A5" s="9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  <c r="J5"/>
      <c r="K5"/>
      <c r="L5"/>
      <c r="M5"/>
      <c r="N5"/>
      <c r="O5"/>
    </row>
    <row r="6" spans="1:15" ht="15" customHeight="1">
      <c r="A6" s="41" t="s">
        <v>98</v>
      </c>
      <c r="B6" s="305">
        <v>45</v>
      </c>
      <c r="C6" s="96">
        <v>181</v>
      </c>
      <c r="D6" s="96">
        <v>181</v>
      </c>
      <c r="E6" s="161">
        <v>181</v>
      </c>
      <c r="F6" s="305">
        <v>181</v>
      </c>
      <c r="G6" s="305">
        <v>181</v>
      </c>
      <c r="J6"/>
      <c r="K6"/>
      <c r="L6"/>
      <c r="M6"/>
      <c r="N6"/>
      <c r="O6"/>
    </row>
    <row r="7" spans="1:15" ht="12.75" customHeight="1">
      <c r="A7" s="270" t="s">
        <v>354</v>
      </c>
      <c r="B7" s="305">
        <v>1</v>
      </c>
      <c r="C7" s="96">
        <v>1</v>
      </c>
      <c r="D7" s="96">
        <v>1</v>
      </c>
      <c r="E7" s="161">
        <v>1</v>
      </c>
      <c r="F7" s="305">
        <v>1</v>
      </c>
      <c r="G7" s="305">
        <v>1</v>
      </c>
      <c r="J7"/>
      <c r="K7"/>
      <c r="L7"/>
      <c r="M7"/>
      <c r="N7"/>
      <c r="O7"/>
    </row>
    <row r="8" spans="1:15" ht="12.75" customHeight="1">
      <c r="A8" s="40" t="s">
        <v>100</v>
      </c>
      <c r="B8" s="305">
        <v>79</v>
      </c>
      <c r="C8" s="96">
        <v>0</v>
      </c>
      <c r="D8" s="96">
        <v>0</v>
      </c>
      <c r="E8" s="161">
        <v>0</v>
      </c>
      <c r="F8" s="305">
        <v>0</v>
      </c>
      <c r="G8" s="305">
        <v>0</v>
      </c>
      <c r="J8"/>
      <c r="K8"/>
      <c r="L8"/>
      <c r="M8"/>
      <c r="N8"/>
      <c r="O8"/>
    </row>
    <row r="9" spans="1:15" ht="12.75" customHeight="1">
      <c r="A9" s="40" t="s">
        <v>356</v>
      </c>
      <c r="B9" s="305">
        <v>1</v>
      </c>
      <c r="C9" s="96">
        <v>1</v>
      </c>
      <c r="D9" s="96">
        <v>1</v>
      </c>
      <c r="E9" s="161">
        <v>1</v>
      </c>
      <c r="F9" s="305">
        <v>1</v>
      </c>
      <c r="G9" s="305">
        <v>1</v>
      </c>
      <c r="J9" s="547"/>
      <c r="K9" s="547"/>
      <c r="L9" s="547"/>
      <c r="M9" s="547"/>
      <c r="N9" s="547"/>
      <c r="O9" s="547"/>
    </row>
    <row r="10" spans="1:15" ht="12.75" customHeight="1">
      <c r="A10" s="308" t="s">
        <v>176</v>
      </c>
      <c r="B10" s="53">
        <v>1257</v>
      </c>
      <c r="C10" s="178">
        <v>1148</v>
      </c>
      <c r="D10" s="178">
        <v>1293</v>
      </c>
      <c r="E10" s="54">
        <v>1404</v>
      </c>
      <c r="F10" s="53">
        <v>1398</v>
      </c>
      <c r="G10" s="53">
        <v>1094</v>
      </c>
      <c r="H10" s="308"/>
      <c r="J10"/>
      <c r="K10"/>
      <c r="L10"/>
      <c r="M10"/>
      <c r="N10"/>
      <c r="O10"/>
    </row>
    <row r="11" spans="1:15" s="174" customFormat="1" ht="12.75" customHeight="1">
      <c r="A11" s="308" t="s">
        <v>105</v>
      </c>
      <c r="B11" s="48">
        <v>2</v>
      </c>
      <c r="C11" s="178">
        <v>2</v>
      </c>
      <c r="D11" s="178">
        <v>2</v>
      </c>
      <c r="E11" s="49">
        <v>2</v>
      </c>
      <c r="F11" s="48">
        <v>2</v>
      </c>
      <c r="G11" s="48">
        <v>2</v>
      </c>
      <c r="H11" s="308"/>
      <c r="J11"/>
      <c r="K11"/>
      <c r="L11"/>
      <c r="M11"/>
      <c r="N11"/>
      <c r="O11"/>
    </row>
    <row r="12" spans="1:15" s="174" customFormat="1" ht="12.75" customHeight="1">
      <c r="A12" s="308" t="s">
        <v>106</v>
      </c>
      <c r="B12" s="48">
        <v>0</v>
      </c>
      <c r="C12" s="178">
        <v>0</v>
      </c>
      <c r="D12" s="178">
        <v>0</v>
      </c>
      <c r="E12" s="49">
        <v>0</v>
      </c>
      <c r="F12" s="48">
        <v>0</v>
      </c>
      <c r="G12" s="48">
        <v>0</v>
      </c>
      <c r="H12" s="308"/>
      <c r="J12"/>
      <c r="K12"/>
      <c r="L12"/>
      <c r="M12"/>
      <c r="N12"/>
      <c r="O12"/>
    </row>
    <row r="13" spans="1:15" s="174" customFormat="1" ht="12.75" customHeight="1">
      <c r="A13" s="270" t="s">
        <v>361</v>
      </c>
      <c r="B13" s="48">
        <v>2</v>
      </c>
      <c r="C13" s="178">
        <v>0</v>
      </c>
      <c r="D13" s="178">
        <v>1</v>
      </c>
      <c r="E13" s="49">
        <v>0</v>
      </c>
      <c r="F13" s="48">
        <v>0</v>
      </c>
      <c r="G13" s="48">
        <v>0</v>
      </c>
      <c r="H13" s="308"/>
      <c r="J13"/>
      <c r="K13"/>
      <c r="L13"/>
      <c r="M13"/>
      <c r="N13"/>
      <c r="O13"/>
    </row>
    <row r="14" spans="1:15" s="174" customFormat="1" ht="12.75" customHeight="1">
      <c r="A14" s="270" t="s">
        <v>362</v>
      </c>
      <c r="B14" s="48">
        <v>4</v>
      </c>
      <c r="C14" s="178">
        <v>6</v>
      </c>
      <c r="D14" s="178">
        <v>5</v>
      </c>
      <c r="E14" s="49">
        <v>6</v>
      </c>
      <c r="F14" s="48">
        <v>6</v>
      </c>
      <c r="G14" s="48">
        <v>6</v>
      </c>
      <c r="H14" s="308"/>
      <c r="J14"/>
      <c r="K14"/>
      <c r="L14"/>
      <c r="M14"/>
      <c r="N14"/>
      <c r="O14"/>
    </row>
    <row r="15" spans="1:15" s="55" customFormat="1" ht="12.75" customHeight="1">
      <c r="A15" s="270" t="s">
        <v>365</v>
      </c>
      <c r="B15" s="48">
        <v>54</v>
      </c>
      <c r="C15" s="178">
        <v>57</v>
      </c>
      <c r="D15" s="178">
        <v>57</v>
      </c>
      <c r="E15" s="49">
        <v>62</v>
      </c>
      <c r="F15" s="48">
        <v>65</v>
      </c>
      <c r="G15" s="48">
        <v>66</v>
      </c>
      <c r="H15" s="308"/>
    </row>
    <row r="16" spans="1:15" s="174" customFormat="1" ht="15" customHeight="1" thickBot="1">
      <c r="A16" s="30" t="s">
        <v>179</v>
      </c>
      <c r="B16" s="179">
        <v>1446</v>
      </c>
      <c r="C16" s="56">
        <v>1396</v>
      </c>
      <c r="D16" s="56">
        <v>1542</v>
      </c>
      <c r="E16" s="180">
        <v>1656</v>
      </c>
      <c r="F16" s="179">
        <v>1653</v>
      </c>
      <c r="G16" s="179">
        <v>1350</v>
      </c>
      <c r="H16"/>
      <c r="I16"/>
    </row>
    <row r="17" spans="1:10" s="174" customFormat="1" ht="12" customHeight="1">
      <c r="A17" s="41"/>
      <c r="B17" s="48"/>
      <c r="C17" s="48"/>
      <c r="D17" s="48"/>
      <c r="E17" s="48"/>
      <c r="F17" s="48"/>
    </row>
    <row r="18" spans="1:10" s="174" customFormat="1" ht="12" customHeight="1">
      <c r="A18" s="41"/>
      <c r="B18" s="48"/>
      <c r="C18" s="48"/>
      <c r="D18" s="48"/>
      <c r="E18" s="48"/>
      <c r="F18" s="48"/>
    </row>
    <row r="19" spans="1:10">
      <c r="A19" s="266"/>
      <c r="D19" s="40"/>
    </row>
    <row r="20" spans="1:10" ht="12.75">
      <c r="A20" s="303"/>
      <c r="B20"/>
      <c r="C20"/>
      <c r="D20"/>
      <c r="E20"/>
      <c r="F20"/>
      <c r="G20"/>
      <c r="H20"/>
      <c r="I20"/>
    </row>
    <row r="21" spans="1:10" ht="12">
      <c r="A21"/>
      <c r="B21" s="36"/>
      <c r="C21"/>
      <c r="D21"/>
      <c r="E21"/>
      <c r="F21"/>
      <c r="G21"/>
      <c r="H21"/>
      <c r="I21"/>
      <c r="J21"/>
    </row>
    <row r="22" spans="1:10" ht="12">
      <c r="A22"/>
      <c r="B22"/>
      <c r="C22"/>
      <c r="D22"/>
      <c r="E22"/>
      <c r="F22"/>
      <c r="G22"/>
      <c r="H22"/>
      <c r="I22"/>
    </row>
    <row r="23" spans="1:10" ht="12">
      <c r="A23"/>
      <c r="B23"/>
      <c r="C23"/>
      <c r="D23"/>
      <c r="E23"/>
      <c r="F23"/>
      <c r="G23"/>
      <c r="H23"/>
      <c r="I23"/>
    </row>
    <row r="24" spans="1:10" ht="12">
      <c r="A24"/>
      <c r="B24"/>
      <c r="C24"/>
      <c r="D24"/>
      <c r="E24"/>
      <c r="F24"/>
      <c r="G24"/>
      <c r="H24"/>
      <c r="I24"/>
    </row>
    <row r="25" spans="1:10" ht="12">
      <c r="A25"/>
      <c r="B25"/>
      <c r="C25"/>
      <c r="D25"/>
      <c r="E25"/>
      <c r="F25"/>
      <c r="G25"/>
      <c r="H25"/>
      <c r="I25"/>
    </row>
    <row r="32" spans="1:10">
      <c r="A32" s="182"/>
    </row>
  </sheetData>
  <mergeCells count="1">
    <mergeCell ref="C4:D4"/>
  </mergeCells>
  <pageMargins left="0.75" right="0.75" top="0.75" bottom="0.75" header="0.3" footer="0.3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  <pageSetUpPr fitToPage="1"/>
  </sheetPr>
  <dimension ref="A1:L32"/>
  <sheetViews>
    <sheetView showGridLines="0" zoomScaleNormal="100" workbookViewId="0">
      <selection activeCell="A44" sqref="A44"/>
    </sheetView>
  </sheetViews>
  <sheetFormatPr defaultColWidth="9" defaultRowHeight="11.25"/>
  <cols>
    <col min="1" max="1" width="51.5703125" style="41" customWidth="1"/>
    <col min="2" max="2" width="8" style="39" customWidth="1"/>
    <col min="3" max="6" width="8" style="40" customWidth="1"/>
    <col min="7" max="7" width="8" style="39" customWidth="1"/>
    <col min="8" max="9" width="9" style="39"/>
    <col min="10" max="16384" width="9" style="40"/>
  </cols>
  <sheetData>
    <row r="1" spans="1:12" ht="15.75">
      <c r="A1" s="37" t="s">
        <v>155</v>
      </c>
    </row>
    <row r="2" spans="1:12" ht="12">
      <c r="A2" s="4" t="s">
        <v>1</v>
      </c>
      <c r="B2" s="89"/>
      <c r="C2" s="236"/>
      <c r="D2" s="236"/>
      <c r="F2"/>
      <c r="J2"/>
      <c r="K2"/>
      <c r="L2"/>
    </row>
    <row r="3" spans="1:12" ht="4.5" customHeight="1">
      <c r="A3" s="4"/>
      <c r="B3" s="89"/>
      <c r="C3" s="236"/>
      <c r="D3" s="236"/>
      <c r="F3"/>
      <c r="J3"/>
      <c r="K3"/>
      <c r="L3"/>
    </row>
    <row r="4" spans="1:12" s="237" customFormat="1" ht="12.75" customHeight="1">
      <c r="A4" s="41"/>
      <c r="B4" s="7" t="s">
        <v>4</v>
      </c>
      <c r="C4" s="595" t="s">
        <v>5</v>
      </c>
      <c r="D4" s="595"/>
      <c r="E4" s="8" t="s">
        <v>6</v>
      </c>
      <c r="F4" s="7" t="s">
        <v>301</v>
      </c>
      <c r="G4" s="7" t="s">
        <v>347</v>
      </c>
      <c r="H4" s="39"/>
      <c r="I4" s="39"/>
      <c r="J4"/>
      <c r="K4"/>
      <c r="L4"/>
    </row>
    <row r="5" spans="1:12" s="237" customFormat="1" ht="12.75" customHeight="1">
      <c r="A5" s="238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  <c r="H5"/>
      <c r="I5" s="39"/>
      <c r="J5"/>
      <c r="K5"/>
      <c r="L5"/>
    </row>
    <row r="6" spans="1:12" s="237" customFormat="1" ht="3.75" customHeight="1">
      <c r="A6" s="239"/>
      <c r="B6" s="240"/>
      <c r="C6" s="240"/>
      <c r="D6" s="240"/>
      <c r="E6" s="241"/>
      <c r="F6"/>
      <c r="G6"/>
      <c r="H6"/>
      <c r="I6" s="39"/>
      <c r="J6"/>
      <c r="K6"/>
      <c r="L6"/>
    </row>
    <row r="7" spans="1:12" s="237" customFormat="1" ht="12.75" customHeight="1">
      <c r="A7" s="242" t="s">
        <v>156</v>
      </c>
      <c r="B7" s="189"/>
      <c r="C7" s="38"/>
      <c r="D7" s="39"/>
      <c r="E7" s="24"/>
      <c r="F7" s="189"/>
      <c r="G7" s="189"/>
      <c r="H7"/>
      <c r="I7" s="39"/>
      <c r="J7"/>
      <c r="K7"/>
      <c r="L7"/>
    </row>
    <row r="8" spans="1:12" s="55" customFormat="1" ht="12.75" customHeight="1">
      <c r="A8" s="131" t="s">
        <v>157</v>
      </c>
      <c r="B8" s="189">
        <v>9</v>
      </c>
      <c r="C8" s="39">
        <v>9</v>
      </c>
      <c r="D8" s="39">
        <v>9</v>
      </c>
      <c r="E8" s="24">
        <v>9</v>
      </c>
      <c r="F8" s="189">
        <v>9</v>
      </c>
      <c r="G8" s="189">
        <v>9</v>
      </c>
      <c r="H8" s="243"/>
      <c r="I8" s="244"/>
      <c r="J8" s="243"/>
      <c r="K8" s="243"/>
      <c r="L8" s="243"/>
    </row>
    <row r="9" spans="1:12" s="174" customFormat="1" ht="12.75" customHeight="1">
      <c r="A9" s="131" t="s">
        <v>108</v>
      </c>
      <c r="B9" s="39">
        <v>1154</v>
      </c>
      <c r="C9" s="39">
        <v>1150</v>
      </c>
      <c r="D9" s="39">
        <v>940</v>
      </c>
      <c r="E9" s="24">
        <v>850</v>
      </c>
      <c r="F9" s="39">
        <v>797</v>
      </c>
      <c r="G9" s="39">
        <v>929</v>
      </c>
      <c r="H9"/>
      <c r="I9" s="39"/>
      <c r="J9"/>
      <c r="K9"/>
      <c r="L9"/>
    </row>
    <row r="10" spans="1:12" s="174" customFormat="1" ht="15" customHeight="1">
      <c r="A10" s="245" t="s">
        <v>158</v>
      </c>
      <c r="B10" s="246">
        <v>1163</v>
      </c>
      <c r="C10" s="246">
        <v>1159</v>
      </c>
      <c r="D10" s="246">
        <v>949</v>
      </c>
      <c r="E10" s="247">
        <v>859</v>
      </c>
      <c r="F10" s="246">
        <v>806</v>
      </c>
      <c r="G10" s="246">
        <v>938</v>
      </c>
      <c r="H10"/>
      <c r="I10" s="39"/>
      <c r="J10"/>
      <c r="K10"/>
      <c r="L10"/>
    </row>
    <row r="11" spans="1:12" s="174" customFormat="1" ht="3.75" customHeight="1">
      <c r="B11" s="39"/>
      <c r="C11" s="39"/>
      <c r="D11" s="39"/>
      <c r="E11" s="24"/>
      <c r="F11" s="39"/>
      <c r="G11" s="39"/>
      <c r="H11"/>
      <c r="I11" s="39"/>
      <c r="J11"/>
      <c r="K11"/>
      <c r="L11"/>
    </row>
    <row r="12" spans="1:12" ht="12">
      <c r="A12" s="50" t="s">
        <v>159</v>
      </c>
      <c r="C12" s="39"/>
      <c r="D12" s="39"/>
      <c r="E12" s="24"/>
      <c r="F12" s="39"/>
      <c r="H12"/>
      <c r="J12"/>
      <c r="K12"/>
      <c r="L12"/>
    </row>
    <row r="13" spans="1:12" ht="12.75" customHeight="1">
      <c r="A13" s="131" t="s">
        <v>160</v>
      </c>
      <c r="B13" s="189">
        <v>26</v>
      </c>
      <c r="C13" s="39">
        <v>25</v>
      </c>
      <c r="D13" s="39">
        <v>25</v>
      </c>
      <c r="E13" s="24">
        <v>24</v>
      </c>
      <c r="F13" s="189">
        <v>27</v>
      </c>
      <c r="G13" s="189">
        <v>27</v>
      </c>
      <c r="H13"/>
      <c r="J13"/>
      <c r="K13"/>
      <c r="L13"/>
    </row>
    <row r="14" spans="1:12" ht="12.75" customHeight="1">
      <c r="A14" s="131" t="s">
        <v>161</v>
      </c>
      <c r="B14" s="189">
        <v>103</v>
      </c>
      <c r="C14" s="39">
        <v>103</v>
      </c>
      <c r="D14" s="39">
        <v>103</v>
      </c>
      <c r="E14" s="24">
        <v>101</v>
      </c>
      <c r="F14" s="189">
        <v>97</v>
      </c>
      <c r="G14" s="189">
        <v>94</v>
      </c>
      <c r="H14"/>
      <c r="J14"/>
      <c r="K14"/>
      <c r="L14"/>
    </row>
    <row r="15" spans="1:12" ht="12.75" customHeight="1">
      <c r="A15" s="131" t="s">
        <v>162</v>
      </c>
      <c r="B15" s="189">
        <v>987</v>
      </c>
      <c r="C15" s="39">
        <v>1156</v>
      </c>
      <c r="D15" s="39">
        <v>1140</v>
      </c>
      <c r="E15" s="248">
        <v>1113</v>
      </c>
      <c r="F15" s="249">
        <v>1226</v>
      </c>
      <c r="G15" s="249">
        <v>1454</v>
      </c>
      <c r="H15"/>
      <c r="J15"/>
      <c r="K15"/>
      <c r="L15"/>
    </row>
    <row r="16" spans="1:12" ht="15" customHeight="1">
      <c r="A16" s="250" t="s">
        <v>158</v>
      </c>
      <c r="B16" s="251">
        <v>1116</v>
      </c>
      <c r="C16" s="246">
        <v>1284</v>
      </c>
      <c r="D16" s="246">
        <v>1268</v>
      </c>
      <c r="E16" s="252">
        <v>1238</v>
      </c>
      <c r="F16" s="251">
        <v>1350</v>
      </c>
      <c r="G16" s="251">
        <v>1575</v>
      </c>
      <c r="H16"/>
      <c r="J16"/>
      <c r="K16"/>
      <c r="L16"/>
    </row>
    <row r="17" spans="1:12" ht="3.75" customHeight="1">
      <c r="A17" s="250"/>
      <c r="B17" s="253"/>
      <c r="C17" s="38"/>
      <c r="D17" s="38"/>
      <c r="E17" s="254"/>
      <c r="F17" s="253"/>
      <c r="G17" s="253"/>
      <c r="H17"/>
      <c r="J17"/>
      <c r="K17"/>
      <c r="L17"/>
    </row>
    <row r="18" spans="1:12" ht="15" customHeight="1">
      <c r="A18" s="255" t="s">
        <v>163</v>
      </c>
      <c r="B18" s="256">
        <v>2278</v>
      </c>
      <c r="C18" s="257">
        <v>2443</v>
      </c>
      <c r="D18" s="257">
        <v>2217</v>
      </c>
      <c r="E18" s="258">
        <v>2097</v>
      </c>
      <c r="F18" s="256">
        <v>2156</v>
      </c>
      <c r="G18" s="256">
        <v>2513</v>
      </c>
      <c r="H18"/>
      <c r="J18"/>
      <c r="K18"/>
      <c r="L18"/>
    </row>
    <row r="19" spans="1:12" ht="3.75" customHeight="1">
      <c r="A19" s="259"/>
      <c r="C19" s="38"/>
      <c r="D19" s="38"/>
      <c r="E19" s="24"/>
      <c r="F19" s="39"/>
      <c r="H19"/>
      <c r="J19"/>
      <c r="K19"/>
      <c r="L19"/>
    </row>
    <row r="20" spans="1:12" ht="12.75" customHeight="1">
      <c r="A20" s="259" t="s">
        <v>164</v>
      </c>
      <c r="C20" s="39"/>
      <c r="D20" s="38"/>
      <c r="E20" s="24"/>
      <c r="F20" s="39"/>
      <c r="H20"/>
      <c r="J20"/>
      <c r="K20"/>
      <c r="L20"/>
    </row>
    <row r="21" spans="1:12" ht="12.75" customHeight="1">
      <c r="A21" s="131" t="s">
        <v>165</v>
      </c>
      <c r="B21" s="39">
        <v>298</v>
      </c>
      <c r="C21" s="39">
        <v>155</v>
      </c>
      <c r="D21" s="39">
        <v>424</v>
      </c>
      <c r="E21" s="24">
        <v>659</v>
      </c>
      <c r="F21" s="39">
        <v>555</v>
      </c>
      <c r="G21" s="39">
        <v>493</v>
      </c>
      <c r="H21"/>
      <c r="J21"/>
      <c r="K21"/>
      <c r="L21"/>
    </row>
    <row r="22" spans="1:12" ht="12.75" customHeight="1">
      <c r="A22" s="131" t="s">
        <v>166</v>
      </c>
      <c r="B22" s="39">
        <v>65</v>
      </c>
      <c r="C22" s="39">
        <v>64</v>
      </c>
      <c r="D22" s="39">
        <v>74</v>
      </c>
      <c r="E22" s="24">
        <v>92</v>
      </c>
      <c r="F22" s="39">
        <v>94</v>
      </c>
      <c r="G22" s="39">
        <v>97</v>
      </c>
      <c r="H22"/>
      <c r="J22"/>
      <c r="K22"/>
      <c r="L22"/>
    </row>
    <row r="23" spans="1:12" ht="12.75" customHeight="1">
      <c r="A23" s="250" t="s">
        <v>158</v>
      </c>
      <c r="B23" s="251">
        <v>363</v>
      </c>
      <c r="C23" s="246">
        <v>219</v>
      </c>
      <c r="D23" s="246">
        <v>498</v>
      </c>
      <c r="E23" s="252">
        <v>751</v>
      </c>
      <c r="F23" s="251">
        <v>649</v>
      </c>
      <c r="G23" s="251">
        <v>590</v>
      </c>
      <c r="H23"/>
      <c r="J23"/>
      <c r="K23"/>
      <c r="L23"/>
    </row>
    <row r="24" spans="1:12" ht="3.75" customHeight="1">
      <c r="A24" s="259"/>
      <c r="C24" s="38"/>
      <c r="D24" s="38"/>
      <c r="E24" s="24"/>
      <c r="F24" s="39"/>
      <c r="H24"/>
      <c r="J24"/>
      <c r="K24"/>
      <c r="L24"/>
    </row>
    <row r="25" spans="1:12" ht="15" customHeight="1" thickBot="1">
      <c r="A25" s="30" t="s">
        <v>167</v>
      </c>
      <c r="B25" s="260">
        <v>2641</v>
      </c>
      <c r="C25" s="260">
        <v>2662</v>
      </c>
      <c r="D25" s="260">
        <v>2715</v>
      </c>
      <c r="E25" s="261">
        <v>2848</v>
      </c>
      <c r="F25" s="260">
        <v>2805</v>
      </c>
      <c r="G25" s="260">
        <v>3103</v>
      </c>
      <c r="H25"/>
      <c r="J25"/>
      <c r="K25"/>
      <c r="L25"/>
    </row>
    <row r="26" spans="1:12" ht="12">
      <c r="A26"/>
      <c r="B26"/>
      <c r="C26"/>
      <c r="D26"/>
      <c r="F26"/>
      <c r="G26"/>
      <c r="H26"/>
      <c r="J26"/>
      <c r="K26"/>
      <c r="L26"/>
    </row>
    <row r="27" spans="1:12" ht="12">
      <c r="B27"/>
      <c r="C27"/>
      <c r="D27"/>
    </row>
    <row r="28" spans="1:12" ht="12">
      <c r="A28"/>
      <c r="B28"/>
      <c r="C28"/>
      <c r="D28"/>
    </row>
    <row r="29" spans="1:12" ht="12">
      <c r="A29"/>
      <c r="B29"/>
      <c r="C29"/>
      <c r="D29"/>
    </row>
    <row r="30" spans="1:12" ht="12">
      <c r="A30"/>
      <c r="B30"/>
      <c r="C30"/>
      <c r="D30"/>
    </row>
    <row r="31" spans="1:12" ht="12">
      <c r="A31" s="262"/>
      <c r="B31"/>
      <c r="C31"/>
      <c r="D31"/>
    </row>
    <row r="32" spans="1:12" ht="12">
      <c r="A32"/>
      <c r="B32"/>
      <c r="C32"/>
      <c r="D32" s="36"/>
      <c r="E32" s="36"/>
      <c r="F32" s="36"/>
      <c r="G32" s="36"/>
    </row>
  </sheetData>
  <mergeCells count="1">
    <mergeCell ref="C4:D4"/>
  </mergeCells>
  <pageMargins left="0.75" right="0.75" top="0.75" bottom="0.75" header="0.3" footer="0.3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  <pageSetUpPr fitToPage="1"/>
  </sheetPr>
  <dimension ref="A1:O27"/>
  <sheetViews>
    <sheetView showGridLines="0" zoomScaleNormal="100" zoomScalePageLayoutView="150" workbookViewId="0">
      <selection activeCell="A44" sqref="A44"/>
    </sheetView>
  </sheetViews>
  <sheetFormatPr defaultColWidth="9" defaultRowHeight="11.25"/>
  <cols>
    <col min="1" max="1" width="51.5703125" style="236" customWidth="1"/>
    <col min="2" max="2" width="8" style="89" customWidth="1"/>
    <col min="3" max="7" width="8" style="236" customWidth="1"/>
    <col min="8" max="16384" width="9" style="236"/>
  </cols>
  <sheetData>
    <row r="1" spans="1:15" s="269" customFormat="1" ht="18.75" customHeight="1">
      <c r="A1" s="280" t="s">
        <v>171</v>
      </c>
      <c r="B1" s="89"/>
    </row>
    <row r="2" spans="1:15" s="269" customFormat="1" ht="12.75" customHeight="1">
      <c r="A2" s="281" t="s">
        <v>1</v>
      </c>
      <c r="B2" s="89"/>
    </row>
    <row r="3" spans="1:15" s="269" customFormat="1" ht="12.75" customHeight="1">
      <c r="A3" s="282"/>
      <c r="B3" s="89"/>
      <c r="C3" s="236"/>
      <c r="D3" s="236"/>
    </row>
    <row r="4" spans="1:15" s="269" customFormat="1" ht="12.75" customHeight="1">
      <c r="A4" s="282"/>
      <c r="B4" s="7" t="s">
        <v>4</v>
      </c>
      <c r="C4" s="595" t="s">
        <v>5</v>
      </c>
      <c r="D4" s="595"/>
      <c r="E4" s="8" t="s">
        <v>6</v>
      </c>
      <c r="F4" s="7" t="s">
        <v>301</v>
      </c>
      <c r="G4" s="7" t="s">
        <v>347</v>
      </c>
    </row>
    <row r="5" spans="1:15" s="269" customFormat="1" ht="12.75" customHeight="1">
      <c r="A5" s="283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</row>
    <row r="6" spans="1:15" s="269" customFormat="1" ht="15" customHeight="1">
      <c r="A6" s="284" t="s">
        <v>369</v>
      </c>
      <c r="B6" s="39">
        <v>2886</v>
      </c>
      <c r="C6" s="96">
        <v>0</v>
      </c>
      <c r="D6" s="96">
        <v>1131</v>
      </c>
      <c r="E6" s="24">
        <v>0</v>
      </c>
      <c r="F6" s="39">
        <v>0</v>
      </c>
      <c r="G6" s="39">
        <v>0</v>
      </c>
      <c r="K6" s="98"/>
    </row>
    <row r="7" spans="1:15" s="269" customFormat="1" ht="12.75" customHeight="1">
      <c r="A7" s="284" t="s">
        <v>367</v>
      </c>
      <c r="B7" s="39">
        <v>144</v>
      </c>
      <c r="C7" s="96">
        <v>0</v>
      </c>
      <c r="D7" s="96">
        <v>173</v>
      </c>
      <c r="E7" s="24">
        <v>0</v>
      </c>
      <c r="F7" s="39">
        <v>0</v>
      </c>
      <c r="G7" s="39">
        <v>0</v>
      </c>
    </row>
    <row r="8" spans="1:15" s="269" customFormat="1" ht="12.75" customHeight="1">
      <c r="A8" s="281" t="s">
        <v>368</v>
      </c>
      <c r="B8" s="39">
        <v>32</v>
      </c>
      <c r="C8" s="96">
        <v>0</v>
      </c>
      <c r="D8" s="96">
        <v>18</v>
      </c>
      <c r="E8" s="24">
        <v>0</v>
      </c>
      <c r="F8" s="39">
        <v>0</v>
      </c>
      <c r="G8" s="39">
        <v>0</v>
      </c>
    </row>
    <row r="9" spans="1:15" s="269" customFormat="1" ht="12.75" customHeight="1">
      <c r="A9" s="281" t="s">
        <v>400</v>
      </c>
      <c r="B9" s="39">
        <v>14</v>
      </c>
      <c r="C9" s="96">
        <v>0</v>
      </c>
      <c r="D9" s="96">
        <v>0</v>
      </c>
      <c r="E9" s="24">
        <v>0</v>
      </c>
      <c r="F9" s="39">
        <v>0</v>
      </c>
      <c r="G9" s="39">
        <v>0</v>
      </c>
    </row>
    <row r="10" spans="1:15" s="269" customFormat="1" ht="12.75" customHeight="1">
      <c r="A10" s="281" t="s">
        <v>404</v>
      </c>
      <c r="B10" s="39">
        <v>0</v>
      </c>
      <c r="C10" s="96">
        <v>1000</v>
      </c>
      <c r="D10" s="96">
        <v>0</v>
      </c>
      <c r="E10" s="24">
        <v>1500</v>
      </c>
      <c r="F10" s="39">
        <v>1500</v>
      </c>
      <c r="G10" s="39">
        <v>1500</v>
      </c>
    </row>
    <row r="11" spans="1:15" s="269" customFormat="1" ht="12.75" customHeight="1">
      <c r="A11" s="281" t="s">
        <v>406</v>
      </c>
      <c r="B11" s="39">
        <v>0</v>
      </c>
      <c r="C11" s="96">
        <v>750</v>
      </c>
      <c r="D11" s="96">
        <v>0</v>
      </c>
      <c r="E11" s="24">
        <v>0</v>
      </c>
      <c r="F11" s="39">
        <v>0</v>
      </c>
      <c r="G11" s="39">
        <v>0</v>
      </c>
    </row>
    <row r="12" spans="1:15" s="269" customFormat="1" ht="15" customHeight="1" thickBot="1">
      <c r="A12" s="285" t="s">
        <v>172</v>
      </c>
      <c r="B12" s="211">
        <v>3076</v>
      </c>
      <c r="C12" s="286">
        <v>1750</v>
      </c>
      <c r="D12" s="286">
        <v>1322</v>
      </c>
      <c r="E12" s="287">
        <v>1500</v>
      </c>
      <c r="F12" s="288">
        <v>1500</v>
      </c>
      <c r="G12" s="288">
        <v>1500</v>
      </c>
      <c r="H12"/>
      <c r="I12"/>
      <c r="J12"/>
      <c r="K12"/>
      <c r="L12"/>
      <c r="M12"/>
      <c r="N12"/>
      <c r="O12"/>
    </row>
    <row r="13" spans="1:15" s="269" customFormat="1" ht="15" customHeight="1">
      <c r="B13" s="39"/>
      <c r="C13"/>
      <c r="D13"/>
      <c r="E13" s="39"/>
      <c r="F13" s="39"/>
      <c r="H13"/>
      <c r="I13"/>
      <c r="J13"/>
      <c r="K13"/>
      <c r="L13"/>
      <c r="M13"/>
      <c r="N13"/>
      <c r="O13"/>
    </row>
    <row r="14" spans="1:15" s="269" customFormat="1" ht="12.75" customHeight="1">
      <c r="B14" s="289"/>
      <c r="C14" s="289"/>
      <c r="D14" s="289"/>
      <c r="E14" s="289"/>
      <c r="F14" s="289"/>
      <c r="G14"/>
      <c r="H14"/>
      <c r="I14"/>
      <c r="J14"/>
      <c r="K14"/>
      <c r="L14"/>
      <c r="M14"/>
      <c r="N14"/>
      <c r="O14"/>
    </row>
    <row r="15" spans="1:15" s="269" customFormat="1" ht="12.75" customHeight="1">
      <c r="A15" s="289"/>
      <c r="B15" s="290"/>
      <c r="C15" s="290"/>
      <c r="D15" s="290"/>
      <c r="E15" s="290"/>
      <c r="F15" s="290"/>
      <c r="G15"/>
      <c r="H15"/>
      <c r="I15"/>
      <c r="J15"/>
      <c r="K15"/>
      <c r="L15"/>
      <c r="M15"/>
      <c r="N15"/>
      <c r="O15"/>
    </row>
    <row r="16" spans="1:15" s="269" customFormat="1" ht="12.75" customHeight="1">
      <c r="A16" s="289"/>
      <c r="B16" s="89"/>
      <c r="C16" s="236"/>
      <c r="D16" s="236"/>
      <c r="E16" s="236"/>
      <c r="F16" s="236"/>
      <c r="G16"/>
      <c r="H16"/>
      <c r="I16"/>
      <c r="J16"/>
      <c r="K16"/>
      <c r="L16"/>
      <c r="M16"/>
      <c r="N16"/>
      <c r="O16"/>
    </row>
    <row r="17" spans="1:15" s="269" customFormat="1" ht="12.75" customHeight="1">
      <c r="A17" s="236"/>
      <c r="B17" s="89"/>
      <c r="C17" s="236"/>
      <c r="D17" s="236"/>
      <c r="E17" s="236"/>
      <c r="F17" s="236"/>
      <c r="G17"/>
      <c r="H17"/>
      <c r="I17"/>
      <c r="J17"/>
      <c r="K17"/>
      <c r="L17"/>
      <c r="M17"/>
      <c r="N17"/>
      <c r="O17"/>
    </row>
    <row r="18" spans="1:15" s="269" customFormat="1" ht="12.75" customHeight="1">
      <c r="A18" s="276"/>
      <c r="B18" s="89"/>
      <c r="C18" s="236"/>
      <c r="D18" s="236"/>
      <c r="E18" s="236"/>
      <c r="F18" s="236"/>
      <c r="G18"/>
      <c r="H18"/>
      <c r="I18"/>
      <c r="J18"/>
      <c r="K18"/>
      <c r="L18"/>
      <c r="M18"/>
      <c r="N18"/>
      <c r="O18"/>
    </row>
    <row r="19" spans="1:15" s="269" customFormat="1" ht="12.75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 s="269" customFormat="1" ht="12.75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s="269" customFormat="1" ht="12.75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 s="269" customFormat="1" ht="12.75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 s="269" customFormat="1" ht="15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s="269" customFormat="1" ht="1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 s="269" customFormat="1" ht="12.75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 s="269" customFormat="1" ht="12.75" customHeight="1"/>
    <row r="27" spans="1:15" s="269" customFormat="1" ht="14.25" customHeight="1"/>
  </sheetData>
  <mergeCells count="1">
    <mergeCell ref="C4:D4"/>
  </mergeCells>
  <pageMargins left="0.75" right="0.75" top="0.75" bottom="0.75" header="0.3" footer="0.3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  <pageSetUpPr fitToPage="1"/>
  </sheetPr>
  <dimension ref="A1:P41"/>
  <sheetViews>
    <sheetView showGridLines="0" zoomScaleNormal="100" workbookViewId="0">
      <selection activeCell="A44" sqref="A44"/>
    </sheetView>
  </sheetViews>
  <sheetFormatPr defaultColWidth="9" defaultRowHeight="12"/>
  <cols>
    <col min="1" max="1" width="51.5703125" style="264" customWidth="1"/>
    <col min="2" max="2" width="9.42578125" style="89" customWidth="1"/>
    <col min="3" max="3" width="9.42578125" style="336" customWidth="1"/>
    <col min="4" max="5" width="9.42578125" style="89" customWidth="1"/>
    <col min="6" max="6" width="9.42578125" style="236" customWidth="1"/>
    <col min="7" max="9" width="8.42578125" customWidth="1"/>
    <col min="10" max="13" width="9" style="236" customWidth="1"/>
    <col min="14" max="16384" width="9" style="236"/>
  </cols>
  <sheetData>
    <row r="1" spans="1:16" ht="18.75">
      <c r="A1" s="335" t="s">
        <v>206</v>
      </c>
    </row>
    <row r="2" spans="1:16">
      <c r="A2" s="337" t="s">
        <v>1</v>
      </c>
    </row>
    <row r="3" spans="1:16" s="269" customFormat="1" ht="12.75" customHeight="1">
      <c r="A3" s="264"/>
      <c r="B3" s="601" t="s">
        <v>27</v>
      </c>
      <c r="C3" s="601"/>
      <c r="D3" s="601"/>
      <c r="E3" s="601"/>
      <c r="F3" s="601"/>
      <c r="G3"/>
      <c r="H3"/>
      <c r="I3"/>
      <c r="O3"/>
      <c r="P3"/>
    </row>
    <row r="4" spans="1:16" s="339" customFormat="1" ht="12.75" customHeight="1">
      <c r="A4" s="338"/>
      <c r="B4" s="43" t="s">
        <v>28</v>
      </c>
      <c r="C4" s="44" t="s">
        <v>29</v>
      </c>
      <c r="D4" s="45" t="s">
        <v>30</v>
      </c>
      <c r="E4" s="44" t="s">
        <v>332</v>
      </c>
      <c r="F4" s="44" t="s">
        <v>348</v>
      </c>
      <c r="G4"/>
      <c r="H4"/>
      <c r="N4"/>
      <c r="O4"/>
    </row>
    <row r="5" spans="1:16" s="339" customFormat="1" ht="12.75" customHeight="1">
      <c r="A5" s="340"/>
      <c r="B5" s="341" t="s">
        <v>7</v>
      </c>
      <c r="C5" s="342" t="s">
        <v>9</v>
      </c>
      <c r="D5" s="343" t="s">
        <v>10</v>
      </c>
      <c r="E5" s="341" t="s">
        <v>11</v>
      </c>
      <c r="F5" s="341" t="s">
        <v>11</v>
      </c>
      <c r="G5"/>
      <c r="H5"/>
      <c r="N5"/>
      <c r="O5"/>
    </row>
    <row r="6" spans="1:16" s="269" customFormat="1" ht="13.5" customHeight="1">
      <c r="A6" s="264" t="s">
        <v>207</v>
      </c>
      <c r="B6" s="48">
        <v>7244</v>
      </c>
      <c r="C6" s="293">
        <v>7208</v>
      </c>
      <c r="D6" s="49">
        <v>6943</v>
      </c>
      <c r="E6" s="173">
        <v>6668</v>
      </c>
      <c r="F6" s="173">
        <v>6385</v>
      </c>
      <c r="G6"/>
      <c r="H6"/>
      <c r="N6"/>
      <c r="O6"/>
    </row>
    <row r="7" spans="1:16" s="269" customFormat="1" ht="13.5" customHeight="1">
      <c r="A7" s="264" t="s">
        <v>208</v>
      </c>
      <c r="B7" s="53">
        <v>386</v>
      </c>
      <c r="C7" s="293">
        <v>354</v>
      </c>
      <c r="D7" s="49">
        <v>322</v>
      </c>
      <c r="E7" s="173">
        <v>288</v>
      </c>
      <c r="F7" s="173">
        <v>254</v>
      </c>
      <c r="G7"/>
      <c r="H7"/>
      <c r="N7"/>
      <c r="O7"/>
    </row>
    <row r="8" spans="1:16" s="269" customFormat="1" ht="13.5" customHeight="1">
      <c r="A8" s="264" t="s">
        <v>209</v>
      </c>
      <c r="B8" s="53">
        <v>226</v>
      </c>
      <c r="C8" s="293">
        <v>225</v>
      </c>
      <c r="D8" s="49">
        <v>225</v>
      </c>
      <c r="E8" s="173">
        <v>225</v>
      </c>
      <c r="F8" s="173">
        <v>225</v>
      </c>
      <c r="G8"/>
      <c r="H8"/>
      <c r="N8"/>
      <c r="O8"/>
    </row>
    <row r="9" spans="1:16" s="269" customFormat="1" ht="13.5" customHeight="1">
      <c r="A9" s="264" t="s">
        <v>210</v>
      </c>
      <c r="B9" s="53">
        <v>85</v>
      </c>
      <c r="C9" s="293">
        <v>74</v>
      </c>
      <c r="D9" s="49">
        <v>76</v>
      </c>
      <c r="E9" s="173">
        <v>77</v>
      </c>
      <c r="F9" s="173">
        <v>75</v>
      </c>
      <c r="G9"/>
      <c r="H9"/>
      <c r="N9"/>
      <c r="O9"/>
    </row>
    <row r="10" spans="1:16" s="269" customFormat="1" ht="13.5" customHeight="1">
      <c r="A10" s="264" t="s">
        <v>211</v>
      </c>
      <c r="B10" s="53">
        <v>35</v>
      </c>
      <c r="C10" s="293">
        <v>33</v>
      </c>
      <c r="D10" s="49">
        <v>31</v>
      </c>
      <c r="E10" s="173">
        <v>28</v>
      </c>
      <c r="F10" s="173">
        <v>26</v>
      </c>
      <c r="G10"/>
      <c r="H10"/>
      <c r="N10"/>
      <c r="O10"/>
    </row>
    <row r="11" spans="1:16" s="269" customFormat="1" ht="13.5" customHeight="1">
      <c r="A11" s="264" t="s">
        <v>212</v>
      </c>
      <c r="B11" s="53">
        <v>25</v>
      </c>
      <c r="C11" s="293">
        <v>24</v>
      </c>
      <c r="D11" s="54">
        <v>24</v>
      </c>
      <c r="E11" s="178">
        <v>24</v>
      </c>
      <c r="F11" s="178">
        <v>24</v>
      </c>
      <c r="G11"/>
      <c r="H11"/>
      <c r="N11"/>
      <c r="O11"/>
    </row>
    <row r="12" spans="1:16" s="269" customFormat="1" ht="13.5" customHeight="1">
      <c r="A12" s="264" t="s">
        <v>213</v>
      </c>
      <c r="B12" s="53">
        <v>1</v>
      </c>
      <c r="C12" s="293">
        <v>1</v>
      </c>
      <c r="D12" s="54">
        <v>1</v>
      </c>
      <c r="E12" s="178">
        <v>1</v>
      </c>
      <c r="F12" s="178">
        <v>1</v>
      </c>
      <c r="G12"/>
      <c r="H12"/>
      <c r="N12"/>
      <c r="O12"/>
    </row>
    <row r="13" spans="1:16" s="269" customFormat="1" ht="13.5" customHeight="1">
      <c r="A13" s="264" t="s">
        <v>214</v>
      </c>
      <c r="B13" s="53">
        <v>269</v>
      </c>
      <c r="C13" s="293">
        <v>241</v>
      </c>
      <c r="D13" s="54">
        <v>216</v>
      </c>
      <c r="E13" s="178">
        <v>191</v>
      </c>
      <c r="F13" s="178">
        <v>165</v>
      </c>
      <c r="G13"/>
      <c r="H13"/>
      <c r="N13"/>
      <c r="O13"/>
    </row>
    <row r="14" spans="1:16" s="269" customFormat="1" ht="15" customHeight="1">
      <c r="A14" s="220" t="s">
        <v>215</v>
      </c>
      <c r="B14" s="344">
        <v>8271</v>
      </c>
      <c r="C14" s="345">
        <v>8160</v>
      </c>
      <c r="D14" s="187">
        <v>7838</v>
      </c>
      <c r="E14" s="346">
        <v>7502</v>
      </c>
      <c r="F14" s="346">
        <v>7155</v>
      </c>
      <c r="G14"/>
      <c r="H14"/>
      <c r="N14"/>
      <c r="O14"/>
    </row>
    <row r="15" spans="1:16" s="269" customFormat="1" ht="15" customHeight="1" thickBot="1">
      <c r="A15" s="347" t="s">
        <v>216</v>
      </c>
      <c r="B15" s="348">
        <v>-365</v>
      </c>
      <c r="C15" s="348">
        <v>-111</v>
      </c>
      <c r="D15" s="349">
        <v>-322</v>
      </c>
      <c r="E15" s="348">
        <v>-336</v>
      </c>
      <c r="F15" s="348">
        <v>-347</v>
      </c>
      <c r="G15"/>
      <c r="H15"/>
      <c r="N15"/>
      <c r="O15"/>
    </row>
    <row r="16" spans="1:16" s="269" customFormat="1" ht="15" customHeight="1">
      <c r="A16" s="338"/>
      <c r="B16" s="338"/>
      <c r="C16" s="338"/>
      <c r="D16" s="338"/>
      <c r="E16" s="338"/>
      <c r="F16" s="338"/>
      <c r="G16"/>
      <c r="H16"/>
      <c r="I16"/>
      <c r="O16"/>
      <c r="P16"/>
    </row>
    <row r="17" spans="1:16" s="269" customFormat="1" ht="14.25" customHeight="1">
      <c r="A17" s="350"/>
      <c r="B17" s="338"/>
      <c r="C17" s="338"/>
      <c r="D17" s="338"/>
      <c r="E17" s="338"/>
      <c r="F17" s="338"/>
      <c r="G17"/>
      <c r="H17"/>
      <c r="I17"/>
      <c r="O17"/>
      <c r="P17"/>
    </row>
    <row r="18" spans="1:16" s="269" customFormat="1" ht="14.25" customHeight="1">
      <c r="C18" s="77"/>
      <c r="D18" s="53"/>
      <c r="E18" s="53"/>
      <c r="G18"/>
      <c r="H18"/>
      <c r="I18"/>
      <c r="O18"/>
      <c r="P18"/>
    </row>
    <row r="19" spans="1:16" ht="12.75">
      <c r="A19" s="351"/>
      <c r="C19" s="89"/>
      <c r="O19"/>
      <c r="P19"/>
    </row>
    <row r="20" spans="1:16">
      <c r="A20" s="350"/>
      <c r="D20" s="336"/>
      <c r="E20" s="336"/>
      <c r="O20"/>
      <c r="P20"/>
    </row>
    <row r="21" spans="1:16">
      <c r="B21" s="352"/>
      <c r="C21" s="353"/>
      <c r="D21" s="352"/>
      <c r="E21" s="352"/>
      <c r="F21" s="352"/>
      <c r="G21" s="352"/>
      <c r="O21"/>
      <c r="P21"/>
    </row>
    <row r="22" spans="1:16">
      <c r="J22"/>
    </row>
    <row r="23" spans="1:16">
      <c r="A23"/>
      <c r="B23"/>
      <c r="C23"/>
      <c r="D23"/>
      <c r="E23"/>
      <c r="F23"/>
      <c r="J23"/>
    </row>
    <row r="24" spans="1:16">
      <c r="A24" s="560"/>
      <c r="B24" s="560"/>
      <c r="C24" s="560"/>
      <c r="D24" s="560"/>
      <c r="E24"/>
      <c r="F24"/>
      <c r="J24"/>
    </row>
    <row r="25" spans="1:16">
      <c r="A25" s="575"/>
      <c r="B25" s="173"/>
      <c r="C25" s="77"/>
      <c r="D25" s="173"/>
      <c r="E25" s="173"/>
      <c r="F25" s="173"/>
      <c r="J25"/>
    </row>
    <row r="26" spans="1:16">
      <c r="A26" s="575"/>
      <c r="B26" s="173"/>
      <c r="C26" s="77"/>
      <c r="D26" s="178"/>
      <c r="E26" s="178"/>
      <c r="F26" s="178"/>
      <c r="J26"/>
    </row>
    <row r="27" spans="1:16">
      <c r="A27" s="575"/>
      <c r="B27" s="178"/>
      <c r="C27" s="77"/>
      <c r="D27" s="178"/>
      <c r="E27" s="178"/>
      <c r="F27" s="178"/>
      <c r="J27"/>
    </row>
    <row r="28" spans="1:16">
      <c r="A28"/>
      <c r="B28"/>
      <c r="C28"/>
      <c r="D28"/>
      <c r="E28"/>
      <c r="F28"/>
      <c r="J28"/>
    </row>
    <row r="29" spans="1:16">
      <c r="A29"/>
      <c r="B29"/>
      <c r="C29"/>
      <c r="D29"/>
      <c r="E29"/>
      <c r="F29"/>
      <c r="J29"/>
    </row>
    <row r="30" spans="1:16">
      <c r="A30"/>
      <c r="B30"/>
      <c r="C30"/>
      <c r="D30"/>
      <c r="E30"/>
      <c r="F30"/>
      <c r="J30"/>
    </row>
    <row r="31" spans="1:16">
      <c r="A31"/>
      <c r="B31"/>
      <c r="C31"/>
      <c r="D31"/>
      <c r="E31"/>
      <c r="F31"/>
      <c r="J31"/>
    </row>
    <row r="32" spans="1:16">
      <c r="A32"/>
      <c r="B32"/>
      <c r="C32"/>
      <c r="D32"/>
      <c r="E32"/>
      <c r="F32"/>
      <c r="J32"/>
    </row>
    <row r="33" spans="1:10">
      <c r="A33"/>
      <c r="B33"/>
      <c r="C33"/>
      <c r="D33"/>
      <c r="E33"/>
      <c r="F33"/>
      <c r="J33"/>
    </row>
    <row r="34" spans="1:10">
      <c r="A34"/>
      <c r="B34"/>
      <c r="C34"/>
      <c r="D34"/>
      <c r="E34"/>
      <c r="F34"/>
      <c r="J34"/>
    </row>
    <row r="35" spans="1:10">
      <c r="A35"/>
      <c r="B35"/>
      <c r="C35"/>
      <c r="D35"/>
      <c r="E35"/>
      <c r="F35"/>
      <c r="J35"/>
    </row>
    <row r="36" spans="1:10">
      <c r="A36"/>
      <c r="B36"/>
      <c r="C36"/>
      <c r="D36"/>
      <c r="E36"/>
      <c r="F36"/>
      <c r="J36"/>
    </row>
    <row r="37" spans="1:10">
      <c r="A37"/>
      <c r="B37"/>
      <c r="C37"/>
      <c r="D37"/>
      <c r="E37"/>
      <c r="F37"/>
      <c r="J37"/>
    </row>
    <row r="38" spans="1:10">
      <c r="A38"/>
      <c r="B38"/>
      <c r="C38"/>
      <c r="D38"/>
      <c r="E38"/>
      <c r="F38"/>
      <c r="J38"/>
    </row>
    <row r="39" spans="1:10">
      <c r="A39"/>
      <c r="B39"/>
      <c r="C39"/>
      <c r="D39"/>
      <c r="E39"/>
      <c r="F39"/>
      <c r="J39"/>
    </row>
    <row r="40" spans="1:10">
      <c r="A40"/>
      <c r="B40"/>
      <c r="C40"/>
      <c r="D40"/>
      <c r="E40"/>
      <c r="F40"/>
      <c r="J40"/>
    </row>
    <row r="41" spans="1:10">
      <c r="A41"/>
      <c r="B41"/>
      <c r="C41"/>
      <c r="D41"/>
      <c r="E41"/>
      <c r="F41"/>
      <c r="J41"/>
    </row>
  </sheetData>
  <mergeCells count="1">
    <mergeCell ref="B3:F3"/>
  </mergeCells>
  <pageMargins left="0.75" right="0.75" top="0.75" bottom="0.75" header="0.3" footer="0.3"/>
  <pageSetup orientation="portrait" r:id="rId1"/>
  <headerFooter alignWithMargins="0"/>
  <ignoredErrors>
    <ignoredError sqref="B4:F4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  <pageSetUpPr fitToPage="1"/>
  </sheetPr>
  <dimension ref="A1:G14"/>
  <sheetViews>
    <sheetView showGridLines="0" zoomScaleNormal="100" workbookViewId="0">
      <selection activeCell="A44" sqref="A44"/>
    </sheetView>
  </sheetViews>
  <sheetFormatPr defaultColWidth="8.5703125" defaultRowHeight="12"/>
  <cols>
    <col min="1" max="1" width="51.5703125" customWidth="1"/>
    <col min="2" max="2" width="8" customWidth="1"/>
    <col min="3" max="3" width="8" style="547" customWidth="1"/>
    <col min="4" max="7" width="8" customWidth="1"/>
  </cols>
  <sheetData>
    <row r="1" spans="1:7" ht="15.75">
      <c r="A1" s="197" t="s">
        <v>416</v>
      </c>
    </row>
    <row r="2" spans="1:7">
      <c r="A2" s="4" t="s">
        <v>1</v>
      </c>
      <c r="B2" s="236"/>
      <c r="C2" s="236"/>
      <c r="D2" s="236"/>
    </row>
    <row r="3" spans="1:7">
      <c r="A3" s="4"/>
      <c r="B3" s="236"/>
      <c r="C3" s="236"/>
      <c r="D3" s="236"/>
    </row>
    <row r="4" spans="1:7">
      <c r="A4" s="228"/>
      <c r="B4" s="11" t="s">
        <v>4</v>
      </c>
      <c r="C4" s="11" t="s">
        <v>5</v>
      </c>
      <c r="D4" s="12" t="s">
        <v>6</v>
      </c>
      <c r="E4" s="11" t="s">
        <v>301</v>
      </c>
      <c r="F4" s="11" t="s">
        <v>347</v>
      </c>
      <c r="G4" s="11" t="s">
        <v>420</v>
      </c>
    </row>
    <row r="5" spans="1:7" ht="15" customHeight="1">
      <c r="A5" s="41" t="s">
        <v>419</v>
      </c>
      <c r="B5" s="39">
        <v>4922</v>
      </c>
      <c r="C5" s="39">
        <v>5292</v>
      </c>
      <c r="D5" s="24">
        <v>7522</v>
      </c>
      <c r="E5" s="39">
        <v>5971</v>
      </c>
      <c r="F5" s="39">
        <v>13199</v>
      </c>
      <c r="G5" s="39">
        <v>5825</v>
      </c>
    </row>
    <row r="6" spans="1:7">
      <c r="A6" s="41" t="s">
        <v>418</v>
      </c>
      <c r="B6" s="18">
        <v>0</v>
      </c>
      <c r="C6" s="18">
        <v>8062</v>
      </c>
      <c r="D6" s="19">
        <v>0</v>
      </c>
      <c r="E6" s="18">
        <v>0</v>
      </c>
      <c r="F6" s="18">
        <v>0</v>
      </c>
      <c r="G6" s="18">
        <v>0</v>
      </c>
    </row>
    <row r="7" spans="1:7" ht="15" customHeight="1" thickBot="1">
      <c r="A7" s="210" t="s">
        <v>417</v>
      </c>
      <c r="B7" s="286">
        <v>4922</v>
      </c>
      <c r="C7" s="286">
        <v>13354</v>
      </c>
      <c r="D7" s="319">
        <v>7522</v>
      </c>
      <c r="E7" s="211">
        <v>5971</v>
      </c>
      <c r="F7" s="211">
        <v>13199</v>
      </c>
      <c r="G7" s="211">
        <v>5825</v>
      </c>
    </row>
    <row r="8" spans="1:7" ht="12" customHeight="1">
      <c r="A8" s="259"/>
      <c r="B8" s="320"/>
      <c r="C8" s="320"/>
      <c r="D8" s="320"/>
      <c r="E8" s="320"/>
      <c r="F8" s="320"/>
    </row>
    <row r="9" spans="1:7">
      <c r="G9" s="321"/>
    </row>
    <row r="13" spans="1:7">
      <c r="A13" s="41"/>
    </row>
    <row r="14" spans="1:7">
      <c r="E14" s="36"/>
    </row>
  </sheetData>
  <pageMargins left="0.75" right="0.75" top="0.75" bottom="0.75" header="0.3" footer="0.3"/>
  <pageSetup orientation="portrait" r:id="rId1"/>
  <headerFooter alignWithMargins="0"/>
  <colBreaks count="1" manualBreakCount="1">
    <brk id="7" max="10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  <pageSetUpPr fitToPage="1"/>
  </sheetPr>
  <dimension ref="A1:G41"/>
  <sheetViews>
    <sheetView showGridLines="0" zoomScaleNormal="100" workbookViewId="0">
      <selection activeCell="A44" sqref="A44"/>
    </sheetView>
  </sheetViews>
  <sheetFormatPr defaultColWidth="8.5703125" defaultRowHeight="12"/>
  <cols>
    <col min="1" max="1" width="51.5703125" customWidth="1"/>
    <col min="2" max="7" width="8" customWidth="1"/>
  </cols>
  <sheetData>
    <row r="1" spans="1:7" ht="18.75">
      <c r="A1" s="354" t="s">
        <v>217</v>
      </c>
      <c r="B1" s="39"/>
    </row>
    <row r="2" spans="1:7">
      <c r="A2" s="355"/>
      <c r="B2" s="356"/>
    </row>
    <row r="3" spans="1:7">
      <c r="A3" s="357"/>
      <c r="B3" s="7" t="s">
        <v>4</v>
      </c>
      <c r="C3" s="595" t="s">
        <v>5</v>
      </c>
      <c r="D3" s="595"/>
      <c r="E3" s="8" t="s">
        <v>6</v>
      </c>
      <c r="F3" s="7" t="s">
        <v>301</v>
      </c>
      <c r="G3" s="7" t="s">
        <v>347</v>
      </c>
    </row>
    <row r="4" spans="1:7">
      <c r="A4" s="358"/>
      <c r="B4" s="11" t="s">
        <v>7</v>
      </c>
      <c r="C4" s="11" t="s">
        <v>8</v>
      </c>
      <c r="D4" s="11" t="s">
        <v>9</v>
      </c>
      <c r="E4" s="12" t="s">
        <v>10</v>
      </c>
      <c r="F4" s="11" t="s">
        <v>11</v>
      </c>
      <c r="G4" s="11" t="s">
        <v>11</v>
      </c>
    </row>
    <row r="5" spans="1:7" ht="18" customHeight="1">
      <c r="A5" s="359" t="s">
        <v>218</v>
      </c>
      <c r="B5" s="360"/>
      <c r="C5" s="83"/>
      <c r="D5" s="83"/>
      <c r="E5" s="24"/>
      <c r="F5" s="39"/>
      <c r="G5" s="39"/>
    </row>
    <row r="6" spans="1:7" ht="13.5" customHeight="1">
      <c r="A6" s="361" t="s">
        <v>61</v>
      </c>
      <c r="B6" s="360">
        <v>-705</v>
      </c>
      <c r="C6" s="121">
        <v>-494</v>
      </c>
      <c r="D6" s="121">
        <v>-1813</v>
      </c>
      <c r="E6" s="24">
        <v>-1096</v>
      </c>
      <c r="F6" s="39">
        <v>-1324</v>
      </c>
      <c r="G6" s="39">
        <v>-1494</v>
      </c>
    </row>
    <row r="7" spans="1:7" ht="13.5" customHeight="1">
      <c r="A7" s="361" t="s">
        <v>139</v>
      </c>
      <c r="B7" s="121">
        <v>-586</v>
      </c>
      <c r="C7" s="121">
        <v>-313</v>
      </c>
      <c r="D7" s="121">
        <v>-282</v>
      </c>
      <c r="E7" s="24">
        <v>-279</v>
      </c>
      <c r="F7" s="39">
        <v>-324</v>
      </c>
      <c r="G7" s="39">
        <v>-358</v>
      </c>
    </row>
    <row r="8" spans="1:7" s="203" customFormat="1" ht="13.5" customHeight="1">
      <c r="A8" s="361" t="s">
        <v>68</v>
      </c>
      <c r="B8" s="362">
        <v>2074</v>
      </c>
      <c r="C8" s="150">
        <v>-392</v>
      </c>
      <c r="D8" s="121">
        <v>243</v>
      </c>
      <c r="E8" s="24">
        <v>-910</v>
      </c>
      <c r="F8" s="39">
        <v>-1061</v>
      </c>
      <c r="G8" s="39">
        <v>-1199</v>
      </c>
    </row>
    <row r="9" spans="1:7" s="203" customFormat="1" ht="13.5" customHeight="1">
      <c r="A9" s="361" t="s">
        <v>219</v>
      </c>
      <c r="B9" s="363">
        <v>-153</v>
      </c>
      <c r="C9" s="150">
        <v>-106</v>
      </c>
      <c r="D9" s="121">
        <v>76</v>
      </c>
      <c r="E9" s="24">
        <v>-102</v>
      </c>
      <c r="F9" s="39">
        <v>-108</v>
      </c>
      <c r="G9" s="39">
        <v>-124</v>
      </c>
    </row>
    <row r="10" spans="1:7" s="203" customFormat="1" ht="13.5" customHeight="1">
      <c r="A10" s="361" t="s">
        <v>220</v>
      </c>
      <c r="B10" s="363">
        <v>-88</v>
      </c>
      <c r="C10" s="150">
        <v>-81</v>
      </c>
      <c r="D10" s="150">
        <v>54</v>
      </c>
      <c r="E10" s="24">
        <v>-37</v>
      </c>
      <c r="F10" s="39">
        <v>-54</v>
      </c>
      <c r="G10" s="39">
        <v>-64</v>
      </c>
    </row>
    <row r="11" spans="1:7" s="203" customFormat="1" ht="13.5" customHeight="1">
      <c r="A11" s="361" t="s">
        <v>221</v>
      </c>
      <c r="B11" s="363">
        <v>-87</v>
      </c>
      <c r="C11" s="150">
        <v>-78</v>
      </c>
      <c r="D11" s="150">
        <v>114</v>
      </c>
      <c r="E11" s="24">
        <v>-42</v>
      </c>
      <c r="F11" s="39">
        <v>-33</v>
      </c>
      <c r="G11" s="39">
        <v>-39</v>
      </c>
    </row>
    <row r="12" spans="1:7" s="203" customFormat="1" ht="13.5" customHeight="1">
      <c r="A12" s="131" t="s">
        <v>222</v>
      </c>
      <c r="B12" s="362">
        <v>-3</v>
      </c>
      <c r="C12" s="150">
        <v>-28</v>
      </c>
      <c r="D12" s="150">
        <v>9</v>
      </c>
      <c r="E12" s="24">
        <v>-95</v>
      </c>
      <c r="F12" s="39">
        <v>-141</v>
      </c>
      <c r="G12" s="39">
        <v>-67</v>
      </c>
    </row>
    <row r="13" spans="1:7" s="203" customFormat="1" ht="13.5" customHeight="1">
      <c r="A13" s="361" t="s">
        <v>223</v>
      </c>
      <c r="B13" s="363">
        <v>-11</v>
      </c>
      <c r="C13" s="150">
        <v>-15</v>
      </c>
      <c r="D13" s="150">
        <v>-18</v>
      </c>
      <c r="E13" s="24">
        <v>-13</v>
      </c>
      <c r="F13" s="39">
        <v>-17</v>
      </c>
      <c r="G13" s="39">
        <v>-17</v>
      </c>
    </row>
    <row r="14" spans="1:7" s="203" customFormat="1" ht="13.5" customHeight="1">
      <c r="A14" s="361" t="s">
        <v>200</v>
      </c>
      <c r="B14" s="363">
        <v>-2059</v>
      </c>
      <c r="C14" s="150">
        <v>329</v>
      </c>
      <c r="D14" s="150">
        <v>318</v>
      </c>
      <c r="E14" s="24">
        <v>18</v>
      </c>
      <c r="F14" s="39">
        <v>376</v>
      </c>
      <c r="G14" s="39">
        <v>263</v>
      </c>
    </row>
    <row r="15" spans="1:7" s="203" customFormat="1" ht="13.5" customHeight="1">
      <c r="A15" s="361" t="s">
        <v>224</v>
      </c>
      <c r="B15" s="363">
        <v>-196</v>
      </c>
      <c r="C15" s="150">
        <v>-75</v>
      </c>
      <c r="D15" s="150">
        <v>-162</v>
      </c>
      <c r="E15" s="24">
        <v>-34</v>
      </c>
      <c r="F15" s="39">
        <v>-36</v>
      </c>
      <c r="G15" s="39">
        <v>11</v>
      </c>
    </row>
    <row r="16" spans="1:7" s="203" customFormat="1" ht="13.5" customHeight="1">
      <c r="A16" s="361" t="s">
        <v>140</v>
      </c>
      <c r="B16" s="362">
        <v>-96</v>
      </c>
      <c r="C16" s="364">
        <v>-112</v>
      </c>
      <c r="D16" s="364">
        <v>-120</v>
      </c>
      <c r="E16" s="365">
        <v>-103</v>
      </c>
      <c r="F16" s="362">
        <v>-103</v>
      </c>
      <c r="G16" s="362">
        <v>-103</v>
      </c>
    </row>
    <row r="17" spans="1:7" s="203" customFormat="1" ht="13.5" customHeight="1">
      <c r="A17" s="223" t="s">
        <v>97</v>
      </c>
      <c r="B17" s="366">
        <v>-31</v>
      </c>
      <c r="C17" s="189">
        <v>-71</v>
      </c>
      <c r="D17" s="189">
        <v>-112</v>
      </c>
      <c r="E17" s="201">
        <v>-32</v>
      </c>
      <c r="F17" s="200">
        <v>-27</v>
      </c>
      <c r="G17" s="200">
        <v>-23</v>
      </c>
    </row>
    <row r="18" spans="1:7" s="369" customFormat="1" ht="15" customHeight="1">
      <c r="A18" s="367" t="s">
        <v>225</v>
      </c>
      <c r="B18" s="51">
        <v>-1941</v>
      </c>
      <c r="C18" s="368">
        <v>-1435</v>
      </c>
      <c r="D18" s="368">
        <v>-1693</v>
      </c>
      <c r="E18" s="52">
        <v>-2725</v>
      </c>
      <c r="F18" s="51">
        <v>-2852</v>
      </c>
      <c r="G18" s="51">
        <v>-3214</v>
      </c>
    </row>
    <row r="19" spans="1:7" s="203" customFormat="1" ht="18" customHeight="1">
      <c r="A19" s="359" t="s">
        <v>226</v>
      </c>
      <c r="B19" s="305"/>
      <c r="C19" s="370"/>
      <c r="D19" s="370"/>
      <c r="E19" s="24"/>
      <c r="F19" s="39"/>
      <c r="G19" s="39"/>
    </row>
    <row r="20" spans="1:7" s="203" customFormat="1" ht="13.5" customHeight="1">
      <c r="A20" s="361" t="s">
        <v>227</v>
      </c>
      <c r="B20" s="305">
        <v>-4910</v>
      </c>
      <c r="C20" s="189">
        <v>-4979</v>
      </c>
      <c r="D20" s="189">
        <v>-5101</v>
      </c>
      <c r="E20" s="24">
        <v>-5292</v>
      </c>
      <c r="F20" s="39">
        <v>-5458</v>
      </c>
      <c r="G20" s="39">
        <v>-5590</v>
      </c>
    </row>
    <row r="21" spans="1:7" s="203" customFormat="1" ht="13.5" customHeight="1">
      <c r="A21" s="361" t="s">
        <v>228</v>
      </c>
      <c r="B21" s="305">
        <v>5500</v>
      </c>
      <c r="C21" s="189">
        <v>6413</v>
      </c>
      <c r="D21" s="189">
        <v>6866</v>
      </c>
      <c r="E21" s="24">
        <v>7087</v>
      </c>
      <c r="F21" s="39">
        <v>7400</v>
      </c>
      <c r="G21" s="39">
        <v>7525</v>
      </c>
    </row>
    <row r="22" spans="1:7" s="203" customFormat="1" ht="13.5" customHeight="1">
      <c r="A22" s="361" t="s">
        <v>229</v>
      </c>
      <c r="B22" s="305">
        <v>249</v>
      </c>
      <c r="C22" s="189">
        <v>118</v>
      </c>
      <c r="D22" s="189">
        <v>120</v>
      </c>
      <c r="E22" s="24">
        <v>81</v>
      </c>
      <c r="F22" s="39">
        <v>-19</v>
      </c>
      <c r="G22" s="39">
        <v>-60</v>
      </c>
    </row>
    <row r="23" spans="1:7" s="203" customFormat="1" ht="13.5" customHeight="1">
      <c r="A23" s="361" t="s">
        <v>230</v>
      </c>
      <c r="B23" s="363">
        <v>-2418</v>
      </c>
      <c r="C23" s="150">
        <v>430</v>
      </c>
      <c r="D23" s="150">
        <v>170</v>
      </c>
      <c r="E23" s="24">
        <v>545</v>
      </c>
      <c r="F23" s="39">
        <v>878</v>
      </c>
      <c r="G23" s="39">
        <v>804</v>
      </c>
    </row>
    <row r="24" spans="1:7" s="203" customFormat="1" ht="13.5" customHeight="1">
      <c r="A24" s="361" t="s">
        <v>70</v>
      </c>
      <c r="B24" s="363">
        <v>-271</v>
      </c>
      <c r="C24" s="150">
        <v>-502</v>
      </c>
      <c r="D24" s="150">
        <v>-557</v>
      </c>
      <c r="E24" s="24">
        <v>-545</v>
      </c>
      <c r="F24" s="39">
        <v>-570</v>
      </c>
      <c r="G24" s="39">
        <v>-536</v>
      </c>
    </row>
    <row r="25" spans="1:7" s="203" customFormat="1" ht="13.5" customHeight="1">
      <c r="A25" s="361" t="s">
        <v>51</v>
      </c>
      <c r="B25" s="362">
        <v>-264</v>
      </c>
      <c r="C25" s="150">
        <v>-129</v>
      </c>
      <c r="D25" s="150">
        <v>-334</v>
      </c>
      <c r="E25" s="24">
        <v>95</v>
      </c>
      <c r="F25" s="39">
        <v>-462</v>
      </c>
      <c r="G25" s="39">
        <v>-132</v>
      </c>
    </row>
    <row r="26" spans="1:7" s="203" customFormat="1" ht="13.5" customHeight="1">
      <c r="A26" s="371" t="s">
        <v>231</v>
      </c>
      <c r="B26" s="39">
        <v>-22</v>
      </c>
      <c r="C26" s="189">
        <v>-12</v>
      </c>
      <c r="D26" s="189">
        <v>-12</v>
      </c>
      <c r="E26" s="24">
        <v>375</v>
      </c>
      <c r="F26" s="39">
        <v>0</v>
      </c>
      <c r="G26" s="39">
        <v>0</v>
      </c>
    </row>
    <row r="27" spans="1:7" s="203" customFormat="1" ht="13.5" customHeight="1">
      <c r="A27" s="371" t="s">
        <v>232</v>
      </c>
      <c r="B27" s="39">
        <v>-20</v>
      </c>
      <c r="C27" s="189">
        <v>-51</v>
      </c>
      <c r="D27" s="189">
        <v>-37</v>
      </c>
      <c r="E27" s="24">
        <v>57</v>
      </c>
      <c r="F27" s="39">
        <v>-4</v>
      </c>
      <c r="G27" s="39">
        <v>0</v>
      </c>
    </row>
    <row r="28" spans="1:7" s="203" customFormat="1" ht="13.5" customHeight="1">
      <c r="A28" s="371" t="s">
        <v>233</v>
      </c>
      <c r="B28" s="39">
        <v>-365</v>
      </c>
      <c r="C28" s="189">
        <v>-289</v>
      </c>
      <c r="D28" s="189">
        <v>-111</v>
      </c>
      <c r="E28" s="24">
        <v>-322</v>
      </c>
      <c r="F28" s="39">
        <v>-336</v>
      </c>
      <c r="G28" s="39">
        <v>-347</v>
      </c>
    </row>
    <row r="29" spans="1:7" s="203" customFormat="1" ht="13.5" customHeight="1">
      <c r="A29" s="361" t="s">
        <v>374</v>
      </c>
      <c r="B29" s="39">
        <v>-148</v>
      </c>
      <c r="C29" s="150">
        <v>-227</v>
      </c>
      <c r="D29" s="150">
        <v>-248</v>
      </c>
      <c r="E29" s="24">
        <v>-160</v>
      </c>
      <c r="F29" s="39">
        <v>-166</v>
      </c>
      <c r="G29" s="39">
        <v>-162</v>
      </c>
    </row>
    <row r="30" spans="1:7" s="203" customFormat="1" ht="13.5" customHeight="1">
      <c r="A30" s="372" t="s">
        <v>373</v>
      </c>
      <c r="B30" s="39">
        <v>401</v>
      </c>
      <c r="C30" s="189">
        <v>144</v>
      </c>
      <c r="D30" s="189">
        <v>608</v>
      </c>
      <c r="E30" s="24">
        <v>158</v>
      </c>
      <c r="F30" s="39">
        <v>159</v>
      </c>
      <c r="G30" s="39">
        <v>161</v>
      </c>
    </row>
    <row r="31" spans="1:7" s="369" customFormat="1" ht="15" customHeight="1">
      <c r="A31" s="367" t="s">
        <v>234</v>
      </c>
      <c r="B31" s="51">
        <v>-2268</v>
      </c>
      <c r="C31" s="368">
        <v>917</v>
      </c>
      <c r="D31" s="368">
        <v>1364</v>
      </c>
      <c r="E31" s="52">
        <v>2080</v>
      </c>
      <c r="F31" s="51">
        <v>1421</v>
      </c>
      <c r="G31" s="51">
        <v>1663</v>
      </c>
    </row>
    <row r="32" spans="1:7" s="369" customFormat="1" ht="18" customHeight="1">
      <c r="A32" s="359" t="s">
        <v>52</v>
      </c>
      <c r="B32" s="23"/>
      <c r="C32" s="34"/>
      <c r="D32" s="34"/>
      <c r="E32" s="19"/>
      <c r="F32" s="23"/>
      <c r="G32" s="23"/>
    </row>
    <row r="33" spans="1:7" s="369" customFormat="1" ht="13.5" customHeight="1">
      <c r="A33" s="371" t="s">
        <v>235</v>
      </c>
      <c r="B33" s="18">
        <v>-3492</v>
      </c>
      <c r="C33" s="150">
        <v>-4297</v>
      </c>
      <c r="D33" s="150">
        <v>-3789</v>
      </c>
      <c r="E33" s="19">
        <v>-4559</v>
      </c>
      <c r="F33" s="18">
        <v>-4228</v>
      </c>
      <c r="G33" s="18">
        <v>-3216</v>
      </c>
    </row>
    <row r="34" spans="1:7" s="369" customFormat="1" ht="13.5" customHeight="1">
      <c r="A34" s="371" t="s">
        <v>350</v>
      </c>
      <c r="B34" s="18">
        <v>0</v>
      </c>
      <c r="C34" s="150">
        <v>750</v>
      </c>
      <c r="D34" s="150">
        <v>650</v>
      </c>
      <c r="E34" s="19">
        <v>800</v>
      </c>
      <c r="F34" s="18">
        <v>800</v>
      </c>
      <c r="G34" s="18">
        <v>700</v>
      </c>
    </row>
    <row r="35" spans="1:7" s="369" customFormat="1" ht="13.5" customHeight="1">
      <c r="A35" s="361" t="s">
        <v>236</v>
      </c>
      <c r="B35" s="362">
        <v>-83</v>
      </c>
      <c r="C35" s="150">
        <v>-89</v>
      </c>
      <c r="D35" s="150">
        <v>-89</v>
      </c>
      <c r="E35" s="24">
        <v>-92</v>
      </c>
      <c r="F35" s="39">
        <v>-98</v>
      </c>
      <c r="G35" s="39">
        <v>-103</v>
      </c>
    </row>
    <row r="36" spans="1:7" s="369" customFormat="1" ht="13.5" customHeight="1">
      <c r="A36" s="371" t="s">
        <v>57</v>
      </c>
      <c r="B36" s="150">
        <v>43</v>
      </c>
      <c r="C36" s="150">
        <v>81</v>
      </c>
      <c r="D36" s="150">
        <v>56</v>
      </c>
      <c r="E36" s="19">
        <v>64</v>
      </c>
      <c r="F36" s="150">
        <v>1</v>
      </c>
      <c r="G36" s="150">
        <v>0</v>
      </c>
    </row>
    <row r="37" spans="1:7" s="369" customFormat="1" ht="13.5" customHeight="1">
      <c r="A37" s="361" t="s">
        <v>375</v>
      </c>
      <c r="B37" s="39">
        <v>1118</v>
      </c>
      <c r="C37" s="189">
        <v>1304</v>
      </c>
      <c r="D37" s="189">
        <v>1249</v>
      </c>
      <c r="E37" s="24">
        <v>1302</v>
      </c>
      <c r="F37" s="39">
        <v>1360</v>
      </c>
      <c r="G37" s="39">
        <v>1400</v>
      </c>
    </row>
    <row r="38" spans="1:7" s="369" customFormat="1" ht="13.5" customHeight="1">
      <c r="A38" s="361" t="s">
        <v>237</v>
      </c>
      <c r="B38" s="39">
        <v>4</v>
      </c>
      <c r="C38" s="189">
        <v>1</v>
      </c>
      <c r="D38" s="189">
        <v>2</v>
      </c>
      <c r="E38" s="24">
        <v>0</v>
      </c>
      <c r="F38" s="39">
        <v>0</v>
      </c>
      <c r="G38" s="39">
        <v>0</v>
      </c>
    </row>
    <row r="39" spans="1:7" s="203" customFormat="1" ht="15" customHeight="1" thickBot="1">
      <c r="A39" s="373" t="s">
        <v>238</v>
      </c>
      <c r="B39" s="31">
        <v>-2410</v>
      </c>
      <c r="C39" s="212">
        <v>-2250</v>
      </c>
      <c r="D39" s="212">
        <v>-1921</v>
      </c>
      <c r="E39" s="32">
        <v>-2485</v>
      </c>
      <c r="F39" s="31">
        <v>-2165</v>
      </c>
      <c r="G39" s="31">
        <v>-1219</v>
      </c>
    </row>
    <row r="40" spans="1:7" s="203" customFormat="1" ht="18" customHeight="1">
      <c r="A40" s="602"/>
      <c r="B40" s="602"/>
      <c r="C40" s="602"/>
      <c r="D40" s="602"/>
      <c r="E40" s="602"/>
      <c r="F40" s="602"/>
      <c r="G40" s="602"/>
    </row>
    <row r="41" spans="1:7">
      <c r="A41" s="374"/>
      <c r="B41" s="36"/>
      <c r="C41" s="36"/>
      <c r="D41" s="36"/>
    </row>
  </sheetData>
  <mergeCells count="2">
    <mergeCell ref="C3:D3"/>
    <mergeCell ref="A40:G40"/>
  </mergeCells>
  <pageMargins left="0.75" right="0.75" top="0.75" bottom="0.75" header="0.3" footer="0.3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  <pageSetUpPr fitToPage="1"/>
  </sheetPr>
  <dimension ref="A1:G41"/>
  <sheetViews>
    <sheetView showGridLines="0" zoomScaleNormal="100" workbookViewId="0">
      <selection activeCell="A44" sqref="A44"/>
    </sheetView>
  </sheetViews>
  <sheetFormatPr defaultColWidth="9" defaultRowHeight="11.25"/>
  <cols>
    <col min="1" max="1" width="51.5703125" style="40" customWidth="1"/>
    <col min="2" max="2" width="8" style="39" customWidth="1"/>
    <col min="3" max="7" width="8" style="40" customWidth="1"/>
    <col min="8" max="16384" width="9" style="40"/>
  </cols>
  <sheetData>
    <row r="1" spans="1:7" ht="18.75">
      <c r="A1" s="1" t="s">
        <v>180</v>
      </c>
    </row>
    <row r="2" spans="1:7">
      <c r="A2" s="41" t="s">
        <v>1</v>
      </c>
    </row>
    <row r="3" spans="1:7">
      <c r="B3" s="89"/>
      <c r="C3" s="236"/>
      <c r="D3" s="236"/>
    </row>
    <row r="4" spans="1:7" s="237" customFormat="1" ht="12" customHeight="1">
      <c r="A4" s="6"/>
      <c r="B4" s="7" t="s">
        <v>4</v>
      </c>
      <c r="C4" s="595" t="s">
        <v>5</v>
      </c>
      <c r="D4" s="595"/>
      <c r="E4" s="8" t="s">
        <v>6</v>
      </c>
      <c r="F4" s="7" t="s">
        <v>301</v>
      </c>
      <c r="G4" s="7" t="s">
        <v>347</v>
      </c>
    </row>
    <row r="5" spans="1:7" s="237" customFormat="1" ht="12" customHeight="1">
      <c r="A5" s="9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</row>
    <row r="6" spans="1:7" s="174" customFormat="1" ht="15" customHeight="1">
      <c r="A6" s="268" t="s">
        <v>98</v>
      </c>
      <c r="B6" s="530">
        <v>583</v>
      </c>
      <c r="C6" s="530">
        <v>616</v>
      </c>
      <c r="D6" s="530">
        <v>617</v>
      </c>
      <c r="E6" s="310">
        <v>492</v>
      </c>
      <c r="F6" s="309">
        <v>394</v>
      </c>
      <c r="G6" s="309">
        <v>326</v>
      </c>
    </row>
    <row r="7" spans="1:7" s="174" customFormat="1" ht="12.75" customHeight="1">
      <c r="A7" s="268" t="s">
        <v>351</v>
      </c>
      <c r="B7" s="530">
        <v>22</v>
      </c>
      <c r="C7" s="530">
        <v>8</v>
      </c>
      <c r="D7" s="309">
        <v>8</v>
      </c>
      <c r="E7" s="310">
        <v>7</v>
      </c>
      <c r="F7" s="309">
        <v>7</v>
      </c>
      <c r="G7" s="309">
        <v>5</v>
      </c>
    </row>
    <row r="8" spans="1:7" s="174" customFormat="1" ht="12.75" customHeight="1">
      <c r="A8" s="270" t="s">
        <v>352</v>
      </c>
      <c r="B8" s="530">
        <v>77</v>
      </c>
      <c r="C8" s="530">
        <v>51</v>
      </c>
      <c r="D8" s="530">
        <v>49</v>
      </c>
      <c r="E8" s="19">
        <v>64</v>
      </c>
      <c r="F8" s="18">
        <v>76</v>
      </c>
      <c r="G8" s="18">
        <v>80</v>
      </c>
    </row>
    <row r="9" spans="1:7" s="174" customFormat="1" ht="12.75" customHeight="1">
      <c r="A9" s="268" t="s">
        <v>99</v>
      </c>
      <c r="B9" s="530">
        <v>0</v>
      </c>
      <c r="C9" s="530">
        <v>9</v>
      </c>
      <c r="D9" s="530">
        <v>18</v>
      </c>
      <c r="E9" s="19">
        <v>19</v>
      </c>
      <c r="F9" s="18">
        <v>18</v>
      </c>
      <c r="G9" s="18">
        <v>13</v>
      </c>
    </row>
    <row r="10" spans="1:7" s="174" customFormat="1" ht="12.75" customHeight="1">
      <c r="A10" s="268" t="s">
        <v>354</v>
      </c>
      <c r="B10" s="530">
        <v>35</v>
      </c>
      <c r="C10" s="530">
        <v>112</v>
      </c>
      <c r="D10" s="530">
        <v>99</v>
      </c>
      <c r="E10" s="19">
        <v>138</v>
      </c>
      <c r="F10" s="18">
        <v>88</v>
      </c>
      <c r="G10" s="18">
        <v>54</v>
      </c>
    </row>
    <row r="11" spans="1:7" s="174" customFormat="1" ht="12.75" customHeight="1">
      <c r="A11" s="268" t="s">
        <v>100</v>
      </c>
      <c r="B11" s="530">
        <v>758</v>
      </c>
      <c r="C11" s="530">
        <v>937</v>
      </c>
      <c r="D11" s="530">
        <v>753</v>
      </c>
      <c r="E11" s="310">
        <v>765</v>
      </c>
      <c r="F11" s="309">
        <v>797</v>
      </c>
      <c r="G11" s="309">
        <v>627</v>
      </c>
    </row>
    <row r="12" spans="1:7" s="174" customFormat="1" ht="12.75" customHeight="1">
      <c r="A12" s="268" t="s">
        <v>101</v>
      </c>
      <c r="B12" s="530">
        <v>56</v>
      </c>
      <c r="C12" s="530">
        <v>73</v>
      </c>
      <c r="D12" s="530">
        <v>79</v>
      </c>
      <c r="E12" s="310">
        <v>221</v>
      </c>
      <c r="F12" s="309">
        <v>220</v>
      </c>
      <c r="G12" s="309">
        <v>334</v>
      </c>
    </row>
    <row r="13" spans="1:7" s="174" customFormat="1" ht="12.75" customHeight="1">
      <c r="A13" s="270" t="s">
        <v>355</v>
      </c>
      <c r="B13" s="530">
        <v>43</v>
      </c>
      <c r="C13" s="530">
        <v>91</v>
      </c>
      <c r="D13" s="530">
        <v>77</v>
      </c>
      <c r="E13" s="310">
        <v>112</v>
      </c>
      <c r="F13" s="309">
        <v>36</v>
      </c>
      <c r="G13" s="309">
        <v>19</v>
      </c>
    </row>
    <row r="14" spans="1:7" s="174" customFormat="1" ht="12.75" customHeight="1">
      <c r="A14" s="270" t="s">
        <v>356</v>
      </c>
      <c r="B14" s="530">
        <v>62</v>
      </c>
      <c r="C14" s="530">
        <v>62</v>
      </c>
      <c r="D14" s="530">
        <v>65</v>
      </c>
      <c r="E14" s="310">
        <v>96</v>
      </c>
      <c r="F14" s="309">
        <v>112</v>
      </c>
      <c r="G14" s="309">
        <v>55</v>
      </c>
    </row>
    <row r="15" spans="1:7" ht="12.75" customHeight="1">
      <c r="A15" s="268" t="s">
        <v>103</v>
      </c>
      <c r="B15" s="530">
        <v>921</v>
      </c>
      <c r="C15" s="530">
        <v>1296</v>
      </c>
      <c r="D15" s="530">
        <v>989</v>
      </c>
      <c r="E15" s="310">
        <v>1273</v>
      </c>
      <c r="F15" s="309">
        <v>1624</v>
      </c>
      <c r="G15" s="309">
        <v>1330</v>
      </c>
    </row>
    <row r="16" spans="1:7" s="174" customFormat="1" ht="12.75" customHeight="1">
      <c r="A16" s="268" t="s">
        <v>104</v>
      </c>
      <c r="B16" s="530">
        <v>26</v>
      </c>
      <c r="C16" s="530">
        <v>19</v>
      </c>
      <c r="D16" s="530">
        <v>32</v>
      </c>
      <c r="E16" s="310">
        <v>16</v>
      </c>
      <c r="F16" s="309">
        <v>8</v>
      </c>
      <c r="G16" s="309">
        <v>8</v>
      </c>
    </row>
    <row r="17" spans="1:7" s="174" customFormat="1" ht="12.75" customHeight="1">
      <c r="A17" s="268" t="s">
        <v>105</v>
      </c>
      <c r="B17" s="530">
        <v>221</v>
      </c>
      <c r="C17" s="530">
        <v>402</v>
      </c>
      <c r="D17" s="530">
        <v>357</v>
      </c>
      <c r="E17" s="310">
        <v>423</v>
      </c>
      <c r="F17" s="309">
        <v>392</v>
      </c>
      <c r="G17" s="309">
        <v>302</v>
      </c>
    </row>
    <row r="18" spans="1:7" s="174" customFormat="1" ht="12.75" customHeight="1">
      <c r="A18" s="268" t="s">
        <v>357</v>
      </c>
      <c r="B18" s="530">
        <v>1</v>
      </c>
      <c r="C18" s="530">
        <v>4</v>
      </c>
      <c r="D18" s="530">
        <v>4</v>
      </c>
      <c r="E18" s="310">
        <v>2</v>
      </c>
      <c r="F18" s="309">
        <v>1</v>
      </c>
      <c r="G18" s="309">
        <v>1</v>
      </c>
    </row>
    <row r="19" spans="1:7" s="174" customFormat="1" ht="12.75" customHeight="1">
      <c r="A19" s="268" t="s">
        <v>358</v>
      </c>
      <c r="B19" s="530">
        <v>12</v>
      </c>
      <c r="C19" s="530">
        <v>17</v>
      </c>
      <c r="D19" s="530">
        <v>19</v>
      </c>
      <c r="E19" s="310">
        <v>18</v>
      </c>
      <c r="F19" s="309">
        <v>6</v>
      </c>
      <c r="G19" s="309">
        <v>5</v>
      </c>
    </row>
    <row r="20" spans="1:7" s="174" customFormat="1" ht="12.75" customHeight="1">
      <c r="A20" s="268" t="s">
        <v>360</v>
      </c>
      <c r="B20" s="530">
        <v>5</v>
      </c>
      <c r="C20" s="530">
        <v>0</v>
      </c>
      <c r="D20" s="530">
        <v>10</v>
      </c>
      <c r="E20" s="310">
        <v>18</v>
      </c>
      <c r="F20" s="530">
        <v>15</v>
      </c>
      <c r="G20" s="530">
        <v>0</v>
      </c>
    </row>
    <row r="21" spans="1:7" s="174" customFormat="1" ht="12.75" customHeight="1">
      <c r="A21" s="268" t="s">
        <v>106</v>
      </c>
      <c r="B21" s="530">
        <v>1704</v>
      </c>
      <c r="C21" s="530">
        <v>779</v>
      </c>
      <c r="D21" s="530">
        <v>773</v>
      </c>
      <c r="E21" s="310">
        <v>783</v>
      </c>
      <c r="F21" s="309">
        <v>1006</v>
      </c>
      <c r="G21" s="309">
        <v>1088</v>
      </c>
    </row>
    <row r="22" spans="1:7" s="174" customFormat="1" ht="12.75" customHeight="1">
      <c r="A22" s="270" t="s">
        <v>361</v>
      </c>
      <c r="B22" s="530">
        <v>6</v>
      </c>
      <c r="C22" s="530">
        <v>4</v>
      </c>
      <c r="D22" s="530">
        <v>8</v>
      </c>
      <c r="E22" s="310">
        <v>6</v>
      </c>
      <c r="F22" s="309">
        <v>5</v>
      </c>
      <c r="G22" s="309">
        <v>5</v>
      </c>
    </row>
    <row r="23" spans="1:7" s="174" customFormat="1" ht="12.75" customHeight="1">
      <c r="A23" s="270" t="s">
        <v>353</v>
      </c>
      <c r="B23" s="530">
        <v>139</v>
      </c>
      <c r="C23" s="530">
        <v>118</v>
      </c>
      <c r="D23" s="530">
        <v>114</v>
      </c>
      <c r="E23" s="310">
        <v>142</v>
      </c>
      <c r="F23" s="309">
        <v>114</v>
      </c>
      <c r="G23" s="309">
        <v>224</v>
      </c>
    </row>
    <row r="24" spans="1:7" s="174" customFormat="1" ht="12.75" customHeight="1">
      <c r="A24" s="270" t="s">
        <v>362</v>
      </c>
      <c r="B24" s="530">
        <v>11</v>
      </c>
      <c r="C24" s="530">
        <v>13</v>
      </c>
      <c r="D24" s="530">
        <v>33</v>
      </c>
      <c r="E24" s="310">
        <v>46</v>
      </c>
      <c r="F24" s="309">
        <v>55</v>
      </c>
      <c r="G24" s="309">
        <v>52</v>
      </c>
    </row>
    <row r="25" spans="1:7" ht="12.75" customHeight="1">
      <c r="A25" s="270" t="s">
        <v>364</v>
      </c>
      <c r="B25" s="530">
        <v>65</v>
      </c>
      <c r="C25" s="530">
        <v>249</v>
      </c>
      <c r="D25" s="530">
        <v>100</v>
      </c>
      <c r="E25" s="310">
        <v>361</v>
      </c>
      <c r="F25" s="309">
        <v>196</v>
      </c>
      <c r="G25" s="309">
        <v>194</v>
      </c>
    </row>
    <row r="26" spans="1:7" ht="12.75" customHeight="1">
      <c r="A26" s="270" t="s">
        <v>365</v>
      </c>
      <c r="B26" s="530">
        <v>1856</v>
      </c>
      <c r="C26" s="530">
        <v>2656</v>
      </c>
      <c r="D26" s="530">
        <v>2222</v>
      </c>
      <c r="E26" s="310">
        <v>2973</v>
      </c>
      <c r="F26" s="309">
        <v>2775</v>
      </c>
      <c r="G26" s="309">
        <v>2258</v>
      </c>
    </row>
    <row r="27" spans="1:7" s="174" customFormat="1" ht="12.75" customHeight="1">
      <c r="A27" s="268" t="s">
        <v>108</v>
      </c>
      <c r="B27" s="530">
        <v>14</v>
      </c>
      <c r="C27" s="530">
        <v>18</v>
      </c>
      <c r="D27" s="530">
        <v>17</v>
      </c>
      <c r="E27" s="310">
        <v>28</v>
      </c>
      <c r="F27" s="309">
        <v>27</v>
      </c>
      <c r="G27" s="309">
        <v>27</v>
      </c>
    </row>
    <row r="28" spans="1:7" s="174" customFormat="1" ht="12.75" customHeight="1">
      <c r="A28" s="268" t="s">
        <v>181</v>
      </c>
      <c r="B28" s="530">
        <v>3</v>
      </c>
      <c r="C28" s="530">
        <v>2</v>
      </c>
      <c r="D28" s="530">
        <v>3</v>
      </c>
      <c r="E28" s="310">
        <v>2</v>
      </c>
      <c r="F28" s="309">
        <v>2</v>
      </c>
      <c r="G28" s="309">
        <v>2</v>
      </c>
    </row>
    <row r="29" spans="1:7" s="174" customFormat="1" ht="15" customHeight="1" thickBot="1">
      <c r="A29" s="30" t="s">
        <v>48</v>
      </c>
      <c r="B29" s="179">
        <v>6622</v>
      </c>
      <c r="C29" s="56">
        <v>7534</v>
      </c>
      <c r="D29" s="311">
        <v>6446</v>
      </c>
      <c r="E29" s="180">
        <v>8005</v>
      </c>
      <c r="F29" s="56">
        <v>7976</v>
      </c>
      <c r="G29" s="56">
        <v>7008</v>
      </c>
    </row>
    <row r="30" spans="1:7" s="174" customFormat="1" ht="12" customHeight="1"/>
    <row r="31" spans="1:7" s="174" customFormat="1" ht="36" customHeight="1"/>
    <row r="32" spans="1:7" s="174" customFormat="1" ht="12" customHeight="1"/>
    <row r="33" spans="1:7" s="174" customFormat="1" ht="12" customHeight="1">
      <c r="B33" s="48"/>
    </row>
    <row r="34" spans="1:7" s="174" customFormat="1" ht="14.25" customHeight="1">
      <c r="A34" s="308"/>
      <c r="B34"/>
      <c r="C34"/>
      <c r="D34"/>
      <c r="E34"/>
      <c r="F34"/>
    </row>
    <row r="37" spans="1:7" ht="12.75">
      <c r="A37" s="303"/>
    </row>
    <row r="41" spans="1:7" ht="41.25" customHeight="1">
      <c r="A41" s="603"/>
      <c r="B41" s="603"/>
      <c r="C41" s="603"/>
      <c r="D41" s="603"/>
      <c r="E41" s="603"/>
      <c r="F41" s="603"/>
      <c r="G41" s="603"/>
    </row>
  </sheetData>
  <mergeCells count="2">
    <mergeCell ref="C4:D4"/>
    <mergeCell ref="A41:G41"/>
  </mergeCells>
  <pageMargins left="0.75" right="0.75" top="0.75" bottom="0.75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  <pageSetUpPr fitToPage="1"/>
  </sheetPr>
  <dimension ref="A1:N51"/>
  <sheetViews>
    <sheetView showGridLines="0" zoomScaleNormal="100" workbookViewId="0">
      <selection activeCell="A44" sqref="A44"/>
    </sheetView>
  </sheetViews>
  <sheetFormatPr defaultColWidth="9" defaultRowHeight="11.25"/>
  <cols>
    <col min="1" max="1" width="51.5703125" style="40" customWidth="1"/>
    <col min="2" max="2" width="8" style="39" customWidth="1"/>
    <col min="3" max="7" width="8" style="40" customWidth="1"/>
    <col min="8" max="16384" width="9" style="40"/>
  </cols>
  <sheetData>
    <row r="1" spans="1:14" ht="15.75">
      <c r="A1" s="1" t="s">
        <v>182</v>
      </c>
    </row>
    <row r="2" spans="1:14" ht="12">
      <c r="A2" s="41" t="s">
        <v>1</v>
      </c>
      <c r="J2"/>
      <c r="K2"/>
      <c r="L2"/>
      <c r="M2"/>
      <c r="N2"/>
    </row>
    <row r="3" spans="1:14" ht="12">
      <c r="B3" s="89"/>
      <c r="C3" s="236"/>
      <c r="D3" s="236"/>
      <c r="J3"/>
      <c r="K3"/>
      <c r="L3"/>
      <c r="M3"/>
      <c r="N3"/>
    </row>
    <row r="4" spans="1:14" s="237" customFormat="1" ht="12" customHeight="1">
      <c r="A4" s="6"/>
      <c r="B4" s="7" t="s">
        <v>4</v>
      </c>
      <c r="C4" s="595" t="s">
        <v>5</v>
      </c>
      <c r="D4" s="595"/>
      <c r="E4" s="8" t="s">
        <v>6</v>
      </c>
      <c r="F4" s="7" t="s">
        <v>301</v>
      </c>
      <c r="G4" s="7" t="s">
        <v>347</v>
      </c>
      <c r="J4"/>
      <c r="K4"/>
      <c r="L4"/>
      <c r="M4"/>
      <c r="N4"/>
    </row>
    <row r="5" spans="1:14" s="237" customFormat="1" ht="12" customHeight="1">
      <c r="A5" s="9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  <c r="J5"/>
      <c r="K5"/>
      <c r="L5"/>
      <c r="M5"/>
      <c r="N5"/>
    </row>
    <row r="6" spans="1:14" ht="3.75" customHeight="1">
      <c r="A6" s="266"/>
      <c r="B6" s="305"/>
      <c r="C6" s="84"/>
      <c r="D6" s="84"/>
      <c r="E6" s="304"/>
      <c r="J6"/>
      <c r="K6"/>
      <c r="L6"/>
      <c r="M6"/>
      <c r="N6"/>
    </row>
    <row r="7" spans="1:14" ht="12.75" customHeight="1">
      <c r="A7" s="268" t="s">
        <v>351</v>
      </c>
      <c r="B7" s="305">
        <v>22</v>
      </c>
      <c r="C7" s="96">
        <v>6</v>
      </c>
      <c r="D7" s="96">
        <v>6</v>
      </c>
      <c r="E7" s="304">
        <v>7</v>
      </c>
      <c r="F7" s="40">
        <v>6</v>
      </c>
      <c r="G7" s="40">
        <v>4</v>
      </c>
      <c r="J7"/>
      <c r="K7"/>
      <c r="L7"/>
      <c r="M7"/>
      <c r="N7"/>
    </row>
    <row r="8" spans="1:14" s="174" customFormat="1" ht="12.75" customHeight="1">
      <c r="A8" s="270" t="s">
        <v>352</v>
      </c>
      <c r="B8" s="309">
        <v>73</v>
      </c>
      <c r="C8" s="96">
        <v>44</v>
      </c>
      <c r="D8" s="96">
        <v>44</v>
      </c>
      <c r="E8" s="310">
        <v>52</v>
      </c>
      <c r="F8" s="309">
        <v>70</v>
      </c>
      <c r="G8" s="309">
        <v>73</v>
      </c>
      <c r="J8"/>
      <c r="K8"/>
      <c r="L8"/>
      <c r="M8"/>
      <c r="N8"/>
    </row>
    <row r="9" spans="1:14" s="174" customFormat="1" ht="12.75" customHeight="1">
      <c r="A9" s="268" t="s">
        <v>99</v>
      </c>
      <c r="B9" s="309">
        <v>0</v>
      </c>
      <c r="C9" s="96">
        <v>1</v>
      </c>
      <c r="D9" s="96">
        <v>3</v>
      </c>
      <c r="E9" s="310">
        <v>9</v>
      </c>
      <c r="F9" s="309">
        <v>8</v>
      </c>
      <c r="G9" s="309">
        <v>8</v>
      </c>
      <c r="J9"/>
      <c r="K9"/>
      <c r="L9"/>
      <c r="M9"/>
      <c r="N9"/>
    </row>
    <row r="10" spans="1:14" s="174" customFormat="1" ht="12.75" customHeight="1">
      <c r="A10" s="268" t="s">
        <v>354</v>
      </c>
      <c r="B10" s="39">
        <v>34</v>
      </c>
      <c r="C10" s="96">
        <v>110</v>
      </c>
      <c r="D10" s="96">
        <v>98</v>
      </c>
      <c r="E10" s="24">
        <v>136</v>
      </c>
      <c r="F10" s="39">
        <v>86</v>
      </c>
      <c r="G10" s="39">
        <v>52</v>
      </c>
      <c r="J10"/>
      <c r="K10"/>
      <c r="L10"/>
      <c r="M10"/>
      <c r="N10"/>
    </row>
    <row r="11" spans="1:14" s="174" customFormat="1" ht="12.75" customHeight="1">
      <c r="A11" s="268" t="s">
        <v>100</v>
      </c>
      <c r="B11" s="39">
        <v>11</v>
      </c>
      <c r="C11" s="96">
        <v>8</v>
      </c>
      <c r="D11" s="96">
        <v>10</v>
      </c>
      <c r="E11" s="24">
        <v>3</v>
      </c>
      <c r="F11" s="39">
        <v>0</v>
      </c>
      <c r="G11" s="39">
        <v>1</v>
      </c>
      <c r="J11"/>
      <c r="K11"/>
      <c r="L11"/>
      <c r="M11"/>
      <c r="N11"/>
    </row>
    <row r="12" spans="1:14" s="174" customFormat="1" ht="12.75" customHeight="1">
      <c r="A12" s="268" t="s">
        <v>101</v>
      </c>
      <c r="B12" s="309">
        <v>43</v>
      </c>
      <c r="C12" s="96">
        <v>58</v>
      </c>
      <c r="D12" s="96">
        <v>69</v>
      </c>
      <c r="E12" s="310">
        <v>205</v>
      </c>
      <c r="F12" s="309">
        <v>205</v>
      </c>
      <c r="G12" s="309">
        <v>319</v>
      </c>
      <c r="J12"/>
      <c r="K12"/>
      <c r="L12"/>
      <c r="M12"/>
      <c r="N12"/>
    </row>
    <row r="13" spans="1:14" s="174" customFormat="1" ht="12.75" customHeight="1">
      <c r="A13" s="270" t="s">
        <v>355</v>
      </c>
      <c r="B13" s="309">
        <v>33</v>
      </c>
      <c r="C13" s="96">
        <v>43</v>
      </c>
      <c r="D13" s="96">
        <v>48</v>
      </c>
      <c r="E13" s="310">
        <v>52</v>
      </c>
      <c r="F13" s="309">
        <v>9</v>
      </c>
      <c r="G13" s="309">
        <v>9</v>
      </c>
      <c r="J13"/>
      <c r="K13"/>
      <c r="L13"/>
      <c r="M13"/>
      <c r="N13"/>
    </row>
    <row r="14" spans="1:14" s="174" customFormat="1" ht="12.75" customHeight="1">
      <c r="A14" s="270" t="s">
        <v>356</v>
      </c>
      <c r="B14" s="309">
        <v>2</v>
      </c>
      <c r="C14" s="96">
        <v>7</v>
      </c>
      <c r="D14" s="96">
        <v>4</v>
      </c>
      <c r="E14" s="310">
        <v>11</v>
      </c>
      <c r="F14" s="309">
        <v>6</v>
      </c>
      <c r="G14" s="309">
        <v>1</v>
      </c>
      <c r="J14"/>
      <c r="K14"/>
      <c r="L14"/>
      <c r="M14"/>
      <c r="N14"/>
    </row>
    <row r="15" spans="1:14" s="174" customFormat="1" ht="12.75" customHeight="1">
      <c r="A15" s="174" t="s">
        <v>103</v>
      </c>
      <c r="B15" s="309">
        <v>4</v>
      </c>
      <c r="C15" s="96">
        <v>51</v>
      </c>
      <c r="D15" s="96">
        <v>12</v>
      </c>
      <c r="E15" s="310">
        <v>89</v>
      </c>
      <c r="F15" s="309">
        <v>240</v>
      </c>
      <c r="G15" s="309">
        <v>100</v>
      </c>
      <c r="J15"/>
      <c r="K15"/>
      <c r="L15"/>
      <c r="M15"/>
      <c r="N15"/>
    </row>
    <row r="16" spans="1:14" s="174" customFormat="1" ht="12.75" customHeight="1">
      <c r="A16" s="268" t="s">
        <v>104</v>
      </c>
      <c r="B16" s="309">
        <v>26</v>
      </c>
      <c r="C16" s="96">
        <v>19</v>
      </c>
      <c r="D16" s="96">
        <v>32</v>
      </c>
      <c r="E16" s="310">
        <v>16</v>
      </c>
      <c r="F16" s="309">
        <v>8</v>
      </c>
      <c r="G16" s="309">
        <v>8</v>
      </c>
      <c r="J16"/>
      <c r="K16"/>
      <c r="L16"/>
      <c r="M16"/>
      <c r="N16"/>
    </row>
    <row r="17" spans="1:14" ht="12.75" customHeight="1">
      <c r="A17" s="268" t="s">
        <v>105</v>
      </c>
      <c r="B17" s="309">
        <v>10</v>
      </c>
      <c r="C17" s="96">
        <v>16</v>
      </c>
      <c r="D17" s="96">
        <v>0</v>
      </c>
      <c r="E17" s="310">
        <v>3</v>
      </c>
      <c r="F17" s="309">
        <v>0</v>
      </c>
      <c r="G17" s="309">
        <v>0</v>
      </c>
      <c r="J17"/>
      <c r="K17"/>
      <c r="L17"/>
      <c r="M17"/>
      <c r="N17"/>
    </row>
    <row r="18" spans="1:14" ht="12.75" customHeight="1">
      <c r="A18" s="269" t="s">
        <v>360</v>
      </c>
      <c r="B18" s="309">
        <v>1</v>
      </c>
      <c r="C18" s="96">
        <v>0</v>
      </c>
      <c r="D18" s="96">
        <v>10</v>
      </c>
      <c r="E18" s="310">
        <v>18</v>
      </c>
      <c r="F18" s="309">
        <v>15</v>
      </c>
      <c r="G18" s="309">
        <v>0</v>
      </c>
      <c r="J18"/>
      <c r="K18"/>
      <c r="L18"/>
      <c r="M18"/>
      <c r="N18"/>
    </row>
    <row r="19" spans="1:14" ht="12.75" customHeight="1">
      <c r="A19" s="268" t="s">
        <v>106</v>
      </c>
      <c r="B19" s="309">
        <v>1702</v>
      </c>
      <c r="C19" s="96">
        <v>778</v>
      </c>
      <c r="D19" s="96">
        <v>768</v>
      </c>
      <c r="E19" s="310">
        <v>782</v>
      </c>
      <c r="F19" s="309">
        <v>1005</v>
      </c>
      <c r="G19" s="309">
        <v>1088</v>
      </c>
      <c r="J19"/>
      <c r="K19"/>
      <c r="L19"/>
      <c r="M19"/>
      <c r="N19"/>
    </row>
    <row r="20" spans="1:14" s="174" customFormat="1" ht="12.75" customHeight="1">
      <c r="A20" s="270" t="s">
        <v>353</v>
      </c>
      <c r="B20" s="309">
        <v>70</v>
      </c>
      <c r="C20" s="96">
        <v>68</v>
      </c>
      <c r="D20" s="96">
        <v>45</v>
      </c>
      <c r="E20" s="310">
        <v>81</v>
      </c>
      <c r="F20" s="309">
        <v>76</v>
      </c>
      <c r="G20" s="309">
        <v>181</v>
      </c>
      <c r="J20"/>
      <c r="K20"/>
      <c r="L20"/>
      <c r="M20"/>
      <c r="N20"/>
    </row>
    <row r="21" spans="1:14" s="174" customFormat="1" ht="12.75" customHeight="1">
      <c r="A21" s="270" t="s">
        <v>364</v>
      </c>
      <c r="B21" s="309">
        <v>0</v>
      </c>
      <c r="C21" s="96">
        <v>150</v>
      </c>
      <c r="D21" s="96">
        <v>21</v>
      </c>
      <c r="E21" s="310">
        <v>229</v>
      </c>
      <c r="F21" s="309">
        <v>70</v>
      </c>
      <c r="G21" s="309">
        <v>70</v>
      </c>
      <c r="J21"/>
      <c r="K21"/>
      <c r="L21"/>
      <c r="M21"/>
      <c r="N21"/>
    </row>
    <row r="22" spans="1:14" s="174" customFormat="1" ht="12.75" customHeight="1">
      <c r="A22" s="270" t="s">
        <v>365</v>
      </c>
      <c r="B22" s="309">
        <v>472</v>
      </c>
      <c r="C22" s="96">
        <v>1070</v>
      </c>
      <c r="D22" s="96">
        <v>676</v>
      </c>
      <c r="E22" s="310">
        <v>1127</v>
      </c>
      <c r="F22" s="309">
        <v>1405</v>
      </c>
      <c r="G22" s="309">
        <v>1363</v>
      </c>
      <c r="J22"/>
      <c r="K22"/>
      <c r="L22"/>
      <c r="M22"/>
      <c r="N22"/>
    </row>
    <row r="23" spans="1:14" s="174" customFormat="1" ht="15" customHeight="1" thickBot="1">
      <c r="A23" s="30" t="s">
        <v>183</v>
      </c>
      <c r="B23" s="56">
        <v>2503</v>
      </c>
      <c r="C23" s="56">
        <v>2429</v>
      </c>
      <c r="D23" s="56">
        <v>1845</v>
      </c>
      <c r="E23" s="180">
        <v>2821</v>
      </c>
      <c r="F23" s="56">
        <v>3209</v>
      </c>
      <c r="G23" s="56">
        <v>3274</v>
      </c>
      <c r="J23"/>
      <c r="K23"/>
      <c r="L23"/>
      <c r="M23"/>
      <c r="N23"/>
    </row>
    <row r="24" spans="1:14" s="174" customFormat="1" ht="12" customHeight="1">
      <c r="A24" s="18"/>
      <c r="B24" s="18"/>
      <c r="C24" s="18"/>
      <c r="D24" s="18"/>
      <c r="E24" s="18"/>
      <c r="F24" s="18"/>
      <c r="G24" s="18"/>
      <c r="H24" s="18"/>
      <c r="I24" s="18"/>
      <c r="J24" s="36"/>
      <c r="K24" s="36"/>
      <c r="L24"/>
      <c r="M24"/>
      <c r="N24"/>
    </row>
    <row r="25" spans="1:14" s="174" customFormat="1" ht="12" customHeight="1">
      <c r="A25"/>
      <c r="C25" s="84"/>
      <c r="D25" s="84"/>
      <c r="E25" s="309"/>
      <c r="F25" s="309"/>
      <c r="G25"/>
      <c r="H25" s="18"/>
      <c r="I25" s="18"/>
      <c r="J25" s="36"/>
      <c r="K25" s="36"/>
      <c r="L25"/>
      <c r="M25"/>
      <c r="N25"/>
    </row>
    <row r="26" spans="1:14" s="174" customFormat="1" ht="12" customHeight="1">
      <c r="A26"/>
      <c r="B26" s="309"/>
      <c r="C26"/>
      <c r="D26"/>
      <c r="E26"/>
      <c r="F26"/>
      <c r="G26"/>
      <c r="H26" s="18"/>
      <c r="I26" s="18"/>
      <c r="J26" s="36"/>
      <c r="K26" s="36"/>
      <c r="L26"/>
      <c r="M26"/>
      <c r="N26"/>
    </row>
    <row r="27" spans="1:14" s="174" customFormat="1" ht="12" customHeight="1">
      <c r="A27" s="303"/>
      <c r="B27"/>
      <c r="C27"/>
      <c r="D27"/>
      <c r="E27"/>
      <c r="F27"/>
      <c r="G27"/>
      <c r="H27" s="18"/>
      <c r="I27" s="18"/>
      <c r="J27" s="36"/>
      <c r="K27" s="36"/>
      <c r="L27"/>
      <c r="M27"/>
      <c r="N27"/>
    </row>
    <row r="28" spans="1:14" s="174" customFormat="1" ht="14.25" customHeight="1">
      <c r="A28"/>
      <c r="B28"/>
      <c r="C28"/>
      <c r="D28"/>
      <c r="E28"/>
      <c r="F28"/>
      <c r="G28"/>
      <c r="H28" s="18"/>
      <c r="I28" s="18"/>
      <c r="J28" s="18"/>
      <c r="K28" s="18"/>
    </row>
    <row r="29" spans="1:14" ht="12">
      <c r="A29"/>
      <c r="B29"/>
      <c r="C29"/>
      <c r="D29"/>
      <c r="E29"/>
      <c r="F29"/>
      <c r="G29"/>
      <c r="H29" s="39"/>
      <c r="I29" s="39"/>
      <c r="J29" s="39"/>
      <c r="K29" s="39"/>
    </row>
    <row r="30" spans="1:14" ht="12">
      <c r="A30"/>
      <c r="B30"/>
      <c r="C30"/>
      <c r="D30"/>
      <c r="E30"/>
      <c r="F30"/>
      <c r="G30"/>
      <c r="H30" s="39"/>
      <c r="I30" s="39"/>
      <c r="J30"/>
      <c r="K30" s="39"/>
    </row>
    <row r="31" spans="1:14" ht="12">
      <c r="A31"/>
      <c r="B31"/>
      <c r="C31"/>
      <c r="D31"/>
      <c r="E31"/>
      <c r="F31"/>
      <c r="G31"/>
      <c r="H31" s="39"/>
      <c r="I31" s="39"/>
      <c r="J31" s="39"/>
      <c r="K31" s="39"/>
    </row>
    <row r="32" spans="1:14" ht="12">
      <c r="A32"/>
      <c r="B32"/>
      <c r="C32"/>
      <c r="D32"/>
      <c r="E32"/>
      <c r="F32"/>
      <c r="G32"/>
      <c r="H32" s="39"/>
      <c r="I32" s="39"/>
      <c r="J32" s="39"/>
      <c r="K32" s="39"/>
    </row>
    <row r="33" spans="1:11" ht="12">
      <c r="A33"/>
      <c r="B33"/>
      <c r="C33"/>
      <c r="D33"/>
      <c r="E33"/>
      <c r="F33"/>
      <c r="G33"/>
      <c r="H33" s="39"/>
      <c r="I33" s="39"/>
      <c r="J33" s="39"/>
      <c r="K33" s="39"/>
    </row>
    <row r="34" spans="1:11" ht="12">
      <c r="A34"/>
      <c r="B34"/>
      <c r="C34"/>
      <c r="D34"/>
      <c r="E34"/>
      <c r="F34"/>
      <c r="G34"/>
      <c r="H34" s="39"/>
      <c r="I34" s="39"/>
      <c r="J34" s="39"/>
      <c r="K34" s="39"/>
    </row>
    <row r="35" spans="1:11" ht="12">
      <c r="A35"/>
      <c r="B35"/>
      <c r="C35"/>
      <c r="D35"/>
      <c r="E35"/>
      <c r="F35"/>
      <c r="G35"/>
      <c r="H35" s="39"/>
      <c r="I35" s="39"/>
      <c r="J35" s="39"/>
      <c r="K35" s="39"/>
    </row>
    <row r="36" spans="1:11">
      <c r="A36" s="39"/>
      <c r="C36" s="39"/>
      <c r="D36" s="39"/>
      <c r="E36" s="39"/>
      <c r="F36" s="39"/>
      <c r="G36" s="39"/>
      <c r="H36" s="39"/>
      <c r="I36" s="39"/>
      <c r="J36" s="39"/>
      <c r="K36" s="39"/>
    </row>
    <row r="37" spans="1:11">
      <c r="C37" s="39"/>
      <c r="D37" s="39"/>
      <c r="E37" s="39"/>
      <c r="F37" s="39"/>
      <c r="G37" s="39"/>
      <c r="H37" s="39"/>
      <c r="I37" s="39"/>
      <c r="J37" s="39"/>
      <c r="K37" s="39"/>
    </row>
    <row r="38" spans="1:11" ht="12">
      <c r="A38"/>
      <c r="B38"/>
      <c r="C38"/>
      <c r="D38"/>
      <c r="E38"/>
      <c r="F38"/>
      <c r="G38"/>
      <c r="H38"/>
      <c r="I38" s="39"/>
      <c r="J38" s="39"/>
      <c r="K38" s="39"/>
    </row>
    <row r="39" spans="1:11" ht="12">
      <c r="A39"/>
      <c r="B39"/>
      <c r="C39"/>
      <c r="D39"/>
      <c r="E39"/>
      <c r="F39"/>
      <c r="G39"/>
      <c r="H39"/>
      <c r="I39" s="39"/>
      <c r="J39" s="39"/>
      <c r="K39" s="39"/>
    </row>
    <row r="40" spans="1:11" ht="12">
      <c r="A40"/>
      <c r="B40"/>
      <c r="C40"/>
      <c r="D40"/>
      <c r="E40"/>
      <c r="F40"/>
      <c r="G40"/>
      <c r="H40"/>
      <c r="I40" s="39"/>
      <c r="J40" s="39"/>
      <c r="K40" s="39"/>
    </row>
    <row r="41" spans="1:11" ht="12">
      <c r="A41"/>
      <c r="B41"/>
      <c r="C41"/>
      <c r="D41"/>
      <c r="E41"/>
      <c r="F41"/>
      <c r="G41"/>
      <c r="H41"/>
      <c r="I41" s="39"/>
      <c r="J41" s="39"/>
      <c r="K41" s="39"/>
    </row>
    <row r="42" spans="1:11" ht="12">
      <c r="A42"/>
      <c r="B42"/>
      <c r="C42"/>
      <c r="D42"/>
      <c r="E42"/>
      <c r="F42"/>
      <c r="G42"/>
      <c r="H42"/>
      <c r="I42" s="39"/>
      <c r="J42" s="39"/>
      <c r="K42" s="39"/>
    </row>
    <row r="43" spans="1:11" ht="12">
      <c r="A43"/>
      <c r="B43"/>
      <c r="C43"/>
      <c r="D43"/>
      <c r="E43"/>
      <c r="F43"/>
      <c r="G43"/>
      <c r="H43"/>
      <c r="I43" s="39"/>
      <c r="J43" s="39"/>
      <c r="K43" s="39"/>
    </row>
    <row r="44" spans="1:11" ht="12">
      <c r="A44"/>
      <c r="B44"/>
      <c r="C44"/>
      <c r="D44"/>
      <c r="E44"/>
      <c r="F44"/>
      <c r="G44"/>
      <c r="H44"/>
      <c r="I44" s="39"/>
      <c r="J44" s="39"/>
      <c r="K44" s="39"/>
    </row>
    <row r="45" spans="1:11" ht="12">
      <c r="A45"/>
      <c r="B45"/>
      <c r="C45"/>
      <c r="D45"/>
      <c r="E45"/>
      <c r="F45"/>
      <c r="G45"/>
      <c r="H45"/>
      <c r="I45" s="39"/>
      <c r="J45" s="39"/>
      <c r="K45" s="39"/>
    </row>
    <row r="46" spans="1:11" ht="12">
      <c r="A46"/>
      <c r="B46"/>
      <c r="C46"/>
      <c r="D46"/>
      <c r="E46"/>
      <c r="F46"/>
      <c r="G46"/>
      <c r="H46"/>
      <c r="I46" s="39"/>
      <c r="J46" s="39"/>
      <c r="K46" s="39"/>
    </row>
    <row r="47" spans="1:11" ht="12">
      <c r="A47"/>
      <c r="B47"/>
      <c r="C47"/>
      <c r="D47"/>
      <c r="E47"/>
      <c r="F47"/>
      <c r="G47"/>
      <c r="H47"/>
      <c r="I47" s="39"/>
      <c r="J47" s="39"/>
      <c r="K47" s="39"/>
    </row>
    <row r="48" spans="1:11" ht="12">
      <c r="A48"/>
      <c r="B48"/>
      <c r="C48"/>
      <c r="D48"/>
      <c r="E48"/>
      <c r="F48"/>
      <c r="G48"/>
      <c r="H48"/>
      <c r="I48" s="39"/>
      <c r="J48" s="39"/>
      <c r="K48" s="39"/>
    </row>
    <row r="49" spans="1:11" ht="12">
      <c r="A49"/>
      <c r="B49"/>
      <c r="C49"/>
      <c r="D49"/>
      <c r="E49"/>
      <c r="F49"/>
      <c r="G49"/>
      <c r="H49"/>
      <c r="I49" s="39"/>
      <c r="J49" s="39"/>
      <c r="K49" s="39"/>
    </row>
    <row r="50" spans="1:11" ht="12">
      <c r="A50"/>
      <c r="B50"/>
      <c r="C50"/>
      <c r="D50"/>
      <c r="E50"/>
      <c r="F50"/>
      <c r="G50"/>
      <c r="H50"/>
    </row>
    <row r="51" spans="1:11" ht="12">
      <c r="A51"/>
      <c r="B51"/>
      <c r="C51"/>
      <c r="D51"/>
      <c r="E51"/>
      <c r="F51"/>
      <c r="G51"/>
      <c r="H51"/>
    </row>
  </sheetData>
  <mergeCells count="1">
    <mergeCell ref="C4:D4"/>
  </mergeCells>
  <pageMargins left="0.75" right="0.75" top="0.75" bottom="0.75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  <pageSetUpPr fitToPage="1"/>
  </sheetPr>
  <dimension ref="A1:M43"/>
  <sheetViews>
    <sheetView showGridLines="0" zoomScaleNormal="100" workbookViewId="0">
      <selection activeCell="A44" sqref="A44"/>
    </sheetView>
  </sheetViews>
  <sheetFormatPr defaultColWidth="9" defaultRowHeight="11.25"/>
  <cols>
    <col min="1" max="1" width="51.5703125" style="40" customWidth="1"/>
    <col min="2" max="2" width="8" style="39" customWidth="1"/>
    <col min="3" max="7" width="8" style="40" customWidth="1"/>
    <col min="8" max="16384" width="9" style="40"/>
  </cols>
  <sheetData>
    <row r="1" spans="1:13" ht="15.75">
      <c r="A1" s="1" t="s">
        <v>184</v>
      </c>
    </row>
    <row r="2" spans="1:13" ht="12">
      <c r="A2" s="41" t="s">
        <v>1</v>
      </c>
      <c r="J2"/>
      <c r="K2"/>
      <c r="L2"/>
      <c r="M2"/>
    </row>
    <row r="3" spans="1:13" ht="12">
      <c r="B3" s="89"/>
      <c r="C3" s="236"/>
      <c r="D3" s="236"/>
      <c r="J3"/>
      <c r="K3"/>
      <c r="L3"/>
      <c r="M3"/>
    </row>
    <row r="4" spans="1:13" s="237" customFormat="1" ht="12" customHeight="1">
      <c r="A4" s="6"/>
      <c r="B4" s="7" t="s">
        <v>4</v>
      </c>
      <c r="C4" s="595" t="s">
        <v>5</v>
      </c>
      <c r="D4" s="595"/>
      <c r="E4" s="8" t="s">
        <v>6</v>
      </c>
      <c r="F4" s="7" t="s">
        <v>301</v>
      </c>
      <c r="G4" s="7" t="s">
        <v>347</v>
      </c>
      <c r="J4"/>
      <c r="K4"/>
      <c r="L4"/>
      <c r="M4"/>
    </row>
    <row r="5" spans="1:13" s="237" customFormat="1" ht="12" customHeight="1">
      <c r="A5" s="9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  <c r="J5"/>
      <c r="K5"/>
      <c r="L5"/>
      <c r="M5"/>
    </row>
    <row r="6" spans="1:13" ht="3.75" customHeight="1">
      <c r="A6" s="266"/>
      <c r="B6" s="305"/>
      <c r="C6" s="84"/>
      <c r="D6" s="84"/>
      <c r="E6" s="304"/>
      <c r="J6"/>
      <c r="K6"/>
      <c r="L6"/>
      <c r="M6"/>
    </row>
    <row r="7" spans="1:13" s="174" customFormat="1" ht="12.75" customHeight="1">
      <c r="A7" s="268" t="s">
        <v>98</v>
      </c>
      <c r="B7" s="18">
        <v>583</v>
      </c>
      <c r="C7" s="178">
        <v>616</v>
      </c>
      <c r="D7" s="178">
        <v>617</v>
      </c>
      <c r="E7" s="19">
        <v>492</v>
      </c>
      <c r="F7" s="18">
        <v>394</v>
      </c>
      <c r="G7" s="18">
        <v>326</v>
      </c>
      <c r="J7"/>
      <c r="K7"/>
      <c r="L7"/>
      <c r="M7"/>
    </row>
    <row r="8" spans="1:13" s="174" customFormat="1" ht="12.75" customHeight="1">
      <c r="A8" s="268" t="s">
        <v>351</v>
      </c>
      <c r="B8" s="18">
        <v>0</v>
      </c>
      <c r="C8" s="178">
        <v>2</v>
      </c>
      <c r="D8" s="178">
        <v>2</v>
      </c>
      <c r="E8" s="19">
        <v>1</v>
      </c>
      <c r="F8" s="18">
        <v>1</v>
      </c>
      <c r="G8" s="18">
        <v>1</v>
      </c>
      <c r="J8"/>
      <c r="K8"/>
      <c r="L8"/>
      <c r="M8"/>
    </row>
    <row r="9" spans="1:13" s="174" customFormat="1" ht="12.75" customHeight="1">
      <c r="A9" s="270" t="s">
        <v>352</v>
      </c>
      <c r="B9" s="18">
        <v>4</v>
      </c>
      <c r="C9" s="178">
        <v>7</v>
      </c>
      <c r="D9" s="178">
        <v>5</v>
      </c>
      <c r="E9" s="19">
        <v>11</v>
      </c>
      <c r="F9" s="18">
        <v>7</v>
      </c>
      <c r="G9" s="18">
        <v>7</v>
      </c>
      <c r="J9"/>
      <c r="K9"/>
      <c r="L9"/>
      <c r="M9"/>
    </row>
    <row r="10" spans="1:13" s="174" customFormat="1" ht="12.75" customHeight="1">
      <c r="A10" s="268" t="s">
        <v>99</v>
      </c>
      <c r="B10" s="18">
        <v>0</v>
      </c>
      <c r="C10" s="178">
        <v>8</v>
      </c>
      <c r="D10" s="178">
        <v>15</v>
      </c>
      <c r="E10" s="19">
        <v>10</v>
      </c>
      <c r="F10" s="18">
        <v>10</v>
      </c>
      <c r="G10" s="18">
        <v>5</v>
      </c>
      <c r="J10"/>
      <c r="K10"/>
      <c r="L10"/>
      <c r="M10"/>
    </row>
    <row r="11" spans="1:13" s="174" customFormat="1" ht="12.75" customHeight="1">
      <c r="A11" s="268" t="s">
        <v>354</v>
      </c>
      <c r="B11" s="312">
        <v>1</v>
      </c>
      <c r="C11" s="178">
        <v>2</v>
      </c>
      <c r="D11" s="178">
        <v>1</v>
      </c>
      <c r="E11" s="313">
        <v>2</v>
      </c>
      <c r="F11" s="312">
        <v>2</v>
      </c>
      <c r="G11" s="312">
        <v>2</v>
      </c>
      <c r="J11"/>
      <c r="K11"/>
      <c r="L11"/>
      <c r="M11"/>
    </row>
    <row r="12" spans="1:13" s="174" customFormat="1" ht="12.75" customHeight="1">
      <c r="A12" s="268" t="s">
        <v>100</v>
      </c>
      <c r="B12" s="312">
        <v>747</v>
      </c>
      <c r="C12" s="178">
        <v>929</v>
      </c>
      <c r="D12" s="178">
        <v>743</v>
      </c>
      <c r="E12" s="313">
        <v>762</v>
      </c>
      <c r="F12" s="312">
        <v>797</v>
      </c>
      <c r="G12" s="312">
        <v>626</v>
      </c>
      <c r="J12"/>
      <c r="K12"/>
      <c r="L12"/>
      <c r="M12"/>
    </row>
    <row r="13" spans="1:13" s="174" customFormat="1" ht="12.75" customHeight="1">
      <c r="A13" s="268" t="s">
        <v>101</v>
      </c>
      <c r="B13" s="312">
        <v>13</v>
      </c>
      <c r="C13" s="178">
        <v>15</v>
      </c>
      <c r="D13" s="178">
        <v>10</v>
      </c>
      <c r="E13" s="313">
        <v>16</v>
      </c>
      <c r="F13" s="312">
        <v>15</v>
      </c>
      <c r="G13" s="312">
        <v>15</v>
      </c>
      <c r="J13"/>
      <c r="K13"/>
      <c r="L13"/>
      <c r="M13"/>
    </row>
    <row r="14" spans="1:13" ht="12.75" customHeight="1">
      <c r="A14" s="270" t="s">
        <v>355</v>
      </c>
      <c r="B14" s="312">
        <v>10</v>
      </c>
      <c r="C14" s="178">
        <v>48</v>
      </c>
      <c r="D14" s="178">
        <v>29</v>
      </c>
      <c r="E14" s="313">
        <v>59</v>
      </c>
      <c r="F14" s="312">
        <v>28</v>
      </c>
      <c r="G14" s="312">
        <v>11</v>
      </c>
      <c r="J14"/>
      <c r="K14"/>
      <c r="L14"/>
      <c r="M14"/>
    </row>
    <row r="15" spans="1:13" ht="12.75" customHeight="1">
      <c r="A15" s="270" t="s">
        <v>356</v>
      </c>
      <c r="B15" s="312">
        <v>60</v>
      </c>
      <c r="C15" s="178">
        <v>55</v>
      </c>
      <c r="D15" s="178">
        <v>61</v>
      </c>
      <c r="E15" s="313">
        <v>85</v>
      </c>
      <c r="F15" s="312">
        <v>106</v>
      </c>
      <c r="G15" s="312">
        <v>54</v>
      </c>
      <c r="J15"/>
      <c r="K15"/>
      <c r="L15"/>
      <c r="M15"/>
    </row>
    <row r="16" spans="1:13" s="174" customFormat="1" ht="12.75" customHeight="1">
      <c r="A16" s="268" t="s">
        <v>103</v>
      </c>
      <c r="B16" s="312">
        <v>917</v>
      </c>
      <c r="C16" s="178">
        <v>1245</v>
      </c>
      <c r="D16" s="178">
        <v>977</v>
      </c>
      <c r="E16" s="313">
        <v>1184</v>
      </c>
      <c r="F16" s="312">
        <v>1384</v>
      </c>
      <c r="G16" s="312">
        <v>1230</v>
      </c>
      <c r="J16"/>
      <c r="K16"/>
      <c r="L16"/>
      <c r="M16"/>
    </row>
    <row r="17" spans="1:13" s="174" customFormat="1" ht="12.75" customHeight="1">
      <c r="A17" s="268" t="s">
        <v>105</v>
      </c>
      <c r="B17" s="312">
        <v>211</v>
      </c>
      <c r="C17" s="178">
        <v>386</v>
      </c>
      <c r="D17" s="178">
        <v>357</v>
      </c>
      <c r="E17" s="313">
        <v>420</v>
      </c>
      <c r="F17" s="312">
        <v>392</v>
      </c>
      <c r="G17" s="312">
        <v>302</v>
      </c>
      <c r="J17"/>
      <c r="K17"/>
      <c r="L17"/>
      <c r="M17"/>
    </row>
    <row r="18" spans="1:13" s="174" customFormat="1" ht="12.75" customHeight="1">
      <c r="A18" s="268" t="s">
        <v>357</v>
      </c>
      <c r="B18" s="312">
        <v>1</v>
      </c>
      <c r="C18" s="178">
        <v>4</v>
      </c>
      <c r="D18" s="178">
        <v>4</v>
      </c>
      <c r="E18" s="313">
        <v>2</v>
      </c>
      <c r="F18" s="312">
        <v>1</v>
      </c>
      <c r="G18" s="312">
        <v>1</v>
      </c>
      <c r="I18" s="36"/>
      <c r="J18"/>
      <c r="K18"/>
      <c r="L18"/>
      <c r="M18"/>
    </row>
    <row r="19" spans="1:13" s="174" customFormat="1" ht="12.75" customHeight="1">
      <c r="A19" s="268" t="s">
        <v>358</v>
      </c>
      <c r="B19" s="312">
        <v>12</v>
      </c>
      <c r="C19" s="178">
        <v>17</v>
      </c>
      <c r="D19" s="178">
        <v>19</v>
      </c>
      <c r="E19" s="313">
        <v>18</v>
      </c>
      <c r="F19" s="312">
        <v>6</v>
      </c>
      <c r="G19" s="312">
        <v>5</v>
      </c>
      <c r="J19"/>
      <c r="K19"/>
      <c r="L19"/>
      <c r="M19"/>
    </row>
    <row r="20" spans="1:13" s="174" customFormat="1" ht="12.75" customHeight="1">
      <c r="A20" s="268" t="s">
        <v>360</v>
      </c>
      <c r="B20" s="312">
        <v>4</v>
      </c>
      <c r="C20" s="178">
        <v>0</v>
      </c>
      <c r="D20" s="178">
        <v>0</v>
      </c>
      <c r="E20" s="313">
        <v>0</v>
      </c>
      <c r="F20" s="312">
        <v>0</v>
      </c>
      <c r="G20" s="312">
        <v>0</v>
      </c>
      <c r="J20"/>
      <c r="K20"/>
      <c r="L20"/>
      <c r="M20"/>
    </row>
    <row r="21" spans="1:13" s="174" customFormat="1" ht="12.75" customHeight="1">
      <c r="A21" s="268" t="s">
        <v>106</v>
      </c>
      <c r="B21" s="312">
        <v>2</v>
      </c>
      <c r="C21" s="178">
        <v>1</v>
      </c>
      <c r="D21" s="527">
        <v>5</v>
      </c>
      <c r="E21" s="528">
        <v>1</v>
      </c>
      <c r="F21" s="529">
        <v>1</v>
      </c>
      <c r="G21" s="529">
        <v>1</v>
      </c>
      <c r="J21"/>
      <c r="K21"/>
      <c r="L21"/>
      <c r="M21"/>
    </row>
    <row r="22" spans="1:13" s="174" customFormat="1" ht="12.75" customHeight="1">
      <c r="A22" s="270" t="s">
        <v>361</v>
      </c>
      <c r="B22" s="312">
        <v>6</v>
      </c>
      <c r="C22" s="178">
        <v>4</v>
      </c>
      <c r="D22" s="178">
        <v>8</v>
      </c>
      <c r="E22" s="313">
        <v>6</v>
      </c>
      <c r="F22" s="312">
        <v>5</v>
      </c>
      <c r="G22" s="312">
        <v>5</v>
      </c>
      <c r="J22"/>
      <c r="K22"/>
      <c r="L22"/>
      <c r="M22"/>
    </row>
    <row r="23" spans="1:13" ht="12.75" customHeight="1">
      <c r="A23" s="270" t="s">
        <v>353</v>
      </c>
      <c r="B23" s="312">
        <v>69</v>
      </c>
      <c r="C23" s="178">
        <v>50</v>
      </c>
      <c r="D23" s="178">
        <v>69</v>
      </c>
      <c r="E23" s="313">
        <v>61</v>
      </c>
      <c r="F23" s="312">
        <v>38</v>
      </c>
      <c r="G23" s="312">
        <v>44</v>
      </c>
      <c r="J23"/>
      <c r="K23"/>
      <c r="L23"/>
      <c r="M23"/>
    </row>
    <row r="24" spans="1:13" ht="12.75" customHeight="1">
      <c r="A24" s="268" t="s">
        <v>362</v>
      </c>
      <c r="B24" s="312">
        <v>11</v>
      </c>
      <c r="C24" s="178">
        <v>13</v>
      </c>
      <c r="D24" s="178">
        <v>33</v>
      </c>
      <c r="E24" s="313">
        <v>46</v>
      </c>
      <c r="F24" s="312">
        <v>55</v>
      </c>
      <c r="G24" s="312">
        <v>52</v>
      </c>
      <c r="J24"/>
      <c r="K24"/>
      <c r="L24"/>
      <c r="M24"/>
    </row>
    <row r="25" spans="1:13" s="174" customFormat="1" ht="12.75" customHeight="1">
      <c r="A25" s="270" t="s">
        <v>364</v>
      </c>
      <c r="B25" s="312">
        <v>65</v>
      </c>
      <c r="C25" s="178">
        <v>99</v>
      </c>
      <c r="D25" s="178">
        <v>79</v>
      </c>
      <c r="E25" s="313">
        <v>132</v>
      </c>
      <c r="F25" s="312">
        <v>126</v>
      </c>
      <c r="G25" s="312">
        <v>124</v>
      </c>
      <c r="J25"/>
      <c r="K25"/>
      <c r="L25"/>
      <c r="M25"/>
    </row>
    <row r="26" spans="1:13" s="174" customFormat="1" ht="12.75" customHeight="1">
      <c r="A26" s="270" t="s">
        <v>365</v>
      </c>
      <c r="B26" s="312">
        <v>1384</v>
      </c>
      <c r="C26" s="178">
        <v>1586</v>
      </c>
      <c r="D26" s="178">
        <v>1546</v>
      </c>
      <c r="E26" s="313">
        <v>1846</v>
      </c>
      <c r="F26" s="312">
        <v>1370</v>
      </c>
      <c r="G26" s="312">
        <v>895</v>
      </c>
      <c r="J26"/>
      <c r="K26"/>
      <c r="L26"/>
      <c r="M26"/>
    </row>
    <row r="27" spans="1:13" s="174" customFormat="1" ht="12.75" customHeight="1">
      <c r="A27" s="268" t="s">
        <v>108</v>
      </c>
      <c r="B27" s="312">
        <v>14</v>
      </c>
      <c r="C27" s="178">
        <v>18</v>
      </c>
      <c r="D27" s="178">
        <v>17</v>
      </c>
      <c r="E27" s="313">
        <v>28</v>
      </c>
      <c r="F27" s="312">
        <v>27</v>
      </c>
      <c r="G27" s="312">
        <v>27</v>
      </c>
      <c r="J27"/>
      <c r="K27"/>
      <c r="L27"/>
      <c r="M27"/>
    </row>
    <row r="28" spans="1:13" s="174" customFormat="1" ht="12.75" customHeight="1">
      <c r="A28" s="268" t="s">
        <v>181</v>
      </c>
      <c r="B28" s="312">
        <v>3</v>
      </c>
      <c r="C28" s="178">
        <v>2</v>
      </c>
      <c r="D28" s="178">
        <v>3</v>
      </c>
      <c r="E28" s="313">
        <v>2</v>
      </c>
      <c r="F28" s="312">
        <v>2</v>
      </c>
      <c r="G28" s="312">
        <v>2</v>
      </c>
      <c r="J28"/>
      <c r="K28"/>
      <c r="L28"/>
      <c r="M28"/>
    </row>
    <row r="29" spans="1:13" s="174" customFormat="1" ht="15" customHeight="1" thickBot="1">
      <c r="A29" s="30" t="s">
        <v>185</v>
      </c>
      <c r="B29" s="179">
        <v>4119</v>
      </c>
      <c r="C29" s="56">
        <v>5105</v>
      </c>
      <c r="D29" s="56">
        <v>4601</v>
      </c>
      <c r="E29" s="180">
        <v>5184</v>
      </c>
      <c r="F29" s="179">
        <v>4767</v>
      </c>
      <c r="G29" s="179">
        <v>3733</v>
      </c>
      <c r="J29"/>
      <c r="K29"/>
      <c r="L29"/>
      <c r="M29"/>
    </row>
    <row r="30" spans="1:13" s="174" customFormat="1" ht="12" customHeight="1">
      <c r="E30" s="18"/>
    </row>
    <row r="31" spans="1:13" s="174" customFormat="1" ht="12" customHeight="1">
      <c r="A31" s="560"/>
      <c r="B31" s="566"/>
      <c r="C31" s="178"/>
      <c r="D31" s="178"/>
      <c r="E31" s="572"/>
      <c r="F31" s="573"/>
      <c r="G31" s="573"/>
      <c r="H31" s="557"/>
      <c r="J31"/>
    </row>
    <row r="32" spans="1:13" s="174" customFormat="1" ht="12" customHeight="1">
      <c r="A32" s="557"/>
      <c r="B32" s="556"/>
      <c r="C32" s="557"/>
      <c r="D32" s="557"/>
      <c r="E32" s="557"/>
      <c r="F32" s="557"/>
      <c r="G32" s="557"/>
      <c r="H32" s="557"/>
    </row>
    <row r="33" spans="1:8" s="174" customFormat="1" ht="14.25" customHeight="1">
      <c r="A33" s="560"/>
      <c r="B33" s="566"/>
      <c r="C33" s="566"/>
      <c r="D33" s="566"/>
      <c r="E33" s="566"/>
      <c r="F33" s="566"/>
      <c r="G33" s="560"/>
      <c r="H33" s="557"/>
    </row>
    <row r="34" spans="1:8" ht="12">
      <c r="A34" s="560"/>
      <c r="B34" s="560"/>
      <c r="C34" s="560"/>
      <c r="D34" s="560"/>
      <c r="E34" s="560"/>
      <c r="F34" s="557"/>
      <c r="G34" s="560"/>
      <c r="H34" s="561"/>
    </row>
    <row r="35" spans="1:8">
      <c r="A35" s="561"/>
      <c r="B35" s="562"/>
      <c r="C35" s="561"/>
      <c r="D35" s="561"/>
      <c r="E35" s="561"/>
      <c r="F35" s="561"/>
      <c r="G35" s="561"/>
      <c r="H35" s="561"/>
    </row>
    <row r="36" spans="1:8" ht="12.75">
      <c r="A36" s="569"/>
      <c r="B36" s="562"/>
      <c r="C36" s="561"/>
      <c r="D36" s="561"/>
      <c r="E36" s="561"/>
      <c r="F36" s="561"/>
      <c r="G36" s="561"/>
      <c r="H36" s="561"/>
    </row>
    <row r="37" spans="1:8">
      <c r="A37" s="561"/>
      <c r="B37" s="562"/>
      <c r="C37" s="561"/>
      <c r="D37" s="561"/>
      <c r="E37" s="561"/>
      <c r="F37" s="561"/>
      <c r="G37" s="561"/>
      <c r="H37" s="561"/>
    </row>
    <row r="38" spans="1:8" ht="25.5" customHeight="1">
      <c r="A38" s="604"/>
      <c r="B38" s="605"/>
      <c r="C38" s="605"/>
      <c r="D38" s="605"/>
      <c r="E38" s="605"/>
      <c r="F38" s="605"/>
      <c r="G38" s="561"/>
      <c r="H38" s="561"/>
    </row>
    <row r="39" spans="1:8">
      <c r="A39" s="561"/>
      <c r="B39" s="562"/>
      <c r="C39" s="561"/>
      <c r="D39" s="561"/>
      <c r="E39" s="561"/>
      <c r="F39" s="561"/>
      <c r="G39" s="561"/>
      <c r="H39" s="561"/>
    </row>
    <row r="40" spans="1:8">
      <c r="A40" s="561"/>
      <c r="B40" s="562"/>
      <c r="C40" s="561"/>
      <c r="D40" s="561"/>
      <c r="E40" s="561"/>
      <c r="F40" s="561"/>
      <c r="G40" s="561"/>
      <c r="H40" s="561"/>
    </row>
    <row r="41" spans="1:8">
      <c r="A41" s="574"/>
      <c r="B41" s="562"/>
      <c r="C41" s="561"/>
      <c r="D41" s="561"/>
      <c r="E41" s="561"/>
      <c r="F41" s="561"/>
      <c r="G41" s="561"/>
      <c r="H41" s="561"/>
    </row>
    <row r="42" spans="1:8">
      <c r="A42" s="561"/>
      <c r="B42" s="562"/>
      <c r="C42" s="561"/>
      <c r="D42" s="561"/>
      <c r="E42" s="561"/>
      <c r="F42" s="561"/>
      <c r="G42" s="561"/>
      <c r="H42" s="561"/>
    </row>
    <row r="43" spans="1:8">
      <c r="A43" s="561"/>
      <c r="B43" s="562"/>
      <c r="C43" s="561"/>
      <c r="D43" s="561"/>
      <c r="E43" s="561"/>
      <c r="F43" s="561"/>
      <c r="G43" s="561"/>
      <c r="H43" s="561"/>
    </row>
  </sheetData>
  <mergeCells count="2">
    <mergeCell ref="C4:D4"/>
    <mergeCell ref="A38:F38"/>
  </mergeCells>
  <pageMargins left="0.75" right="0.75" top="0.75" bottom="0.75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  <pageSetUpPr fitToPage="1"/>
  </sheetPr>
  <dimension ref="A1:G22"/>
  <sheetViews>
    <sheetView showGridLines="0" zoomScaleNormal="100" workbookViewId="0">
      <selection activeCell="A44" sqref="A44"/>
    </sheetView>
  </sheetViews>
  <sheetFormatPr defaultColWidth="9" defaultRowHeight="12"/>
  <cols>
    <col min="1" max="1" width="51.5703125" customWidth="1"/>
    <col min="2" max="7" width="8" customWidth="1"/>
  </cols>
  <sheetData>
    <row r="1" spans="1:7" ht="15.75">
      <c r="A1" s="197" t="s">
        <v>186</v>
      </c>
    </row>
    <row r="2" spans="1:7">
      <c r="A2" s="4" t="s">
        <v>1</v>
      </c>
      <c r="B2" s="89"/>
      <c r="C2" s="236"/>
      <c r="D2" s="236"/>
    </row>
    <row r="3" spans="1:7">
      <c r="A3" s="4"/>
      <c r="B3" s="89"/>
      <c r="C3" s="236"/>
      <c r="D3" s="236"/>
    </row>
    <row r="4" spans="1:7">
      <c r="A4" s="41"/>
      <c r="B4" s="7" t="s">
        <v>4</v>
      </c>
      <c r="C4" s="595" t="s">
        <v>5</v>
      </c>
      <c r="D4" s="595"/>
      <c r="E4" s="8" t="s">
        <v>6</v>
      </c>
      <c r="F4" s="7" t="s">
        <v>301</v>
      </c>
      <c r="G4" s="7" t="s">
        <v>347</v>
      </c>
    </row>
    <row r="5" spans="1:7">
      <c r="A5" s="228"/>
      <c r="B5" s="11" t="s">
        <v>7</v>
      </c>
      <c r="C5" s="11" t="s">
        <v>8</v>
      </c>
      <c r="D5" s="11" t="s">
        <v>9</v>
      </c>
      <c r="E5" s="12" t="s">
        <v>10</v>
      </c>
      <c r="F5" s="11" t="s">
        <v>11</v>
      </c>
      <c r="G5" s="11" t="s">
        <v>11</v>
      </c>
    </row>
    <row r="6" spans="1:7" ht="3.75" customHeight="1">
      <c r="A6" s="41"/>
      <c r="B6" s="7"/>
      <c r="C6" s="7"/>
      <c r="D6" s="7"/>
      <c r="E6" s="314"/>
      <c r="F6" s="315"/>
      <c r="G6" s="315"/>
    </row>
    <row r="7" spans="1:7">
      <c r="A7" s="35" t="s">
        <v>187</v>
      </c>
      <c r="B7" s="150">
        <v>6622</v>
      </c>
      <c r="C7" s="150">
        <v>7534</v>
      </c>
      <c r="D7" s="150">
        <v>6446</v>
      </c>
      <c r="E7" s="19">
        <v>8005</v>
      </c>
      <c r="F7" s="150">
        <v>7976</v>
      </c>
      <c r="G7" s="150">
        <v>7008</v>
      </c>
    </row>
    <row r="8" spans="1:7">
      <c r="A8" s="35" t="s">
        <v>188</v>
      </c>
      <c r="B8" s="209">
        <v>0</v>
      </c>
      <c r="C8" s="21">
        <v>-750</v>
      </c>
      <c r="D8" s="21">
        <v>-650</v>
      </c>
      <c r="E8" s="61">
        <v>-800</v>
      </c>
      <c r="F8" s="209">
        <v>-800</v>
      </c>
      <c r="G8" s="209">
        <v>-700</v>
      </c>
    </row>
    <row r="9" spans="1:7">
      <c r="A9" s="35" t="s">
        <v>189</v>
      </c>
      <c r="B9" s="34">
        <v>6622</v>
      </c>
      <c r="C9" s="23">
        <v>6784</v>
      </c>
      <c r="D9" s="23">
        <v>5796</v>
      </c>
      <c r="E9" s="19">
        <v>7205</v>
      </c>
      <c r="F9" s="34">
        <v>7176</v>
      </c>
      <c r="G9" s="34">
        <v>6308</v>
      </c>
    </row>
    <row r="10" spans="1:7" ht="3.75" customHeight="1">
      <c r="A10" s="35"/>
      <c r="B10" s="150"/>
      <c r="C10" s="23"/>
      <c r="D10" s="23"/>
      <c r="E10" s="19"/>
      <c r="F10" s="18"/>
      <c r="G10" s="18"/>
    </row>
    <row r="11" spans="1:7">
      <c r="A11" s="35" t="s">
        <v>190</v>
      </c>
      <c r="B11" s="150"/>
      <c r="C11" s="23"/>
      <c r="D11" s="23"/>
      <c r="E11" s="19"/>
      <c r="F11" s="18"/>
      <c r="G11" s="18"/>
    </row>
    <row r="12" spans="1:7">
      <c r="A12" s="55" t="s">
        <v>191</v>
      </c>
      <c r="B12" s="150">
        <v>1065</v>
      </c>
      <c r="C12" s="18">
        <v>1455</v>
      </c>
      <c r="D12" s="18">
        <v>921</v>
      </c>
      <c r="E12" s="19">
        <v>1031</v>
      </c>
      <c r="F12" s="18">
        <v>1170</v>
      </c>
      <c r="G12" s="18">
        <v>1048</v>
      </c>
    </row>
    <row r="13" spans="1:7">
      <c r="A13" s="55" t="s">
        <v>192</v>
      </c>
      <c r="B13" s="150">
        <v>33</v>
      </c>
      <c r="C13" s="18">
        <v>35</v>
      </c>
      <c r="D13" s="18">
        <v>110</v>
      </c>
      <c r="E13" s="19">
        <v>35</v>
      </c>
      <c r="F13" s="18">
        <v>74</v>
      </c>
      <c r="G13" s="18">
        <v>102</v>
      </c>
    </row>
    <row r="14" spans="1:7">
      <c r="A14" s="316" t="s">
        <v>193</v>
      </c>
      <c r="B14" s="150">
        <v>627</v>
      </c>
      <c r="C14" s="18">
        <v>808</v>
      </c>
      <c r="D14" s="18">
        <v>812</v>
      </c>
      <c r="E14" s="19">
        <v>625</v>
      </c>
      <c r="F14" s="18">
        <v>539</v>
      </c>
      <c r="G14" s="18">
        <v>517</v>
      </c>
    </row>
    <row r="15" spans="1:7">
      <c r="A15" s="55" t="s">
        <v>194</v>
      </c>
      <c r="B15" s="150">
        <v>46</v>
      </c>
      <c r="C15" s="18">
        <v>66</v>
      </c>
      <c r="D15" s="18">
        <v>66</v>
      </c>
      <c r="E15" s="19">
        <v>63</v>
      </c>
      <c r="F15" s="150">
        <v>58</v>
      </c>
      <c r="G15" s="150">
        <v>129</v>
      </c>
    </row>
    <row r="16" spans="1:7">
      <c r="A16" s="316" t="s">
        <v>57</v>
      </c>
      <c r="B16" s="150">
        <v>43</v>
      </c>
      <c r="C16" s="18">
        <v>81</v>
      </c>
      <c r="D16" s="18">
        <v>56</v>
      </c>
      <c r="E16" s="19">
        <v>64</v>
      </c>
      <c r="F16" s="150">
        <v>1</v>
      </c>
      <c r="G16" s="150">
        <v>0</v>
      </c>
    </row>
    <row r="17" spans="1:7">
      <c r="A17" s="55" t="s">
        <v>377</v>
      </c>
      <c r="B17" s="150">
        <v>4812</v>
      </c>
      <c r="C17" s="18">
        <v>4339</v>
      </c>
      <c r="D17" s="18">
        <v>3831</v>
      </c>
      <c r="E17" s="19">
        <v>5387</v>
      </c>
      <c r="F17" s="150">
        <v>5334</v>
      </c>
      <c r="G17" s="150">
        <v>4512</v>
      </c>
    </row>
    <row r="18" spans="1:7" ht="15" customHeight="1" thickBot="1">
      <c r="A18" s="210" t="s">
        <v>195</v>
      </c>
      <c r="B18" s="288">
        <v>6622</v>
      </c>
      <c r="C18" s="317">
        <v>6784</v>
      </c>
      <c r="D18" s="317">
        <v>5796</v>
      </c>
      <c r="E18" s="287">
        <v>7205</v>
      </c>
      <c r="F18" s="288">
        <v>7177</v>
      </c>
      <c r="G18" s="288">
        <v>6308</v>
      </c>
    </row>
    <row r="19" spans="1:7">
      <c r="A19" s="259"/>
      <c r="B19" s="18"/>
      <c r="C19" s="318"/>
      <c r="D19" s="318"/>
      <c r="E19" s="318"/>
      <c r="F19" s="318"/>
    </row>
    <row r="20" spans="1:7">
      <c r="A20" s="41"/>
    </row>
    <row r="21" spans="1:7">
      <c r="A21" s="40"/>
    </row>
    <row r="22" spans="1:7">
      <c r="A22" s="40"/>
    </row>
  </sheetData>
  <mergeCells count="1">
    <mergeCell ref="C4:D4"/>
  </mergeCells>
  <pageMargins left="0.75" right="0.75" top="0.75" bottom="0.75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  <pageSetUpPr fitToPage="1"/>
  </sheetPr>
  <dimension ref="A1:M10"/>
  <sheetViews>
    <sheetView showGridLines="0" zoomScaleNormal="100" workbookViewId="0">
      <selection activeCell="A44" sqref="A44"/>
    </sheetView>
  </sheetViews>
  <sheetFormatPr defaultColWidth="9" defaultRowHeight="12"/>
  <cols>
    <col min="1" max="1" width="51.5703125" style="175" customWidth="1"/>
    <col min="2" max="7" width="8" style="175" customWidth="1"/>
    <col min="8" max="9" width="8.5703125" style="175" customWidth="1"/>
    <col min="10" max="16384" width="9" style="175"/>
  </cols>
  <sheetData>
    <row r="1" spans="1:13" ht="15.75">
      <c r="A1" s="322" t="s">
        <v>196</v>
      </c>
      <c r="B1" s="322"/>
      <c r="C1" s="323"/>
      <c r="D1" s="323"/>
      <c r="E1" s="323"/>
      <c r="F1" s="323"/>
      <c r="G1" s="323"/>
    </row>
    <row r="2" spans="1:13" ht="12" customHeight="1">
      <c r="A2" s="4" t="s">
        <v>1</v>
      </c>
      <c r="B2" s="4"/>
      <c r="C2" s="323"/>
      <c r="D2" s="323"/>
      <c r="E2" s="323"/>
      <c r="F2" s="323"/>
      <c r="G2" s="323"/>
    </row>
    <row r="3" spans="1:13">
      <c r="B3" s="7" t="s">
        <v>4</v>
      </c>
      <c r="C3" s="595" t="s">
        <v>5</v>
      </c>
      <c r="D3" s="595"/>
      <c r="E3" s="8" t="s">
        <v>6</v>
      </c>
      <c r="F3" s="7" t="s">
        <v>301</v>
      </c>
      <c r="G3" s="7" t="s">
        <v>347</v>
      </c>
    </row>
    <row r="4" spans="1:13">
      <c r="A4" s="324"/>
      <c r="B4" s="11" t="s">
        <v>7</v>
      </c>
      <c r="C4" s="11" t="s">
        <v>8</v>
      </c>
      <c r="D4" s="11" t="s">
        <v>9</v>
      </c>
      <c r="E4" s="12" t="s">
        <v>10</v>
      </c>
      <c r="F4" s="11" t="s">
        <v>11</v>
      </c>
      <c r="G4" s="11" t="s">
        <v>11</v>
      </c>
    </row>
    <row r="5" spans="1:13" ht="15" customHeight="1">
      <c r="A5" s="543" t="s">
        <v>415</v>
      </c>
      <c r="B5" s="325">
        <v>8667</v>
      </c>
      <c r="C5" s="327">
        <v>2249</v>
      </c>
      <c r="D5" s="327">
        <v>0</v>
      </c>
      <c r="E5" s="328">
        <v>5464</v>
      </c>
      <c r="F5" s="325">
        <v>5776</v>
      </c>
      <c r="G5" s="325">
        <v>14443</v>
      </c>
      <c r="J5" s="325"/>
    </row>
    <row r="6" spans="1:13" ht="13.5" customHeight="1">
      <c r="A6" s="326" t="s">
        <v>329</v>
      </c>
      <c r="B6" s="325">
        <v>319</v>
      </c>
      <c r="C6" s="327">
        <v>226</v>
      </c>
      <c r="D6" s="327">
        <v>2251</v>
      </c>
      <c r="E6" s="328">
        <v>469</v>
      </c>
      <c r="F6" s="325">
        <v>250</v>
      </c>
      <c r="G6" s="325">
        <v>250</v>
      </c>
    </row>
    <row r="7" spans="1:13" ht="13.5" customHeight="1">
      <c r="A7" s="326" t="s">
        <v>197</v>
      </c>
      <c r="B7" s="325">
        <v>0</v>
      </c>
      <c r="C7" s="327">
        <v>1003</v>
      </c>
      <c r="D7" s="327">
        <v>1003</v>
      </c>
      <c r="E7" s="328">
        <v>733</v>
      </c>
      <c r="F7" s="325">
        <v>39</v>
      </c>
      <c r="G7" s="325">
        <v>350</v>
      </c>
      <c r="J7"/>
      <c r="K7"/>
      <c r="L7"/>
      <c r="M7"/>
    </row>
    <row r="8" spans="1:13" ht="15" customHeight="1" thickBot="1">
      <c r="A8" s="210" t="s">
        <v>198</v>
      </c>
      <c r="B8" s="286">
        <v>8986</v>
      </c>
      <c r="C8" s="286">
        <v>3478</v>
      </c>
      <c r="D8" s="286">
        <v>3254</v>
      </c>
      <c r="E8" s="319">
        <v>6666</v>
      </c>
      <c r="F8" s="286">
        <v>6065</v>
      </c>
      <c r="G8" s="286">
        <v>15043</v>
      </c>
      <c r="H8"/>
      <c r="J8"/>
      <c r="K8"/>
      <c r="L8"/>
      <c r="M8"/>
    </row>
    <row r="9" spans="1:13" ht="13.5" customHeight="1">
      <c r="A9" s="326"/>
      <c r="B9" s="326"/>
      <c r="C9" s="325"/>
      <c r="D9" s="325"/>
      <c r="E9" s="325"/>
    </row>
    <row r="10" spans="1:13">
      <c r="C10" s="177"/>
      <c r="D10" s="177"/>
    </row>
  </sheetData>
  <mergeCells count="1">
    <mergeCell ref="C3:D3"/>
  </mergeCells>
  <pageMargins left="0.75" right="0.75" top="0.75" bottom="0.75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  <pageSetUpPr fitToPage="1"/>
  </sheetPr>
  <dimension ref="A1:M57"/>
  <sheetViews>
    <sheetView showGridLines="0" zoomScaleNormal="100" workbookViewId="0">
      <selection activeCell="A44" sqref="A44"/>
    </sheetView>
  </sheetViews>
  <sheetFormatPr defaultColWidth="9" defaultRowHeight="12"/>
  <cols>
    <col min="1" max="1" width="51.5703125" style="175" customWidth="1"/>
    <col min="2" max="7" width="8" style="175" customWidth="1"/>
    <col min="8" max="9" width="8.5703125" style="175" customWidth="1"/>
    <col min="10" max="16384" width="9" style="175"/>
  </cols>
  <sheetData>
    <row r="1" spans="1:12" ht="18.75" customHeight="1">
      <c r="A1" s="322" t="s">
        <v>201</v>
      </c>
      <c r="B1" s="322"/>
      <c r="C1" s="323"/>
      <c r="D1" s="323"/>
      <c r="E1" s="323"/>
      <c r="F1" s="323"/>
      <c r="G1" s="323"/>
    </row>
    <row r="2" spans="1:12" ht="12" customHeight="1">
      <c r="A2" s="4" t="s">
        <v>1</v>
      </c>
      <c r="B2" s="4"/>
      <c r="C2" s="323"/>
      <c r="D2" s="323"/>
      <c r="E2" s="323"/>
      <c r="F2" s="323"/>
      <c r="G2" s="323"/>
    </row>
    <row r="3" spans="1:12" ht="12" customHeight="1">
      <c r="B3" s="7" t="s">
        <v>4</v>
      </c>
      <c r="C3" s="595" t="s">
        <v>5</v>
      </c>
      <c r="D3" s="595"/>
      <c r="E3" s="8" t="s">
        <v>6</v>
      </c>
      <c r="F3" s="7" t="s">
        <v>301</v>
      </c>
      <c r="G3" s="7" t="s">
        <v>347</v>
      </c>
    </row>
    <row r="4" spans="1:12" ht="12" customHeight="1">
      <c r="A4" s="324"/>
      <c r="B4" s="11" t="s">
        <v>7</v>
      </c>
      <c r="C4" s="11" t="s">
        <v>8</v>
      </c>
      <c r="D4" s="11" t="s">
        <v>9</v>
      </c>
      <c r="E4" s="12" t="s">
        <v>10</v>
      </c>
      <c r="F4" s="11" t="s">
        <v>11</v>
      </c>
      <c r="G4" s="11" t="s">
        <v>11</v>
      </c>
    </row>
    <row r="5" spans="1:12" ht="15" customHeight="1">
      <c r="A5" s="544" t="s">
        <v>202</v>
      </c>
      <c r="B5" s="545">
        <v>4059</v>
      </c>
      <c r="C5" s="545">
        <v>782</v>
      </c>
      <c r="D5" s="545">
        <v>782</v>
      </c>
      <c r="E5" s="546">
        <v>0</v>
      </c>
      <c r="F5" s="545">
        <v>0</v>
      </c>
      <c r="G5" s="545">
        <v>4000</v>
      </c>
    </row>
    <row r="6" spans="1:12" s="333" customFormat="1" ht="12.75" customHeight="1">
      <c r="A6" s="326" t="s">
        <v>203</v>
      </c>
      <c r="B6" s="325">
        <v>43</v>
      </c>
      <c r="C6" s="325">
        <v>81</v>
      </c>
      <c r="D6" s="325">
        <v>56</v>
      </c>
      <c r="E6" s="328">
        <v>64</v>
      </c>
      <c r="F6" s="325">
        <v>1</v>
      </c>
      <c r="G6" s="325">
        <v>0</v>
      </c>
      <c r="L6" s="334"/>
    </row>
    <row r="7" spans="1:12" ht="12.75" customHeight="1">
      <c r="A7" s="326" t="s">
        <v>204</v>
      </c>
      <c r="B7" s="325">
        <v>4884</v>
      </c>
      <c r="C7" s="325">
        <v>2615</v>
      </c>
      <c r="D7" s="325">
        <v>2416</v>
      </c>
      <c r="E7" s="328">
        <v>6602</v>
      </c>
      <c r="F7" s="325">
        <v>6064</v>
      </c>
      <c r="G7" s="325">
        <v>11043</v>
      </c>
    </row>
    <row r="8" spans="1:12" ht="15" customHeight="1" thickBot="1">
      <c r="A8" s="210" t="s">
        <v>205</v>
      </c>
      <c r="B8" s="211">
        <v>8986</v>
      </c>
      <c r="C8" s="211">
        <v>3478</v>
      </c>
      <c r="D8" s="211">
        <v>3254</v>
      </c>
      <c r="E8" s="319">
        <v>6666</v>
      </c>
      <c r="F8" s="286">
        <v>6065</v>
      </c>
      <c r="G8" s="286">
        <v>15043</v>
      </c>
      <c r="H8"/>
    </row>
    <row r="10" spans="1:12" ht="13.5" customHeight="1">
      <c r="J10" s="325"/>
    </row>
    <row r="11" spans="1:12" ht="13.5" customHeight="1">
      <c r="A11" s="329"/>
      <c r="B11" s="329"/>
    </row>
    <row r="12" spans="1:12" ht="13.5" customHeight="1">
      <c r="B12" s="177"/>
      <c r="C12" s="177"/>
      <c r="D12" s="177"/>
      <c r="E12" s="177"/>
      <c r="F12" s="177"/>
      <c r="G12" s="177"/>
    </row>
    <row r="13" spans="1:12" ht="13.5" customHeight="1"/>
    <row r="14" spans="1:12" ht="13.5" customHeight="1">
      <c r="A14" s="330"/>
      <c r="B14" s="330"/>
    </row>
    <row r="15" spans="1:12" ht="13.5" customHeight="1"/>
    <row r="16" spans="1:12" ht="13.5" customHeight="1"/>
    <row r="17" spans="1:13" ht="13.5" customHeight="1"/>
    <row r="18" spans="1:13" ht="13.5" customHeight="1"/>
    <row r="19" spans="1:13" ht="13.5" customHeight="1"/>
    <row r="20" spans="1:13" ht="13.5" customHeight="1"/>
    <row r="21" spans="1:13" s="333" customFormat="1" ht="15" customHeight="1">
      <c r="L21" s="334"/>
      <c r="M21" s="334"/>
    </row>
    <row r="22" spans="1:13">
      <c r="C22" s="177"/>
      <c r="D22" s="177"/>
    </row>
    <row r="25" spans="1:13">
      <c r="C25" s="290"/>
      <c r="D25" s="290"/>
      <c r="E25" s="290"/>
      <c r="F25" s="290"/>
      <c r="G25" s="290"/>
      <c r="H25" s="290"/>
      <c r="I25" s="290"/>
    </row>
    <row r="26" spans="1:13">
      <c r="A26" s="606"/>
      <c r="B26" s="606"/>
      <c r="C26" s="606"/>
      <c r="D26" s="606"/>
      <c r="E26" s="606"/>
      <c r="F26" s="606"/>
      <c r="G26" s="606"/>
      <c r="H26" s="606"/>
      <c r="I26" s="606"/>
    </row>
    <row r="28" spans="1:13">
      <c r="A28"/>
      <c r="B28"/>
      <c r="C28"/>
      <c r="D28"/>
      <c r="E28"/>
      <c r="F28"/>
      <c r="G28"/>
      <c r="H28"/>
      <c r="I28"/>
    </row>
    <row r="29" spans="1:13">
      <c r="A29"/>
      <c r="B29"/>
      <c r="C29"/>
      <c r="D29"/>
      <c r="E29"/>
      <c r="F29"/>
      <c r="G29"/>
      <c r="H29"/>
      <c r="I29"/>
    </row>
    <row r="30" spans="1:13">
      <c r="A30"/>
      <c r="B30"/>
      <c r="C30"/>
      <c r="D30"/>
      <c r="E30"/>
      <c r="F30"/>
      <c r="G30"/>
      <c r="H30"/>
      <c r="I30"/>
    </row>
    <row r="31" spans="1:13">
      <c r="A31"/>
      <c r="B31"/>
      <c r="C31"/>
      <c r="D31"/>
      <c r="E31"/>
      <c r="F31"/>
      <c r="G31"/>
      <c r="H31"/>
      <c r="I31"/>
    </row>
    <row r="32" spans="1:13">
      <c r="A32"/>
      <c r="B32"/>
      <c r="C32"/>
      <c r="D32"/>
      <c r="E32"/>
      <c r="F32"/>
      <c r="G32"/>
      <c r="H32"/>
      <c r="I32"/>
    </row>
    <row r="33" spans="1:9">
      <c r="A33"/>
      <c r="B33"/>
      <c r="C33"/>
      <c r="D33"/>
      <c r="E33"/>
      <c r="F33"/>
      <c r="G33"/>
      <c r="H33"/>
      <c r="I33"/>
    </row>
    <row r="34" spans="1:9">
      <c r="A34"/>
      <c r="B34"/>
      <c r="C34"/>
      <c r="D34"/>
      <c r="E34"/>
      <c r="F34"/>
      <c r="G34"/>
      <c r="H34"/>
      <c r="I34"/>
    </row>
    <row r="35" spans="1:9">
      <c r="A35"/>
      <c r="B35"/>
      <c r="C35"/>
      <c r="D35"/>
      <c r="E35"/>
      <c r="F35"/>
      <c r="G35"/>
      <c r="H35"/>
      <c r="I35"/>
    </row>
    <row r="36" spans="1:9">
      <c r="A36"/>
      <c r="B36"/>
      <c r="C36"/>
      <c r="D36"/>
      <c r="E36"/>
      <c r="F36"/>
      <c r="G36"/>
      <c r="H36"/>
      <c r="I36"/>
    </row>
    <row r="37" spans="1:9">
      <c r="A37"/>
      <c r="B37"/>
      <c r="C37"/>
      <c r="D37"/>
      <c r="E37"/>
      <c r="F37"/>
      <c r="G37"/>
      <c r="H37"/>
      <c r="I37"/>
    </row>
    <row r="38" spans="1:9">
      <c r="A38"/>
      <c r="B38"/>
      <c r="C38"/>
      <c r="D38"/>
      <c r="E38"/>
      <c r="F38"/>
      <c r="G38"/>
      <c r="H38"/>
      <c r="I38"/>
    </row>
    <row r="39" spans="1:9">
      <c r="A39"/>
      <c r="B39"/>
      <c r="C39"/>
      <c r="D39"/>
      <c r="E39"/>
      <c r="F39"/>
      <c r="G39"/>
      <c r="H39"/>
      <c r="I39"/>
    </row>
    <row r="40" spans="1:9">
      <c r="A40"/>
      <c r="B40"/>
      <c r="C40"/>
      <c r="D40"/>
      <c r="E40"/>
      <c r="F40"/>
      <c r="G40"/>
      <c r="H40"/>
      <c r="I40"/>
    </row>
    <row r="41" spans="1:9">
      <c r="A41"/>
      <c r="B41"/>
      <c r="C41"/>
      <c r="D41"/>
      <c r="E41"/>
      <c r="F41"/>
      <c r="G41"/>
      <c r="H41"/>
      <c r="I41"/>
    </row>
    <row r="42" spans="1:9">
      <c r="A42"/>
      <c r="B42"/>
      <c r="C42"/>
      <c r="D42"/>
      <c r="E42"/>
      <c r="F42"/>
      <c r="G42"/>
      <c r="H42"/>
      <c r="I42"/>
    </row>
    <row r="43" spans="1:9">
      <c r="A43"/>
      <c r="B43"/>
      <c r="C43"/>
      <c r="D43"/>
      <c r="E43"/>
      <c r="F43"/>
      <c r="G43"/>
      <c r="H43"/>
      <c r="I43"/>
    </row>
    <row r="44" spans="1:9">
      <c r="A44"/>
      <c r="B44"/>
      <c r="C44"/>
      <c r="D44"/>
      <c r="E44"/>
      <c r="F44"/>
      <c r="G44"/>
      <c r="H44"/>
      <c r="I44"/>
    </row>
    <row r="45" spans="1:9">
      <c r="A45"/>
      <c r="B45"/>
      <c r="C45"/>
      <c r="D45"/>
      <c r="E45"/>
      <c r="F45"/>
      <c r="G45"/>
      <c r="H45"/>
      <c r="I45"/>
    </row>
    <row r="46" spans="1:9">
      <c r="A46"/>
      <c r="B46"/>
      <c r="C46"/>
      <c r="D46"/>
      <c r="E46"/>
      <c r="F46"/>
      <c r="G46"/>
      <c r="H46"/>
      <c r="I46"/>
    </row>
    <row r="47" spans="1:9">
      <c r="A47"/>
      <c r="B47"/>
      <c r="C47"/>
      <c r="D47"/>
      <c r="E47"/>
      <c r="F47"/>
      <c r="G47"/>
      <c r="H47"/>
      <c r="I47"/>
    </row>
    <row r="48" spans="1:9">
      <c r="A48"/>
      <c r="B48"/>
      <c r="C48"/>
      <c r="D48"/>
      <c r="E48"/>
      <c r="F48"/>
      <c r="G48"/>
      <c r="H48"/>
      <c r="I48"/>
    </row>
    <row r="49" spans="1:9">
      <c r="A49"/>
      <c r="B49"/>
      <c r="C49"/>
      <c r="D49"/>
      <c r="E49"/>
      <c r="F49"/>
      <c r="G49"/>
      <c r="H49"/>
      <c r="I49"/>
    </row>
    <row r="50" spans="1:9">
      <c r="A50"/>
      <c r="B50"/>
      <c r="C50"/>
      <c r="D50"/>
      <c r="E50"/>
      <c r="F50"/>
      <c r="G50"/>
      <c r="H50"/>
      <c r="I50"/>
    </row>
    <row r="51" spans="1:9">
      <c r="A51"/>
      <c r="B51"/>
      <c r="C51"/>
      <c r="D51"/>
      <c r="E51"/>
      <c r="F51"/>
      <c r="G51"/>
      <c r="H51"/>
      <c r="I51"/>
    </row>
    <row r="52" spans="1:9">
      <c r="A52"/>
      <c r="B52"/>
      <c r="C52"/>
      <c r="D52"/>
      <c r="E52"/>
      <c r="F52"/>
      <c r="G52"/>
      <c r="H52"/>
      <c r="I52"/>
    </row>
    <row r="53" spans="1:9">
      <c r="A53"/>
      <c r="B53"/>
      <c r="C53"/>
      <c r="D53"/>
      <c r="E53"/>
      <c r="F53"/>
      <c r="G53"/>
      <c r="H53"/>
      <c r="I53"/>
    </row>
    <row r="54" spans="1:9">
      <c r="A54"/>
      <c r="B54"/>
      <c r="C54"/>
      <c r="D54"/>
      <c r="E54"/>
      <c r="F54"/>
      <c r="G54"/>
      <c r="H54"/>
      <c r="I54"/>
    </row>
    <row r="55" spans="1:9">
      <c r="A55"/>
      <c r="B55"/>
      <c r="C55"/>
      <c r="D55"/>
      <c r="E55"/>
      <c r="F55"/>
      <c r="G55"/>
      <c r="H55"/>
      <c r="I55"/>
    </row>
    <row r="56" spans="1:9">
      <c r="A56"/>
      <c r="B56"/>
      <c r="C56"/>
      <c r="D56"/>
      <c r="E56"/>
      <c r="F56"/>
      <c r="G56"/>
      <c r="H56"/>
      <c r="I56"/>
    </row>
    <row r="57" spans="1:9">
      <c r="A57"/>
      <c r="B57"/>
      <c r="C57"/>
      <c r="D57"/>
      <c r="E57"/>
      <c r="F57"/>
      <c r="G57"/>
      <c r="H57"/>
      <c r="I57"/>
    </row>
  </sheetData>
  <mergeCells count="2">
    <mergeCell ref="C3:D3"/>
    <mergeCell ref="A26:I26"/>
  </mergeCells>
  <pageMargins left="0.75" right="0.75" top="0.75" bottom="0.75" header="0.3" footer="0.3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000"/>
    <pageSetUpPr fitToPage="1"/>
  </sheetPr>
  <dimension ref="A1:J110"/>
  <sheetViews>
    <sheetView showGridLines="0" zoomScaleSheetLayoutView="100" workbookViewId="0">
      <selection activeCell="A44" sqref="A44"/>
    </sheetView>
  </sheetViews>
  <sheetFormatPr defaultColWidth="9" defaultRowHeight="11.25"/>
  <cols>
    <col min="1" max="1" width="36.85546875" style="41" customWidth="1"/>
    <col min="2" max="2" width="9.28515625" style="395" customWidth="1"/>
    <col min="3" max="3" width="7.5703125" style="395" customWidth="1"/>
    <col min="4" max="4" width="34.85546875" style="40" customWidth="1"/>
    <col min="5" max="5" width="9.28515625" style="40" customWidth="1"/>
    <col min="6" max="16384" width="9" style="40"/>
  </cols>
  <sheetData>
    <row r="1" spans="1:10" ht="15.75">
      <c r="A1" s="1" t="s">
        <v>372</v>
      </c>
      <c r="F1" s="303"/>
    </row>
    <row r="2" spans="1:10" s="174" customFormat="1" ht="12.75" customHeight="1">
      <c r="A2" s="204" t="s">
        <v>261</v>
      </c>
      <c r="B2" s="396"/>
      <c r="C2" s="396"/>
    </row>
    <row r="3" spans="1:10" s="196" customFormat="1" ht="30" customHeight="1">
      <c r="A3" s="397" t="s">
        <v>262</v>
      </c>
      <c r="B3" s="552">
        <v>1514605</v>
      </c>
      <c r="C3" s="398"/>
      <c r="D3" s="399"/>
      <c r="E3" s="399"/>
      <c r="G3" s="400"/>
    </row>
    <row r="4" spans="1:10" s="196" customFormat="1" ht="15" customHeight="1">
      <c r="A4" s="266" t="s">
        <v>352</v>
      </c>
      <c r="B4" s="402"/>
      <c r="C4" s="403"/>
      <c r="D4" s="401" t="s">
        <v>104</v>
      </c>
      <c r="G4" s="400"/>
    </row>
    <row r="5" spans="1:10" s="196" customFormat="1" ht="12.75" customHeight="1">
      <c r="A5" s="361" t="s">
        <v>423</v>
      </c>
      <c r="B5" s="53">
        <v>11896</v>
      </c>
      <c r="C5" s="404"/>
      <c r="D5" s="361" t="s">
        <v>268</v>
      </c>
      <c r="E5" s="53">
        <v>147250</v>
      </c>
      <c r="F5"/>
    </row>
    <row r="6" spans="1:10" s="196" customFormat="1" ht="12.75" customHeight="1">
      <c r="A6" s="361" t="s">
        <v>424</v>
      </c>
      <c r="B6" s="53">
        <v>13962</v>
      </c>
      <c r="C6" s="404"/>
      <c r="D6" s="361" t="s">
        <v>269</v>
      </c>
      <c r="E6" s="53">
        <v>200</v>
      </c>
      <c r="F6"/>
    </row>
    <row r="7" spans="1:10" s="196" customFormat="1" ht="12.75" customHeight="1">
      <c r="A7" s="361"/>
      <c r="B7" s="53"/>
      <c r="C7" s="404"/>
      <c r="E7" s="53"/>
      <c r="F7"/>
    </row>
    <row r="8" spans="1:10" s="196" customFormat="1" ht="12.75" customHeight="1">
      <c r="A8" s="50" t="s">
        <v>354</v>
      </c>
      <c r="B8" s="53"/>
      <c r="C8" s="404"/>
      <c r="D8" s="196" t="s">
        <v>357</v>
      </c>
      <c r="E8" s="53"/>
      <c r="F8"/>
    </row>
    <row r="9" spans="1:10" s="196" customFormat="1" ht="12.75" customHeight="1">
      <c r="A9" s="361" t="s">
        <v>270</v>
      </c>
      <c r="B9" s="53">
        <v>25585</v>
      </c>
      <c r="C9" s="404"/>
      <c r="D9" s="361" t="s">
        <v>272</v>
      </c>
      <c r="E9" s="53">
        <v>400</v>
      </c>
      <c r="F9"/>
      <c r="J9" s="266"/>
    </row>
    <row r="10" spans="1:10" s="196" customFormat="1" ht="12.75" customHeight="1">
      <c r="A10" s="361" t="s">
        <v>345</v>
      </c>
      <c r="B10" s="53">
        <v>1705</v>
      </c>
      <c r="C10" s="404"/>
      <c r="E10" s="53"/>
      <c r="F10"/>
      <c r="J10" s="361"/>
    </row>
    <row r="11" spans="1:10" s="196" customFormat="1" ht="12.75" customHeight="1">
      <c r="A11" s="361" t="s">
        <v>425</v>
      </c>
      <c r="B11" s="53">
        <v>22605</v>
      </c>
      <c r="C11" s="404"/>
      <c r="D11" s="196" t="s">
        <v>353</v>
      </c>
      <c r="E11" s="53"/>
      <c r="F11"/>
      <c r="J11" s="361"/>
    </row>
    <row r="12" spans="1:10" s="196" customFormat="1" ht="12.75" customHeight="1">
      <c r="A12" s="361" t="s">
        <v>273</v>
      </c>
      <c r="B12" s="53">
        <v>50000</v>
      </c>
      <c r="C12" s="404"/>
      <c r="D12" s="361" t="s">
        <v>266</v>
      </c>
      <c r="E12" s="53">
        <v>52000</v>
      </c>
      <c r="F12"/>
      <c r="J12" s="361"/>
    </row>
    <row r="13" spans="1:10" s="196" customFormat="1" ht="12.75" customHeight="1">
      <c r="A13" s="361" t="s">
        <v>274</v>
      </c>
      <c r="B13" s="53">
        <v>20025</v>
      </c>
      <c r="C13" s="404"/>
      <c r="D13" s="361" t="s">
        <v>264</v>
      </c>
      <c r="E13" s="53">
        <v>6500</v>
      </c>
      <c r="F13"/>
    </row>
    <row r="14" spans="1:10" s="196" customFormat="1" ht="12.75" customHeight="1">
      <c r="A14" s="55" t="s">
        <v>276</v>
      </c>
      <c r="B14" s="53">
        <v>1450</v>
      </c>
      <c r="C14" s="404"/>
      <c r="D14" s="361" t="s">
        <v>267</v>
      </c>
      <c r="E14" s="53">
        <v>12000</v>
      </c>
      <c r="F14"/>
    </row>
    <row r="15" spans="1:10" s="196" customFormat="1" ht="12.75" customHeight="1">
      <c r="A15" s="361" t="s">
        <v>277</v>
      </c>
      <c r="B15" s="53">
        <v>1000</v>
      </c>
      <c r="C15" s="404"/>
      <c r="E15" s="53"/>
      <c r="F15"/>
      <c r="J15" s="361"/>
    </row>
    <row r="16" spans="1:10" s="196" customFormat="1" ht="12.75" customHeight="1">
      <c r="A16" s="361"/>
      <c r="B16" s="53"/>
      <c r="C16" s="404"/>
      <c r="D16" s="266" t="s">
        <v>359</v>
      </c>
      <c r="E16" s="53"/>
      <c r="F16"/>
    </row>
    <row r="17" spans="1:8" s="196" customFormat="1" ht="12.75" customHeight="1">
      <c r="A17" s="50" t="s">
        <v>100</v>
      </c>
      <c r="B17" s="53"/>
      <c r="C17" s="404"/>
      <c r="D17" s="361" t="s">
        <v>271</v>
      </c>
      <c r="E17" s="53">
        <v>4574</v>
      </c>
      <c r="F17"/>
    </row>
    <row r="18" spans="1:8" s="196" customFormat="1" ht="12.75" customHeight="1">
      <c r="A18" s="361" t="s">
        <v>280</v>
      </c>
      <c r="B18" s="53">
        <v>150000</v>
      </c>
      <c r="C18" s="404"/>
      <c r="E18" s="53"/>
      <c r="F18"/>
    </row>
    <row r="19" spans="1:8" s="196" customFormat="1" ht="12.75" customHeight="1">
      <c r="A19" s="548" t="s">
        <v>107</v>
      </c>
      <c r="B19" s="53">
        <v>150000</v>
      </c>
      <c r="C19" s="404"/>
      <c r="D19" s="196" t="s">
        <v>107</v>
      </c>
      <c r="E19" s="53"/>
      <c r="F19"/>
    </row>
    <row r="20" spans="1:8" s="174" customFormat="1" ht="12.75" customHeight="1">
      <c r="B20" s="53"/>
      <c r="C20" s="404"/>
      <c r="D20" s="361" t="s">
        <v>275</v>
      </c>
      <c r="E20" s="53">
        <v>40000</v>
      </c>
      <c r="F20"/>
    </row>
    <row r="21" spans="1:8" s="174" customFormat="1" ht="12.75" customHeight="1">
      <c r="A21" s="266" t="s">
        <v>355</v>
      </c>
      <c r="B21" s="53"/>
      <c r="E21" s="53"/>
      <c r="F21"/>
    </row>
    <row r="22" spans="1:8" s="174" customFormat="1" ht="12.75" customHeight="1">
      <c r="A22" s="405" t="s">
        <v>263</v>
      </c>
      <c r="B22" s="53">
        <v>500</v>
      </c>
      <c r="D22" s="266" t="s">
        <v>108</v>
      </c>
      <c r="E22" s="53"/>
      <c r="F22"/>
    </row>
    <row r="23" spans="1:8" s="174" customFormat="1" ht="12.75" customHeight="1">
      <c r="B23" s="53"/>
      <c r="C23" s="404"/>
      <c r="D23" s="35" t="s">
        <v>342</v>
      </c>
      <c r="E23" s="53">
        <v>1000</v>
      </c>
      <c r="F23"/>
    </row>
    <row r="24" spans="1:8" s="174" customFormat="1" ht="12.75" customHeight="1">
      <c r="A24" s="266" t="s">
        <v>103</v>
      </c>
      <c r="B24" s="53"/>
      <c r="C24" s="404"/>
      <c r="D24" s="174" t="s">
        <v>278</v>
      </c>
      <c r="E24" s="53">
        <v>1600</v>
      </c>
      <c r="F24"/>
    </row>
    <row r="25" spans="1:8" s="174" customFormat="1" ht="12.75" customHeight="1">
      <c r="A25" s="361" t="s">
        <v>265</v>
      </c>
      <c r="B25" s="53">
        <v>756603</v>
      </c>
      <c r="C25" s="404"/>
      <c r="D25" s="406" t="s">
        <v>279</v>
      </c>
      <c r="E25" s="193">
        <v>43750</v>
      </c>
      <c r="F25"/>
    </row>
    <row r="26" spans="1:8" s="174" customFormat="1" ht="12.75" customHeight="1" thickBot="1">
      <c r="A26" s="549"/>
      <c r="B26" s="520"/>
      <c r="C26" s="407"/>
      <c r="D26" s="408" t="s">
        <v>281</v>
      </c>
      <c r="E26" s="521">
        <v>1514605</v>
      </c>
      <c r="F26"/>
    </row>
    <row r="27" spans="1:8" s="174" customFormat="1" ht="10.5" customHeight="1">
      <c r="F27"/>
    </row>
    <row r="28" spans="1:8" s="174" customFormat="1" ht="12" customHeight="1">
      <c r="A28"/>
      <c r="B28"/>
      <c r="F28"/>
    </row>
    <row r="29" spans="1:8" s="174" customFormat="1" ht="12" customHeight="1">
      <c r="A29"/>
      <c r="B29"/>
      <c r="F29"/>
    </row>
    <row r="30" spans="1:8" s="174" customFormat="1" ht="14.25" customHeight="1">
      <c r="B30" s="404"/>
      <c r="F30"/>
    </row>
    <row r="31" spans="1:8" s="174" customFormat="1" ht="10.5" customHeight="1">
      <c r="B31" s="409"/>
      <c r="C31" s="404"/>
      <c r="F31"/>
      <c r="G31" s="410"/>
      <c r="H31" s="410"/>
    </row>
    <row r="32" spans="1:8" s="174" customFormat="1" ht="12.75" customHeight="1">
      <c r="B32" s="404"/>
      <c r="C32" s="411"/>
      <c r="G32" s="410"/>
      <c r="H32" s="410"/>
    </row>
    <row r="33" spans="1:8" s="174" customFormat="1" ht="20.25" customHeight="1">
      <c r="A33" s="526"/>
      <c r="B33" s="404"/>
      <c r="C33" s="411"/>
      <c r="G33" s="410"/>
      <c r="H33" s="410"/>
    </row>
    <row r="34" spans="1:8" s="174" customFormat="1" ht="10.5" customHeight="1">
      <c r="B34" s="196"/>
      <c r="C34" s="39"/>
    </row>
    <row r="35" spans="1:8" s="174" customFormat="1" ht="12.75" customHeight="1">
      <c r="B35" s="196"/>
      <c r="C35" s="196"/>
    </row>
    <row r="36" spans="1:8" s="174" customFormat="1" ht="12.75" customHeight="1">
      <c r="B36" s="404"/>
      <c r="C36" s="196"/>
    </row>
    <row r="37" spans="1:8" s="174" customFormat="1" ht="12.75" customHeight="1">
      <c r="B37" s="404"/>
      <c r="C37" s="39"/>
    </row>
    <row r="38" spans="1:8" s="174" customFormat="1" ht="10.5" customHeight="1">
      <c r="B38" s="404"/>
      <c r="C38" s="411"/>
    </row>
    <row r="39" spans="1:8" s="174" customFormat="1" ht="12.75" customHeight="1">
      <c r="B39" s="404"/>
      <c r="C39" s="411"/>
    </row>
    <row r="40" spans="1:8" s="174" customFormat="1" ht="12.75" customHeight="1">
      <c r="B40" s="404"/>
      <c r="C40" s="411"/>
    </row>
    <row r="41" spans="1:8" s="174" customFormat="1" ht="12.75" customHeight="1">
      <c r="B41" s="404"/>
      <c r="C41" s="39"/>
    </row>
    <row r="42" spans="1:8" s="174" customFormat="1" ht="10.5" customHeight="1">
      <c r="B42" s="404"/>
      <c r="C42" s="39"/>
    </row>
    <row r="43" spans="1:8" s="174" customFormat="1" ht="12.75" customHeight="1">
      <c r="B43" s="404"/>
      <c r="C43" s="39"/>
    </row>
    <row r="44" spans="1:8" s="174" customFormat="1" ht="12.75" customHeight="1">
      <c r="B44" s="404"/>
      <c r="C44" s="39"/>
    </row>
    <row r="45" spans="1:8" s="174" customFormat="1" ht="12.75" customHeight="1">
      <c r="B45" s="404"/>
      <c r="C45" s="39"/>
    </row>
    <row r="46" spans="1:8" s="174" customFormat="1" ht="10.5" customHeight="1"/>
    <row r="47" spans="1:8" s="174" customFormat="1" ht="12.75" customHeight="1">
      <c r="B47" s="404"/>
    </row>
    <row r="48" spans="1:8" s="174" customFormat="1" ht="12.75" customHeight="1">
      <c r="B48" s="404"/>
    </row>
    <row r="49" spans="1:5" s="174" customFormat="1" ht="10.5" customHeight="1">
      <c r="B49" s="404"/>
    </row>
    <row r="50" spans="1:5" s="174" customFormat="1" ht="12.75" customHeight="1">
      <c r="B50" s="404"/>
    </row>
    <row r="51" spans="1:5" s="174" customFormat="1" ht="12.75" customHeight="1">
      <c r="B51" s="404"/>
    </row>
    <row r="52" spans="1:5" s="174" customFormat="1" ht="12.75" customHeight="1">
      <c r="B52" s="404"/>
    </row>
    <row r="53" spans="1:5" s="174" customFormat="1" ht="12.75" customHeight="1">
      <c r="B53" s="404"/>
      <c r="C53" s="39"/>
    </row>
    <row r="54" spans="1:5" s="174" customFormat="1" ht="12.75" customHeight="1">
      <c r="B54" s="411"/>
      <c r="C54" s="411"/>
    </row>
    <row r="55" spans="1:5" s="174" customFormat="1" ht="12.75" customHeight="1">
      <c r="B55" s="411"/>
      <c r="C55" s="411"/>
      <c r="D55" s="131"/>
      <c r="E55" s="131"/>
    </row>
    <row r="56" spans="1:5" s="174" customFormat="1" ht="12.75" customHeight="1">
      <c r="B56" s="411"/>
      <c r="C56" s="411"/>
    </row>
    <row r="57" spans="1:5" s="174" customFormat="1" ht="12.75" customHeight="1">
      <c r="A57" s="412"/>
      <c r="B57" s="411"/>
      <c r="C57" s="411"/>
    </row>
    <row r="58" spans="1:5" s="174" customFormat="1" ht="12.75" customHeight="1">
      <c r="B58" s="411"/>
      <c r="C58" s="411"/>
    </row>
    <row r="59" spans="1:5" s="174" customFormat="1" ht="12.75" customHeight="1">
      <c r="A59" s="40"/>
    </row>
    <row r="60" spans="1:5" s="174" customFormat="1" ht="12.75" customHeight="1">
      <c r="A60" s="40"/>
    </row>
    <row r="61" spans="1:5" s="174" customFormat="1" ht="12.75" customHeight="1">
      <c r="A61" s="40"/>
    </row>
    <row r="62" spans="1:5" s="174" customFormat="1" ht="12.75" customHeight="1">
      <c r="A62" s="40"/>
    </row>
    <row r="63" spans="1:5" s="174" customFormat="1" ht="12.75" customHeight="1">
      <c r="A63" s="40"/>
      <c r="D63" s="413"/>
      <c r="E63" s="413"/>
    </row>
    <row r="64" spans="1:5" s="174" customFormat="1" ht="12.75" customHeight="1">
      <c r="A64" s="40"/>
      <c r="D64" s="413"/>
      <c r="E64" s="413"/>
    </row>
    <row r="65" spans="1:5" s="174" customFormat="1" ht="12.75" customHeight="1">
      <c r="A65" s="413"/>
      <c r="D65" s="414"/>
      <c r="E65" s="414"/>
    </row>
    <row r="66" spans="1:5" s="174" customFormat="1" ht="12.75" customHeight="1">
      <c r="A66" s="40"/>
      <c r="D66" s="413"/>
      <c r="E66" s="413"/>
    </row>
    <row r="67" spans="1:5" s="174" customFormat="1" ht="12.75" customHeight="1">
      <c r="A67" s="40"/>
      <c r="B67" s="411"/>
      <c r="C67" s="411"/>
    </row>
    <row r="68" spans="1:5" s="174" customFormat="1" ht="12.75" customHeight="1">
      <c r="A68" s="40"/>
      <c r="B68" s="411"/>
      <c r="C68" s="411"/>
    </row>
    <row r="69" spans="1:5" s="174" customFormat="1" ht="12.75" customHeight="1">
      <c r="A69" s="40"/>
      <c r="B69" s="411"/>
      <c r="C69" s="411"/>
      <c r="D69" s="413"/>
      <c r="E69" s="413"/>
    </row>
    <row r="70" spans="1:5" s="174" customFormat="1" ht="12.75" customHeight="1">
      <c r="A70" s="40"/>
      <c r="B70" s="411"/>
      <c r="C70" s="411"/>
      <c r="D70" s="413"/>
      <c r="E70" s="413"/>
    </row>
    <row r="71" spans="1:5" s="174" customFormat="1" ht="12.75" customHeight="1">
      <c r="A71" s="40"/>
      <c r="B71" s="404"/>
      <c r="C71" s="404"/>
      <c r="D71" s="413"/>
      <c r="E71" s="413"/>
    </row>
    <row r="72" spans="1:5" s="174" customFormat="1" ht="12.75" customHeight="1">
      <c r="A72" s="40"/>
      <c r="B72" s="404"/>
      <c r="C72" s="404"/>
      <c r="D72" s="413"/>
      <c r="E72" s="413"/>
    </row>
    <row r="73" spans="1:5" s="174" customFormat="1" ht="12.75" customHeight="1">
      <c r="A73" s="40"/>
    </row>
    <row r="74" spans="1:5" ht="12" customHeight="1">
      <c r="A74" s="40"/>
      <c r="B74" s="174"/>
      <c r="C74" s="174"/>
      <c r="D74" s="174"/>
      <c r="E74" s="174"/>
    </row>
    <row r="75" spans="1:5" ht="12" customHeight="1">
      <c r="A75" s="40"/>
      <c r="B75" s="40"/>
      <c r="C75" s="40"/>
      <c r="D75" s="174"/>
      <c r="E75" s="174"/>
    </row>
    <row r="76" spans="1:5" ht="12" customHeight="1">
      <c r="A76" s="40"/>
      <c r="B76" s="40"/>
      <c r="C76" s="40"/>
      <c r="D76" s="174"/>
      <c r="E76" s="174"/>
    </row>
    <row r="77" spans="1:5" ht="12" customHeight="1">
      <c r="A77" s="40"/>
      <c r="B77" s="40"/>
      <c r="C77" s="40"/>
      <c r="D77" s="174"/>
      <c r="E77" s="174"/>
    </row>
    <row r="78" spans="1:5" ht="12" customHeight="1">
      <c r="A78" s="40"/>
      <c r="B78" s="40"/>
      <c r="C78" s="40"/>
      <c r="D78" s="174"/>
      <c r="E78" s="174"/>
    </row>
    <row r="79" spans="1:5" ht="12" customHeight="1">
      <c r="A79" s="40"/>
      <c r="B79" s="40"/>
      <c r="C79" s="40"/>
    </row>
    <row r="80" spans="1:5" ht="12" customHeight="1">
      <c r="A80" s="40"/>
      <c r="B80" s="40"/>
      <c r="C80" s="40"/>
    </row>
    <row r="81" s="40" customFormat="1" ht="12" customHeight="1"/>
    <row r="82" s="40" customFormat="1" ht="12" customHeight="1"/>
    <row r="83" s="40" customFormat="1" ht="12" customHeight="1"/>
    <row r="84" s="40" customFormat="1" ht="12" customHeight="1"/>
    <row r="85" s="40" customFormat="1" ht="12" customHeight="1"/>
    <row r="86" s="40" customFormat="1" ht="12" customHeight="1"/>
    <row r="87" s="40" customFormat="1" ht="12" customHeight="1"/>
    <row r="88" s="40" customFormat="1" ht="12" customHeight="1"/>
    <row r="89" s="40" customFormat="1" ht="12" customHeight="1"/>
    <row r="90" s="40" customFormat="1" ht="12" customHeight="1"/>
    <row r="91" s="40" customFormat="1" ht="12" customHeight="1"/>
    <row r="92" s="40" customFormat="1" ht="12" customHeight="1"/>
    <row r="93" s="40" customFormat="1" ht="12" customHeight="1"/>
    <row r="94" s="40" customFormat="1" ht="12" customHeight="1"/>
    <row r="95" s="40" customFormat="1" ht="12" customHeight="1"/>
    <row r="96" s="40" customFormat="1" ht="12" customHeight="1"/>
    <row r="97" spans="1:5" ht="12" customHeight="1">
      <c r="A97" s="40"/>
      <c r="B97" s="40"/>
      <c r="C97" s="40"/>
    </row>
    <row r="98" spans="1:5" ht="12" customHeight="1">
      <c r="A98" s="40"/>
      <c r="B98" s="40"/>
      <c r="C98" s="40"/>
    </row>
    <row r="99" spans="1:5" ht="12" customHeight="1">
      <c r="A99" s="40"/>
      <c r="B99" s="40"/>
      <c r="C99" s="40"/>
    </row>
    <row r="100" spans="1:5" ht="12" customHeight="1">
      <c r="A100" s="40"/>
      <c r="B100" s="40"/>
      <c r="C100" s="40"/>
    </row>
    <row r="101" spans="1:5" ht="12" customHeight="1">
      <c r="A101" s="40"/>
      <c r="B101" s="40"/>
      <c r="C101" s="40"/>
    </row>
    <row r="102" spans="1:5" ht="12" customHeight="1">
      <c r="A102" s="40"/>
      <c r="B102" s="40"/>
      <c r="C102" s="40"/>
    </row>
    <row r="103" spans="1:5" ht="12" customHeight="1">
      <c r="A103" s="40"/>
      <c r="B103" s="40"/>
      <c r="C103" s="40"/>
    </row>
    <row r="104" spans="1:5" s="266" customFormat="1" ht="15" customHeight="1">
      <c r="A104" s="40"/>
      <c r="B104" s="40"/>
      <c r="C104" s="40"/>
      <c r="D104" s="40"/>
      <c r="E104" s="40"/>
    </row>
    <row r="105" spans="1:5" ht="12" customHeight="1">
      <c r="A105" s="266"/>
      <c r="B105" s="266"/>
      <c r="C105" s="266"/>
    </row>
    <row r="106" spans="1:5">
      <c r="A106" s="40"/>
      <c r="B106" s="40"/>
      <c r="C106" s="40"/>
    </row>
    <row r="107" spans="1:5">
      <c r="A107" s="40"/>
      <c r="B107" s="40"/>
      <c r="C107" s="40"/>
    </row>
    <row r="108" spans="1:5">
      <c r="A108" s="40"/>
      <c r="B108" s="40"/>
      <c r="C108" s="40"/>
    </row>
    <row r="109" spans="1:5">
      <c r="A109" s="40"/>
      <c r="B109" s="40"/>
      <c r="C109" s="40"/>
    </row>
    <row r="110" spans="1:5">
      <c r="A110" s="40"/>
      <c r="B110" s="40"/>
      <c r="C110" s="40"/>
    </row>
  </sheetData>
  <pageMargins left="0.75" right="0.75" top="0.75" bottom="0.75" header="0.3" footer="0.3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000"/>
    <pageSetUpPr fitToPage="1"/>
  </sheetPr>
  <dimension ref="A1:J85"/>
  <sheetViews>
    <sheetView showGridLines="0" topLeftCell="A25" zoomScaleNormal="100" workbookViewId="0">
      <selection activeCell="A44" sqref="A44"/>
    </sheetView>
  </sheetViews>
  <sheetFormatPr defaultColWidth="9" defaultRowHeight="12"/>
  <cols>
    <col min="1" max="1" width="73.42578125" style="264" customWidth="1"/>
    <col min="2" max="2" width="9" style="89" customWidth="1"/>
    <col min="3" max="3" width="9" style="336" customWidth="1"/>
    <col min="4" max="4" width="9" style="89" customWidth="1"/>
    <col min="5" max="5" width="7" style="89" customWidth="1"/>
    <col min="6" max="6" width="8.5703125" customWidth="1"/>
    <col min="7" max="7" width="9.5703125" customWidth="1"/>
    <col min="8" max="8" width="10" style="89" customWidth="1"/>
    <col min="9" max="16384" width="9" style="236"/>
  </cols>
  <sheetData>
    <row r="1" spans="1:10" ht="18.75">
      <c r="A1" s="335" t="s">
        <v>239</v>
      </c>
    </row>
    <row r="2" spans="1:10" s="376" customFormat="1" ht="12.75" customHeight="1">
      <c r="A2" s="264"/>
      <c r="B2" s="271" t="s">
        <v>5</v>
      </c>
      <c r="C2" s="375" t="s">
        <v>6</v>
      </c>
      <c r="D2" s="98"/>
      <c r="E2" s="98"/>
      <c r="F2"/>
      <c r="G2"/>
      <c r="H2" s="271"/>
    </row>
    <row r="3" spans="1:10" s="376" customFormat="1" ht="12.75" customHeight="1">
      <c r="A3" s="377"/>
      <c r="B3" s="378" t="s">
        <v>8</v>
      </c>
      <c r="C3" s="379" t="s">
        <v>10</v>
      </c>
      <c r="D3" s="380" t="s">
        <v>199</v>
      </c>
      <c r="E3" s="271"/>
      <c r="F3"/>
      <c r="G3"/>
      <c r="H3" s="271"/>
    </row>
    <row r="4" spans="1:10" s="376" customFormat="1" ht="12.75" customHeight="1">
      <c r="A4" s="381" t="s">
        <v>240</v>
      </c>
      <c r="B4" s="382"/>
      <c r="C4" s="375"/>
      <c r="D4" s="271"/>
      <c r="E4" s="271"/>
      <c r="F4"/>
      <c r="G4"/>
      <c r="H4" s="271"/>
      <c r="J4" s="131"/>
    </row>
    <row r="5" spans="1:10" s="269" customFormat="1" ht="12.75" customHeight="1">
      <c r="A5" s="219" t="s">
        <v>98</v>
      </c>
      <c r="B5" s="173">
        <v>281</v>
      </c>
      <c r="C5" s="375">
        <v>291</v>
      </c>
      <c r="D5" s="48">
        <v>10</v>
      </c>
      <c r="E5" s="48"/>
      <c r="F5"/>
      <c r="G5"/>
      <c r="H5" s="98"/>
      <c r="J5" s="131"/>
    </row>
    <row r="6" spans="1:10" s="269" customFormat="1" ht="12.75" customHeight="1">
      <c r="A6" s="219" t="s">
        <v>351</v>
      </c>
      <c r="B6" s="173">
        <v>75</v>
      </c>
      <c r="C6" s="375">
        <v>86</v>
      </c>
      <c r="D6" s="48">
        <v>11</v>
      </c>
      <c r="E6" s="48"/>
      <c r="F6"/>
      <c r="G6"/>
      <c r="H6" s="98"/>
      <c r="J6" s="131"/>
    </row>
    <row r="7" spans="1:10" s="269" customFormat="1" ht="12.75" customHeight="1">
      <c r="A7" s="219" t="s">
        <v>352</v>
      </c>
      <c r="B7" s="173">
        <v>622</v>
      </c>
      <c r="C7" s="375">
        <v>625</v>
      </c>
      <c r="D7" s="48">
        <v>3</v>
      </c>
      <c r="E7" s="48"/>
      <c r="F7"/>
      <c r="G7"/>
      <c r="H7" s="98"/>
      <c r="J7" s="131"/>
    </row>
    <row r="8" spans="1:10" s="269" customFormat="1" ht="12.75" customHeight="1">
      <c r="A8" s="219" t="s">
        <v>99</v>
      </c>
      <c r="B8" s="173">
        <v>3015</v>
      </c>
      <c r="C8" s="375">
        <v>3026</v>
      </c>
      <c r="D8" s="48">
        <v>11</v>
      </c>
      <c r="E8" s="48"/>
      <c r="F8"/>
      <c r="G8"/>
      <c r="H8" s="98"/>
      <c r="J8" s="131"/>
    </row>
    <row r="9" spans="1:10" s="269" customFormat="1" ht="12.75" customHeight="1">
      <c r="A9" s="219" t="s">
        <v>354</v>
      </c>
      <c r="B9" s="173">
        <v>498</v>
      </c>
      <c r="C9" s="375">
        <v>499</v>
      </c>
      <c r="D9" s="48">
        <v>1</v>
      </c>
      <c r="E9" s="48"/>
      <c r="F9"/>
      <c r="G9"/>
      <c r="H9" s="98"/>
      <c r="J9" s="219"/>
    </row>
    <row r="10" spans="1:10" s="269" customFormat="1" ht="12.75" customHeight="1">
      <c r="A10" s="219" t="s">
        <v>100</v>
      </c>
      <c r="B10" s="173">
        <v>507</v>
      </c>
      <c r="C10" s="375">
        <v>566</v>
      </c>
      <c r="D10" s="173">
        <v>59</v>
      </c>
      <c r="E10" s="48"/>
      <c r="F10"/>
      <c r="G10"/>
      <c r="H10" s="98"/>
      <c r="J10" s="131"/>
    </row>
    <row r="11" spans="1:10" s="269" customFormat="1" ht="12.75" customHeight="1">
      <c r="A11" s="219" t="s">
        <v>101</v>
      </c>
      <c r="B11" s="173">
        <v>448</v>
      </c>
      <c r="C11" s="375">
        <v>451</v>
      </c>
      <c r="D11" s="173">
        <v>3</v>
      </c>
      <c r="E11" s="173"/>
      <c r="F11"/>
      <c r="G11"/>
      <c r="H11" s="98"/>
      <c r="J11" s="131"/>
    </row>
    <row r="12" spans="1:10" s="269" customFormat="1" ht="12.75" customHeight="1">
      <c r="A12" s="219" t="s">
        <v>355</v>
      </c>
      <c r="B12" s="173">
        <v>1221</v>
      </c>
      <c r="C12" s="375">
        <v>1219</v>
      </c>
      <c r="D12" s="48">
        <v>-2</v>
      </c>
      <c r="E12" s="48"/>
      <c r="F12"/>
      <c r="G12"/>
      <c r="H12" s="98"/>
      <c r="J12" s="131"/>
    </row>
    <row r="13" spans="1:10" s="269" customFormat="1" ht="12.75" customHeight="1">
      <c r="A13" s="219" t="s">
        <v>102</v>
      </c>
      <c r="B13" s="173">
        <v>150</v>
      </c>
      <c r="C13" s="375">
        <v>162</v>
      </c>
      <c r="D13" s="48">
        <v>12</v>
      </c>
      <c r="E13" s="48"/>
      <c r="F13"/>
      <c r="G13"/>
      <c r="H13" s="98"/>
      <c r="J13" s="131"/>
    </row>
    <row r="14" spans="1:10" s="269" customFormat="1" ht="12.75" customHeight="1">
      <c r="A14" s="219" t="s">
        <v>356</v>
      </c>
      <c r="B14" s="173">
        <v>1562</v>
      </c>
      <c r="C14" s="375">
        <v>1666</v>
      </c>
      <c r="D14" s="48">
        <v>104</v>
      </c>
      <c r="E14" s="48"/>
      <c r="F14"/>
      <c r="G14"/>
      <c r="H14" s="98"/>
      <c r="J14" s="131"/>
    </row>
    <row r="15" spans="1:10" s="269" customFormat="1" ht="12.75" customHeight="1">
      <c r="A15" s="219" t="s">
        <v>103</v>
      </c>
      <c r="B15" s="173">
        <v>802</v>
      </c>
      <c r="C15" s="375">
        <v>850</v>
      </c>
      <c r="D15" s="48">
        <v>48</v>
      </c>
      <c r="E15" s="48"/>
      <c r="F15"/>
      <c r="G15"/>
      <c r="H15" s="98"/>
      <c r="J15" s="131"/>
    </row>
    <row r="16" spans="1:10" s="269" customFormat="1" ht="12.75" customHeight="1">
      <c r="A16" s="219" t="s">
        <v>104</v>
      </c>
      <c r="B16" s="173">
        <v>175</v>
      </c>
      <c r="C16" s="375">
        <v>176</v>
      </c>
      <c r="D16" s="173">
        <v>1</v>
      </c>
      <c r="E16" s="48"/>
      <c r="F16"/>
      <c r="G16"/>
      <c r="H16" s="98"/>
      <c r="J16" s="131"/>
    </row>
    <row r="17" spans="1:10" s="269" customFormat="1" ht="12.75" customHeight="1">
      <c r="A17" s="219" t="s">
        <v>105</v>
      </c>
      <c r="B17" s="173">
        <v>809</v>
      </c>
      <c r="C17" s="375">
        <v>816</v>
      </c>
      <c r="D17" s="173">
        <v>7</v>
      </c>
      <c r="E17" s="173"/>
      <c r="F17"/>
      <c r="G17"/>
      <c r="H17" s="98"/>
      <c r="J17" s="131"/>
    </row>
    <row r="18" spans="1:10" s="269" customFormat="1" ht="12.75" customHeight="1">
      <c r="A18" s="219" t="s">
        <v>357</v>
      </c>
      <c r="B18" s="173">
        <v>882</v>
      </c>
      <c r="C18" s="375">
        <v>858</v>
      </c>
      <c r="D18" s="173">
        <v>-24</v>
      </c>
      <c r="E18" s="48"/>
      <c r="F18"/>
      <c r="G18"/>
      <c r="H18" s="98"/>
      <c r="J18" s="131"/>
    </row>
    <row r="19" spans="1:10" ht="12.75" customHeight="1">
      <c r="A19" s="219" t="s">
        <v>358</v>
      </c>
      <c r="B19" s="173">
        <v>2834</v>
      </c>
      <c r="C19" s="375">
        <v>3197</v>
      </c>
      <c r="D19" s="48">
        <v>363</v>
      </c>
      <c r="E19" s="48"/>
    </row>
    <row r="20" spans="1:10" s="269" customFormat="1" ht="12.75" customHeight="1">
      <c r="A20" s="219" t="s">
        <v>360</v>
      </c>
      <c r="B20" s="178">
        <v>71</v>
      </c>
      <c r="C20" s="375">
        <v>87</v>
      </c>
      <c r="D20" s="178">
        <v>16</v>
      </c>
      <c r="E20" s="178"/>
      <c r="F20"/>
      <c r="G20"/>
      <c r="H20" s="98"/>
      <c r="J20" s="131"/>
    </row>
    <row r="21" spans="1:10" s="269" customFormat="1" ht="12.75" customHeight="1">
      <c r="A21" s="219" t="s">
        <v>106</v>
      </c>
      <c r="B21" s="178">
        <v>442</v>
      </c>
      <c r="C21" s="375">
        <v>441</v>
      </c>
      <c r="D21" s="48">
        <v>-1</v>
      </c>
      <c r="E21" s="48"/>
      <c r="F21"/>
      <c r="G21"/>
      <c r="H21" s="98"/>
      <c r="J21" s="131"/>
    </row>
    <row r="22" spans="1:10" s="269" customFormat="1" ht="12.75" customHeight="1">
      <c r="A22" s="219" t="s">
        <v>361</v>
      </c>
      <c r="B22" s="178">
        <v>3832</v>
      </c>
      <c r="C22" s="375">
        <v>4530</v>
      </c>
      <c r="D22" s="48">
        <v>698</v>
      </c>
      <c r="E22" s="48"/>
      <c r="F22"/>
      <c r="G22"/>
      <c r="H22" s="98"/>
      <c r="J22" s="131"/>
    </row>
    <row r="23" spans="1:10" s="269" customFormat="1" ht="12.75" customHeight="1">
      <c r="A23" s="219" t="s">
        <v>353</v>
      </c>
      <c r="B23" s="173">
        <v>3009</v>
      </c>
      <c r="C23" s="375">
        <v>3050</v>
      </c>
      <c r="D23" s="173">
        <v>41</v>
      </c>
      <c r="E23" s="48"/>
      <c r="F23"/>
      <c r="G23"/>
      <c r="H23" s="98"/>
      <c r="J23" s="131"/>
    </row>
    <row r="24" spans="1:10" s="269" customFormat="1" ht="12.75" customHeight="1">
      <c r="A24" s="219" t="s">
        <v>362</v>
      </c>
      <c r="B24" s="173">
        <v>959</v>
      </c>
      <c r="C24" s="375">
        <v>1077</v>
      </c>
      <c r="D24" s="173">
        <v>118</v>
      </c>
      <c r="E24" s="48"/>
      <c r="F24"/>
      <c r="G24"/>
      <c r="H24" s="98"/>
      <c r="J24" s="131"/>
    </row>
    <row r="25" spans="1:10" s="269" customFormat="1" ht="12.75" customHeight="1">
      <c r="A25" s="219" t="s">
        <v>363</v>
      </c>
      <c r="B25" s="173">
        <v>221</v>
      </c>
      <c r="C25" s="375">
        <v>226</v>
      </c>
      <c r="D25" s="173">
        <v>5</v>
      </c>
      <c r="E25" s="48"/>
      <c r="F25"/>
      <c r="G25"/>
      <c r="H25" s="98"/>
      <c r="J25" s="131"/>
    </row>
    <row r="26" spans="1:10" s="269" customFormat="1" ht="12.75" customHeight="1">
      <c r="A26" s="219" t="s">
        <v>364</v>
      </c>
      <c r="B26" s="173">
        <v>1197</v>
      </c>
      <c r="C26" s="375">
        <v>1201</v>
      </c>
      <c r="D26" s="173">
        <v>4</v>
      </c>
      <c r="E26" s="48"/>
      <c r="F26"/>
      <c r="G26"/>
      <c r="H26" s="98"/>
      <c r="J26" s="131"/>
    </row>
    <row r="27" spans="1:10" s="269" customFormat="1" ht="12.75" customHeight="1">
      <c r="A27" s="219" t="s">
        <v>359</v>
      </c>
      <c r="B27" s="173">
        <v>208</v>
      </c>
      <c r="C27" s="375">
        <v>242</v>
      </c>
      <c r="D27" s="173">
        <v>34</v>
      </c>
      <c r="E27" s="48"/>
      <c r="F27"/>
      <c r="G27"/>
      <c r="H27" s="98"/>
      <c r="J27" s="131"/>
    </row>
    <row r="28" spans="1:10" s="269" customFormat="1" ht="12.75" customHeight="1">
      <c r="A28" s="219" t="s">
        <v>365</v>
      </c>
      <c r="B28" s="178">
        <v>775</v>
      </c>
      <c r="C28" s="375">
        <v>742</v>
      </c>
      <c r="D28" s="178">
        <v>-33</v>
      </c>
      <c r="E28" s="178"/>
      <c r="F28"/>
      <c r="G28"/>
      <c r="H28" s="98"/>
      <c r="J28" s="131"/>
    </row>
    <row r="29" spans="1:10" s="269" customFormat="1" ht="12.75" customHeight="1">
      <c r="A29" s="219" t="s">
        <v>241</v>
      </c>
      <c r="B29" s="178">
        <v>562</v>
      </c>
      <c r="C29" s="375">
        <v>591</v>
      </c>
      <c r="D29" s="178">
        <v>29</v>
      </c>
      <c r="E29" s="178"/>
      <c r="F29"/>
      <c r="G29"/>
      <c r="H29" s="98"/>
    </row>
    <row r="30" spans="1:10" s="269" customFormat="1" ht="12.75" customHeight="1">
      <c r="A30" s="219" t="s">
        <v>242</v>
      </c>
      <c r="B30" s="178">
        <v>270</v>
      </c>
      <c r="C30" s="375">
        <v>270</v>
      </c>
      <c r="D30" s="178">
        <v>0</v>
      </c>
      <c r="E30" s="178"/>
      <c r="F30"/>
      <c r="G30"/>
      <c r="H30" s="98"/>
    </row>
    <row r="31" spans="1:10" ht="12.75" customHeight="1">
      <c r="A31" s="219" t="s">
        <v>243</v>
      </c>
      <c r="B31" s="178">
        <v>554</v>
      </c>
      <c r="C31" s="375">
        <v>627</v>
      </c>
      <c r="D31" s="178">
        <v>73</v>
      </c>
      <c r="E31" s="53"/>
    </row>
    <row r="32" spans="1:10" ht="12.75" customHeight="1">
      <c r="A32" s="220" t="s">
        <v>240</v>
      </c>
      <c r="B32" s="331">
        <v>25981</v>
      </c>
      <c r="C32" s="383">
        <v>27572</v>
      </c>
      <c r="D32" s="331">
        <v>1591</v>
      </c>
      <c r="E32" s="332"/>
      <c r="F32" s="89"/>
    </row>
    <row r="33" spans="1:8" ht="4.5" customHeight="1">
      <c r="A33" s="384"/>
      <c r="B33" s="332"/>
      <c r="C33" s="385"/>
      <c r="D33" s="332"/>
      <c r="E33" s="332"/>
    </row>
    <row r="34" spans="1:8" ht="12.75" customHeight="1">
      <c r="A34" s="381" t="s">
        <v>244</v>
      </c>
      <c r="B34" s="48"/>
      <c r="C34" s="375"/>
      <c r="D34" s="48"/>
      <c r="E34" s="48"/>
    </row>
    <row r="35" spans="1:8" s="269" customFormat="1" ht="12.75" customHeight="1">
      <c r="A35" s="219" t="s">
        <v>245</v>
      </c>
      <c r="B35" s="48">
        <v>32140</v>
      </c>
      <c r="C35" s="375">
        <v>32403</v>
      </c>
      <c r="D35" s="48">
        <v>263</v>
      </c>
      <c r="E35" s="48"/>
      <c r="F35"/>
      <c r="G35"/>
      <c r="H35" s="98"/>
    </row>
    <row r="36" spans="1:8" s="269" customFormat="1" ht="12.75" customHeight="1">
      <c r="A36" s="219" t="s">
        <v>407</v>
      </c>
      <c r="B36" s="48">
        <v>132</v>
      </c>
      <c r="C36" s="375">
        <v>132</v>
      </c>
      <c r="D36" s="48">
        <v>0</v>
      </c>
      <c r="E36" s="48"/>
      <c r="F36"/>
      <c r="G36"/>
      <c r="H36" s="98"/>
    </row>
    <row r="37" spans="1:8" s="269" customFormat="1" ht="12.75" customHeight="1">
      <c r="A37" s="219" t="s">
        <v>408</v>
      </c>
      <c r="B37" s="48">
        <v>561</v>
      </c>
      <c r="C37" s="375">
        <v>570</v>
      </c>
      <c r="D37" s="48">
        <v>9</v>
      </c>
      <c r="E37" s="48"/>
      <c r="F37"/>
      <c r="G37"/>
      <c r="H37" s="98"/>
    </row>
    <row r="38" spans="1:8" s="269" customFormat="1" ht="12.75" customHeight="1">
      <c r="A38" s="219" t="s">
        <v>246</v>
      </c>
      <c r="B38" s="48"/>
      <c r="C38" s="375"/>
      <c r="D38" s="48">
        <v>0</v>
      </c>
      <c r="E38" s="48"/>
      <c r="F38"/>
      <c r="G38"/>
      <c r="H38" s="98"/>
    </row>
    <row r="39" spans="1:8" s="269" customFormat="1" ht="12.75" customHeight="1">
      <c r="A39" s="219" t="s">
        <v>247</v>
      </c>
      <c r="B39" s="173">
        <v>37038</v>
      </c>
      <c r="C39" s="375">
        <v>37688</v>
      </c>
      <c r="D39" s="48">
        <v>650</v>
      </c>
      <c r="E39" s="48"/>
      <c r="F39"/>
      <c r="G39"/>
      <c r="H39" s="98"/>
    </row>
    <row r="40" spans="1:8" s="269" customFormat="1" ht="12.75" customHeight="1">
      <c r="A40" s="219" t="s">
        <v>248</v>
      </c>
      <c r="B40" s="173">
        <v>26026</v>
      </c>
      <c r="C40" s="375">
        <v>27401</v>
      </c>
      <c r="D40" s="48">
        <v>1375</v>
      </c>
      <c r="E40" s="48"/>
      <c r="F40"/>
      <c r="G40"/>
      <c r="H40" s="98"/>
    </row>
    <row r="41" spans="1:8" s="269" customFormat="1" ht="12.75" customHeight="1">
      <c r="A41" s="219" t="s">
        <v>249</v>
      </c>
      <c r="B41" s="48">
        <v>1048</v>
      </c>
      <c r="C41" s="375">
        <v>1048</v>
      </c>
      <c r="D41" s="48">
        <v>0</v>
      </c>
      <c r="E41" s="48"/>
      <c r="F41"/>
      <c r="G41"/>
      <c r="H41" s="98"/>
    </row>
    <row r="42" spans="1:8" s="269" customFormat="1" ht="12.75" customHeight="1">
      <c r="A42" s="219" t="s">
        <v>250</v>
      </c>
      <c r="B42" s="48">
        <v>10</v>
      </c>
      <c r="C42" s="375">
        <v>10</v>
      </c>
      <c r="D42" s="48">
        <v>0</v>
      </c>
      <c r="E42" s="48"/>
      <c r="F42"/>
      <c r="G42"/>
      <c r="H42" s="98"/>
    </row>
    <row r="43" spans="1:8" s="269" customFormat="1" ht="12.75" customHeight="1">
      <c r="A43" s="219" t="s">
        <v>409</v>
      </c>
      <c r="B43" s="48">
        <v>34</v>
      </c>
      <c r="C43" s="375">
        <v>34</v>
      </c>
      <c r="D43" s="48">
        <v>0</v>
      </c>
      <c r="E43" s="48"/>
      <c r="F43"/>
      <c r="G43"/>
      <c r="H43" s="98"/>
    </row>
    <row r="44" spans="1:8" s="269" customFormat="1" ht="12.75" customHeight="1">
      <c r="A44" s="219" t="s">
        <v>410</v>
      </c>
      <c r="B44" s="48">
        <v>80</v>
      </c>
      <c r="C44" s="375">
        <v>80</v>
      </c>
      <c r="D44" s="48">
        <v>0</v>
      </c>
      <c r="E44" s="48"/>
      <c r="F44"/>
      <c r="G44"/>
      <c r="H44" s="98"/>
    </row>
    <row r="45" spans="1:8" s="269" customFormat="1" ht="12.75" customHeight="1">
      <c r="A45" s="219" t="s">
        <v>251</v>
      </c>
      <c r="B45" s="48">
        <v>84360</v>
      </c>
      <c r="C45" s="375">
        <v>87930</v>
      </c>
      <c r="D45" s="48">
        <v>3570</v>
      </c>
      <c r="E45" s="48"/>
      <c r="F45"/>
      <c r="G45"/>
      <c r="H45" s="98"/>
    </row>
    <row r="46" spans="1:8" s="269" customFormat="1" ht="12.75" customHeight="1">
      <c r="A46" s="219" t="s">
        <v>252</v>
      </c>
      <c r="B46" s="48">
        <v>36</v>
      </c>
      <c r="C46" s="375">
        <v>45</v>
      </c>
      <c r="D46" s="48">
        <v>9</v>
      </c>
      <c r="E46" s="48"/>
      <c r="F46"/>
      <c r="G46"/>
      <c r="H46" s="98"/>
    </row>
    <row r="47" spans="1:8" s="269" customFormat="1" ht="12.75" customHeight="1">
      <c r="A47" s="219" t="s">
        <v>253</v>
      </c>
      <c r="B47" s="48">
        <v>15</v>
      </c>
      <c r="C47" s="375">
        <v>15</v>
      </c>
      <c r="D47" s="48">
        <v>0</v>
      </c>
      <c r="E47" s="48"/>
      <c r="F47"/>
      <c r="G47"/>
      <c r="H47" s="98"/>
    </row>
    <row r="48" spans="1:8" s="269" customFormat="1" ht="12.75" customHeight="1">
      <c r="A48" s="219" t="s">
        <v>254</v>
      </c>
      <c r="B48" s="48">
        <v>60</v>
      </c>
      <c r="C48" s="375">
        <v>60</v>
      </c>
      <c r="D48" s="48">
        <v>0</v>
      </c>
      <c r="E48" s="48"/>
      <c r="F48"/>
      <c r="G48"/>
      <c r="H48" s="98"/>
    </row>
    <row r="49" spans="1:9" s="269" customFormat="1" ht="12.75" customHeight="1">
      <c r="A49" s="219" t="s">
        <v>411</v>
      </c>
      <c r="B49" s="173">
        <v>54</v>
      </c>
      <c r="C49" s="375">
        <v>54</v>
      </c>
      <c r="D49" s="48">
        <v>0</v>
      </c>
      <c r="E49" s="48"/>
      <c r="F49"/>
      <c r="G49"/>
      <c r="H49" s="98"/>
    </row>
    <row r="50" spans="1:9" s="269" customFormat="1" ht="12.75" customHeight="1">
      <c r="A50" s="219" t="s">
        <v>412</v>
      </c>
      <c r="B50" s="48">
        <v>11</v>
      </c>
      <c r="C50" s="375">
        <v>12</v>
      </c>
      <c r="D50" s="48">
        <v>1</v>
      </c>
      <c r="E50" s="48"/>
      <c r="F50"/>
      <c r="G50"/>
      <c r="H50" s="98"/>
    </row>
    <row r="51" spans="1:9" s="269" customFormat="1" ht="12.75" customHeight="1">
      <c r="A51" s="219" t="s">
        <v>414</v>
      </c>
      <c r="B51" s="48">
        <v>589</v>
      </c>
      <c r="C51" s="375">
        <v>596</v>
      </c>
      <c r="D51" s="48">
        <v>7</v>
      </c>
      <c r="E51" s="48"/>
      <c r="F51"/>
      <c r="G51"/>
      <c r="H51" s="98"/>
    </row>
    <row r="52" spans="1:9" s="269" customFormat="1" ht="12.75" customHeight="1">
      <c r="A52" s="219" t="s">
        <v>413</v>
      </c>
      <c r="B52" s="48">
        <v>50</v>
      </c>
      <c r="C52" s="375">
        <v>50</v>
      </c>
      <c r="D52" s="48">
        <v>0</v>
      </c>
      <c r="E52" s="48"/>
      <c r="F52"/>
      <c r="G52"/>
      <c r="H52" s="98"/>
    </row>
    <row r="53" spans="1:9" s="269" customFormat="1" ht="12.75" customHeight="1">
      <c r="A53" s="219" t="s">
        <v>255</v>
      </c>
      <c r="B53" s="48">
        <v>24</v>
      </c>
      <c r="C53" s="375">
        <v>24</v>
      </c>
      <c r="D53" s="48">
        <v>0</v>
      </c>
      <c r="E53" s="48"/>
      <c r="F53"/>
      <c r="G53"/>
      <c r="H53" s="98"/>
    </row>
    <row r="54" spans="1:9" s="269" customFormat="1" ht="12.75" customHeight="1">
      <c r="A54" s="219" t="s">
        <v>256</v>
      </c>
      <c r="B54" s="48">
        <v>621</v>
      </c>
      <c r="C54" s="375">
        <v>697</v>
      </c>
      <c r="D54" s="48">
        <v>76</v>
      </c>
      <c r="E54" s="48"/>
      <c r="F54"/>
      <c r="G54"/>
      <c r="H54" s="98"/>
    </row>
    <row r="55" spans="1:9" s="269" customFormat="1" ht="12.75" customHeight="1">
      <c r="A55" s="219" t="s">
        <v>257</v>
      </c>
      <c r="B55" s="48">
        <v>333</v>
      </c>
      <c r="C55" s="375">
        <v>346</v>
      </c>
      <c r="D55" s="48">
        <v>13</v>
      </c>
      <c r="E55" s="48"/>
      <c r="F55"/>
      <c r="G55"/>
      <c r="H55" s="98"/>
    </row>
    <row r="56" spans="1:9" s="269" customFormat="1" ht="12.75" customHeight="1">
      <c r="A56" s="219" t="s">
        <v>258</v>
      </c>
      <c r="B56" s="53">
        <v>232</v>
      </c>
      <c r="C56" s="375">
        <v>253</v>
      </c>
      <c r="D56" s="53">
        <v>21</v>
      </c>
      <c r="E56" s="53"/>
      <c r="F56"/>
      <c r="G56"/>
      <c r="H56" s="98"/>
      <c r="I56"/>
    </row>
    <row r="57" spans="1:9" s="269" customFormat="1" ht="12.75" customHeight="1">
      <c r="A57" s="386" t="s">
        <v>109</v>
      </c>
      <c r="B57" s="193">
        <v>748</v>
      </c>
      <c r="C57" s="387">
        <v>764</v>
      </c>
      <c r="D57" s="193">
        <v>16</v>
      </c>
      <c r="E57" s="53"/>
      <c r="F57"/>
      <c r="G57"/>
      <c r="H57" s="98"/>
      <c r="I57"/>
    </row>
    <row r="58" spans="1:9" ht="12.75" customHeight="1">
      <c r="A58" s="220" t="s">
        <v>259</v>
      </c>
      <c r="B58" s="331">
        <v>184202</v>
      </c>
      <c r="C58" s="383">
        <v>190212</v>
      </c>
      <c r="D58" s="331">
        <v>6010</v>
      </c>
      <c r="E58" s="332"/>
      <c r="F58" s="89"/>
    </row>
    <row r="59" spans="1:9" ht="4.5" customHeight="1">
      <c r="A59" s="388"/>
      <c r="B59" s="389"/>
      <c r="C59" s="390"/>
      <c r="D59" s="389"/>
      <c r="E59" s="53"/>
      <c r="F59" s="89"/>
    </row>
    <row r="60" spans="1:9" ht="12.75" customHeight="1" thickBot="1">
      <c r="A60" s="391" t="s">
        <v>260</v>
      </c>
      <c r="B60" s="392">
        <v>210183</v>
      </c>
      <c r="C60" s="393">
        <v>217784</v>
      </c>
      <c r="D60" s="392">
        <v>7601</v>
      </c>
      <c r="E60" s="332"/>
      <c r="F60" s="89"/>
    </row>
    <row r="61" spans="1:9" ht="12.75" customHeight="1">
      <c r="A61" s="268"/>
    </row>
    <row r="62" spans="1:9" ht="15" customHeight="1">
      <c r="A62" s="89"/>
      <c r="B62" s="336"/>
      <c r="C62" s="89"/>
      <c r="E62"/>
      <c r="G62" s="89"/>
      <c r="H62" s="236"/>
    </row>
    <row r="63" spans="1:9">
      <c r="A63" s="89"/>
      <c r="B63" s="336"/>
      <c r="C63" s="89"/>
      <c r="E63"/>
      <c r="G63" s="89"/>
      <c r="H63" s="236"/>
    </row>
    <row r="64" spans="1:9">
      <c r="A64" s="89"/>
      <c r="B64" s="336"/>
      <c r="C64" s="89"/>
      <c r="E64"/>
      <c r="G64" s="89"/>
      <c r="H64" s="236"/>
    </row>
    <row r="65" spans="1:7">
      <c r="A65" s="268"/>
    </row>
    <row r="66" spans="1:7">
      <c r="A66" s="268"/>
    </row>
    <row r="67" spans="1:7">
      <c r="A67" s="268"/>
    </row>
    <row r="68" spans="1:7">
      <c r="A68" s="268"/>
    </row>
    <row r="69" spans="1:7" s="89" customFormat="1">
      <c r="A69" s="268"/>
      <c r="C69" s="336"/>
      <c r="F69"/>
      <c r="G69"/>
    </row>
    <row r="70" spans="1:7" s="89" customFormat="1">
      <c r="A70" s="268"/>
      <c r="C70" s="336"/>
      <c r="F70"/>
      <c r="G70"/>
    </row>
    <row r="71" spans="1:7" s="89" customFormat="1">
      <c r="A71" s="268"/>
      <c r="C71" s="336"/>
      <c r="F71"/>
      <c r="G71"/>
    </row>
    <row r="72" spans="1:7" s="89" customFormat="1">
      <c r="A72" s="264"/>
      <c r="C72" s="336"/>
      <c r="F72"/>
      <c r="G72"/>
    </row>
    <row r="73" spans="1:7" s="89" customFormat="1">
      <c r="A73" s="381"/>
      <c r="C73" s="336"/>
      <c r="F73"/>
      <c r="G73"/>
    </row>
    <row r="74" spans="1:7">
      <c r="A74" s="269"/>
    </row>
    <row r="75" spans="1:7" s="89" customFormat="1">
      <c r="A75" s="268"/>
      <c r="C75" s="336"/>
      <c r="F75"/>
      <c r="G75"/>
    </row>
    <row r="76" spans="1:7" s="89" customFormat="1">
      <c r="A76" s="268"/>
      <c r="C76" s="336"/>
      <c r="F76"/>
      <c r="G76"/>
    </row>
    <row r="77" spans="1:7" s="89" customFormat="1">
      <c r="A77" s="268"/>
      <c r="C77" s="336"/>
      <c r="F77"/>
      <c r="G77"/>
    </row>
    <row r="78" spans="1:7" s="89" customFormat="1">
      <c r="A78" s="264"/>
      <c r="C78" s="336"/>
      <c r="F78"/>
      <c r="G78"/>
    </row>
    <row r="79" spans="1:7" s="89" customFormat="1">
      <c r="A79" s="268"/>
      <c r="C79" s="336"/>
      <c r="F79"/>
      <c r="G79"/>
    </row>
    <row r="80" spans="1:7">
      <c r="A80" s="269"/>
    </row>
    <row r="81" spans="1:7" s="89" customFormat="1">
      <c r="A81" s="394"/>
      <c r="C81" s="336"/>
      <c r="F81"/>
      <c r="G81"/>
    </row>
    <row r="82" spans="1:7" s="89" customFormat="1">
      <c r="A82" s="269"/>
      <c r="C82" s="336"/>
      <c r="F82"/>
      <c r="G82"/>
    </row>
    <row r="83" spans="1:7" s="89" customFormat="1">
      <c r="A83" s="268"/>
      <c r="C83" s="336"/>
      <c r="F83"/>
      <c r="G83"/>
    </row>
    <row r="84" spans="1:7" s="89" customFormat="1">
      <c r="A84" s="264"/>
      <c r="C84" s="336"/>
      <c r="F84"/>
      <c r="G84"/>
    </row>
    <row r="85" spans="1:7" s="89" customFormat="1">
      <c r="A85" s="264"/>
      <c r="C85" s="336"/>
      <c r="F85"/>
      <c r="G85"/>
    </row>
  </sheetData>
  <pageMargins left="0.75" right="0.75" top="0.75" bottom="0.75" header="0.3" footer="0.3"/>
  <pageSetup scale="93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000"/>
    <pageSetUpPr fitToPage="1"/>
  </sheetPr>
  <dimension ref="A1:M70"/>
  <sheetViews>
    <sheetView zoomScaleNormal="100" workbookViewId="0">
      <selection activeCell="A44" sqref="A44"/>
    </sheetView>
  </sheetViews>
  <sheetFormatPr defaultColWidth="10.42578125" defaultRowHeight="12"/>
  <cols>
    <col min="1" max="1" width="60.5703125" style="268" customWidth="1"/>
    <col min="2" max="10" width="7.42578125" style="416" customWidth="1"/>
    <col min="11" max="11" width="7.5703125" style="416" customWidth="1"/>
    <col min="13" max="13" width="7.42578125" style="270" customWidth="1"/>
    <col min="14" max="248" width="10.42578125" style="270"/>
    <col min="249" max="249" width="57.42578125" style="270" customWidth="1"/>
    <col min="250" max="259" width="6.5703125" style="270" customWidth="1"/>
    <col min="260" max="263" width="10.42578125" style="270" customWidth="1"/>
    <col min="264" max="264" width="12" style="270" customWidth="1"/>
    <col min="265" max="265" width="12.42578125" style="270" customWidth="1"/>
    <col min="266" max="504" width="10.42578125" style="270"/>
    <col min="505" max="505" width="57.42578125" style="270" customWidth="1"/>
    <col min="506" max="515" width="6.5703125" style="270" customWidth="1"/>
    <col min="516" max="519" width="10.42578125" style="270" customWidth="1"/>
    <col min="520" max="520" width="12" style="270" customWidth="1"/>
    <col min="521" max="521" width="12.42578125" style="270" customWidth="1"/>
    <col min="522" max="760" width="10.42578125" style="270"/>
    <col min="761" max="761" width="57.42578125" style="270" customWidth="1"/>
    <col min="762" max="771" width="6.5703125" style="270" customWidth="1"/>
    <col min="772" max="775" width="10.42578125" style="270" customWidth="1"/>
    <col min="776" max="776" width="12" style="270" customWidth="1"/>
    <col min="777" max="777" width="12.42578125" style="270" customWidth="1"/>
    <col min="778" max="1016" width="10.42578125" style="270"/>
    <col min="1017" max="1017" width="57.42578125" style="270" customWidth="1"/>
    <col min="1018" max="1027" width="6.5703125" style="270" customWidth="1"/>
    <col min="1028" max="1031" width="10.42578125" style="270" customWidth="1"/>
    <col min="1032" max="1032" width="12" style="270" customWidth="1"/>
    <col min="1033" max="1033" width="12.42578125" style="270" customWidth="1"/>
    <col min="1034" max="1272" width="10.42578125" style="270"/>
    <col min="1273" max="1273" width="57.42578125" style="270" customWidth="1"/>
    <col min="1274" max="1283" width="6.5703125" style="270" customWidth="1"/>
    <col min="1284" max="1287" width="10.42578125" style="270" customWidth="1"/>
    <col min="1288" max="1288" width="12" style="270" customWidth="1"/>
    <col min="1289" max="1289" width="12.42578125" style="270" customWidth="1"/>
    <col min="1290" max="1528" width="10.42578125" style="270"/>
    <col min="1529" max="1529" width="57.42578125" style="270" customWidth="1"/>
    <col min="1530" max="1539" width="6.5703125" style="270" customWidth="1"/>
    <col min="1540" max="1543" width="10.42578125" style="270" customWidth="1"/>
    <col min="1544" max="1544" width="12" style="270" customWidth="1"/>
    <col min="1545" max="1545" width="12.42578125" style="270" customWidth="1"/>
    <col min="1546" max="1784" width="10.42578125" style="270"/>
    <col min="1785" max="1785" width="57.42578125" style="270" customWidth="1"/>
    <col min="1786" max="1795" width="6.5703125" style="270" customWidth="1"/>
    <col min="1796" max="1799" width="10.42578125" style="270" customWidth="1"/>
    <col min="1800" max="1800" width="12" style="270" customWidth="1"/>
    <col min="1801" max="1801" width="12.42578125" style="270" customWidth="1"/>
    <col min="1802" max="2040" width="10.42578125" style="270"/>
    <col min="2041" max="2041" width="57.42578125" style="270" customWidth="1"/>
    <col min="2042" max="2051" width="6.5703125" style="270" customWidth="1"/>
    <col min="2052" max="2055" width="10.42578125" style="270" customWidth="1"/>
    <col min="2056" max="2056" width="12" style="270" customWidth="1"/>
    <col min="2057" max="2057" width="12.42578125" style="270" customWidth="1"/>
    <col min="2058" max="2296" width="10.42578125" style="270"/>
    <col min="2297" max="2297" width="57.42578125" style="270" customWidth="1"/>
    <col min="2298" max="2307" width="6.5703125" style="270" customWidth="1"/>
    <col min="2308" max="2311" width="10.42578125" style="270" customWidth="1"/>
    <col min="2312" max="2312" width="12" style="270" customWidth="1"/>
    <col min="2313" max="2313" width="12.42578125" style="270" customWidth="1"/>
    <col min="2314" max="2552" width="10.42578125" style="270"/>
    <col min="2553" max="2553" width="57.42578125" style="270" customWidth="1"/>
    <col min="2554" max="2563" width="6.5703125" style="270" customWidth="1"/>
    <col min="2564" max="2567" width="10.42578125" style="270" customWidth="1"/>
    <col min="2568" max="2568" width="12" style="270" customWidth="1"/>
    <col min="2569" max="2569" width="12.42578125" style="270" customWidth="1"/>
    <col min="2570" max="2808" width="10.42578125" style="270"/>
    <col min="2809" max="2809" width="57.42578125" style="270" customWidth="1"/>
    <col min="2810" max="2819" width="6.5703125" style="270" customWidth="1"/>
    <col min="2820" max="2823" width="10.42578125" style="270" customWidth="1"/>
    <col min="2824" max="2824" width="12" style="270" customWidth="1"/>
    <col min="2825" max="2825" width="12.42578125" style="270" customWidth="1"/>
    <col min="2826" max="3064" width="10.42578125" style="270"/>
    <col min="3065" max="3065" width="57.42578125" style="270" customWidth="1"/>
    <col min="3066" max="3075" width="6.5703125" style="270" customWidth="1"/>
    <col min="3076" max="3079" width="10.42578125" style="270" customWidth="1"/>
    <col min="3080" max="3080" width="12" style="270" customWidth="1"/>
    <col min="3081" max="3081" width="12.42578125" style="270" customWidth="1"/>
    <col min="3082" max="3320" width="10.42578125" style="270"/>
    <col min="3321" max="3321" width="57.42578125" style="270" customWidth="1"/>
    <col min="3322" max="3331" width="6.5703125" style="270" customWidth="1"/>
    <col min="3332" max="3335" width="10.42578125" style="270" customWidth="1"/>
    <col min="3336" max="3336" width="12" style="270" customWidth="1"/>
    <col min="3337" max="3337" width="12.42578125" style="270" customWidth="1"/>
    <col min="3338" max="3576" width="10.42578125" style="270"/>
    <col min="3577" max="3577" width="57.42578125" style="270" customWidth="1"/>
    <col min="3578" max="3587" width="6.5703125" style="270" customWidth="1"/>
    <col min="3588" max="3591" width="10.42578125" style="270" customWidth="1"/>
    <col min="3592" max="3592" width="12" style="270" customWidth="1"/>
    <col min="3593" max="3593" width="12.42578125" style="270" customWidth="1"/>
    <col min="3594" max="3832" width="10.42578125" style="270"/>
    <col min="3833" max="3833" width="57.42578125" style="270" customWidth="1"/>
    <col min="3834" max="3843" width="6.5703125" style="270" customWidth="1"/>
    <col min="3844" max="3847" width="10.42578125" style="270" customWidth="1"/>
    <col min="3848" max="3848" width="12" style="270" customWidth="1"/>
    <col min="3849" max="3849" width="12.42578125" style="270" customWidth="1"/>
    <col min="3850" max="4088" width="10.42578125" style="270"/>
    <col min="4089" max="4089" width="57.42578125" style="270" customWidth="1"/>
    <col min="4090" max="4099" width="6.5703125" style="270" customWidth="1"/>
    <col min="4100" max="4103" width="10.42578125" style="270" customWidth="1"/>
    <col min="4104" max="4104" width="12" style="270" customWidth="1"/>
    <col min="4105" max="4105" width="12.42578125" style="270" customWidth="1"/>
    <col min="4106" max="4344" width="10.42578125" style="270"/>
    <col min="4345" max="4345" width="57.42578125" style="270" customWidth="1"/>
    <col min="4346" max="4355" width="6.5703125" style="270" customWidth="1"/>
    <col min="4356" max="4359" width="10.42578125" style="270" customWidth="1"/>
    <col min="4360" max="4360" width="12" style="270" customWidth="1"/>
    <col min="4361" max="4361" width="12.42578125" style="270" customWidth="1"/>
    <col min="4362" max="4600" width="10.42578125" style="270"/>
    <col min="4601" max="4601" width="57.42578125" style="270" customWidth="1"/>
    <col min="4602" max="4611" width="6.5703125" style="270" customWidth="1"/>
    <col min="4612" max="4615" width="10.42578125" style="270" customWidth="1"/>
    <col min="4616" max="4616" width="12" style="270" customWidth="1"/>
    <col min="4617" max="4617" width="12.42578125" style="270" customWidth="1"/>
    <col min="4618" max="4856" width="10.42578125" style="270"/>
    <col min="4857" max="4857" width="57.42578125" style="270" customWidth="1"/>
    <col min="4858" max="4867" width="6.5703125" style="270" customWidth="1"/>
    <col min="4868" max="4871" width="10.42578125" style="270" customWidth="1"/>
    <col min="4872" max="4872" width="12" style="270" customWidth="1"/>
    <col min="4873" max="4873" width="12.42578125" style="270" customWidth="1"/>
    <col min="4874" max="5112" width="10.42578125" style="270"/>
    <col min="5113" max="5113" width="57.42578125" style="270" customWidth="1"/>
    <col min="5114" max="5123" width="6.5703125" style="270" customWidth="1"/>
    <col min="5124" max="5127" width="10.42578125" style="270" customWidth="1"/>
    <col min="5128" max="5128" width="12" style="270" customWidth="1"/>
    <col min="5129" max="5129" width="12.42578125" style="270" customWidth="1"/>
    <col min="5130" max="5368" width="10.42578125" style="270"/>
    <col min="5369" max="5369" width="57.42578125" style="270" customWidth="1"/>
    <col min="5370" max="5379" width="6.5703125" style="270" customWidth="1"/>
    <col min="5380" max="5383" width="10.42578125" style="270" customWidth="1"/>
    <col min="5384" max="5384" width="12" style="270" customWidth="1"/>
    <col min="5385" max="5385" width="12.42578125" style="270" customWidth="1"/>
    <col min="5386" max="5624" width="10.42578125" style="270"/>
    <col min="5625" max="5625" width="57.42578125" style="270" customWidth="1"/>
    <col min="5626" max="5635" width="6.5703125" style="270" customWidth="1"/>
    <col min="5636" max="5639" width="10.42578125" style="270" customWidth="1"/>
    <col min="5640" max="5640" width="12" style="270" customWidth="1"/>
    <col min="5641" max="5641" width="12.42578125" style="270" customWidth="1"/>
    <col min="5642" max="5880" width="10.42578125" style="270"/>
    <col min="5881" max="5881" width="57.42578125" style="270" customWidth="1"/>
    <col min="5882" max="5891" width="6.5703125" style="270" customWidth="1"/>
    <col min="5892" max="5895" width="10.42578125" style="270" customWidth="1"/>
    <col min="5896" max="5896" width="12" style="270" customWidth="1"/>
    <col min="5897" max="5897" width="12.42578125" style="270" customWidth="1"/>
    <col min="5898" max="6136" width="10.42578125" style="270"/>
    <col min="6137" max="6137" width="57.42578125" style="270" customWidth="1"/>
    <col min="6138" max="6147" width="6.5703125" style="270" customWidth="1"/>
    <col min="6148" max="6151" width="10.42578125" style="270" customWidth="1"/>
    <col min="6152" max="6152" width="12" style="270" customWidth="1"/>
    <col min="6153" max="6153" width="12.42578125" style="270" customWidth="1"/>
    <col min="6154" max="6392" width="10.42578125" style="270"/>
    <col min="6393" max="6393" width="57.42578125" style="270" customWidth="1"/>
    <col min="6394" max="6403" width="6.5703125" style="270" customWidth="1"/>
    <col min="6404" max="6407" width="10.42578125" style="270" customWidth="1"/>
    <col min="6408" max="6408" width="12" style="270" customWidth="1"/>
    <col min="6409" max="6409" width="12.42578125" style="270" customWidth="1"/>
    <col min="6410" max="6648" width="10.42578125" style="270"/>
    <col min="6649" max="6649" width="57.42578125" style="270" customWidth="1"/>
    <col min="6650" max="6659" width="6.5703125" style="270" customWidth="1"/>
    <col min="6660" max="6663" width="10.42578125" style="270" customWidth="1"/>
    <col min="6664" max="6664" width="12" style="270" customWidth="1"/>
    <col min="6665" max="6665" width="12.42578125" style="270" customWidth="1"/>
    <col min="6666" max="6904" width="10.42578125" style="270"/>
    <col min="6905" max="6905" width="57.42578125" style="270" customWidth="1"/>
    <col min="6906" max="6915" width="6.5703125" style="270" customWidth="1"/>
    <col min="6916" max="6919" width="10.42578125" style="270" customWidth="1"/>
    <col min="6920" max="6920" width="12" style="270" customWidth="1"/>
    <col min="6921" max="6921" width="12.42578125" style="270" customWidth="1"/>
    <col min="6922" max="7160" width="10.42578125" style="270"/>
    <col min="7161" max="7161" width="57.42578125" style="270" customWidth="1"/>
    <col min="7162" max="7171" width="6.5703125" style="270" customWidth="1"/>
    <col min="7172" max="7175" width="10.42578125" style="270" customWidth="1"/>
    <col min="7176" max="7176" width="12" style="270" customWidth="1"/>
    <col min="7177" max="7177" width="12.42578125" style="270" customWidth="1"/>
    <col min="7178" max="7416" width="10.42578125" style="270"/>
    <col min="7417" max="7417" width="57.42578125" style="270" customWidth="1"/>
    <col min="7418" max="7427" width="6.5703125" style="270" customWidth="1"/>
    <col min="7428" max="7431" width="10.42578125" style="270" customWidth="1"/>
    <col min="7432" max="7432" width="12" style="270" customWidth="1"/>
    <col min="7433" max="7433" width="12.42578125" style="270" customWidth="1"/>
    <col min="7434" max="7672" width="10.42578125" style="270"/>
    <col min="7673" max="7673" width="57.42578125" style="270" customWidth="1"/>
    <col min="7674" max="7683" width="6.5703125" style="270" customWidth="1"/>
    <col min="7684" max="7687" width="10.42578125" style="270" customWidth="1"/>
    <col min="7688" max="7688" width="12" style="270" customWidth="1"/>
    <col min="7689" max="7689" width="12.42578125" style="270" customWidth="1"/>
    <col min="7690" max="7928" width="10.42578125" style="270"/>
    <col min="7929" max="7929" width="57.42578125" style="270" customWidth="1"/>
    <col min="7930" max="7939" width="6.5703125" style="270" customWidth="1"/>
    <col min="7940" max="7943" width="10.42578125" style="270" customWidth="1"/>
    <col min="7944" max="7944" width="12" style="270" customWidth="1"/>
    <col min="7945" max="7945" width="12.42578125" style="270" customWidth="1"/>
    <col min="7946" max="8184" width="10.42578125" style="270"/>
    <col min="8185" max="8185" width="57.42578125" style="270" customWidth="1"/>
    <col min="8186" max="8195" width="6.5703125" style="270" customWidth="1"/>
    <col min="8196" max="8199" width="10.42578125" style="270" customWidth="1"/>
    <col min="8200" max="8200" width="12" style="270" customWidth="1"/>
    <col min="8201" max="8201" width="12.42578125" style="270" customWidth="1"/>
    <col min="8202" max="8440" width="10.42578125" style="270"/>
    <col min="8441" max="8441" width="57.42578125" style="270" customWidth="1"/>
    <col min="8442" max="8451" width="6.5703125" style="270" customWidth="1"/>
    <col min="8452" max="8455" width="10.42578125" style="270" customWidth="1"/>
    <col min="8456" max="8456" width="12" style="270" customWidth="1"/>
    <col min="8457" max="8457" width="12.42578125" style="270" customWidth="1"/>
    <col min="8458" max="8696" width="10.42578125" style="270"/>
    <col min="8697" max="8697" width="57.42578125" style="270" customWidth="1"/>
    <col min="8698" max="8707" width="6.5703125" style="270" customWidth="1"/>
    <col min="8708" max="8711" width="10.42578125" style="270" customWidth="1"/>
    <col min="8712" max="8712" width="12" style="270" customWidth="1"/>
    <col min="8713" max="8713" width="12.42578125" style="270" customWidth="1"/>
    <col min="8714" max="8952" width="10.42578125" style="270"/>
    <col min="8953" max="8953" width="57.42578125" style="270" customWidth="1"/>
    <col min="8954" max="8963" width="6.5703125" style="270" customWidth="1"/>
    <col min="8964" max="8967" width="10.42578125" style="270" customWidth="1"/>
    <col min="8968" max="8968" width="12" style="270" customWidth="1"/>
    <col min="8969" max="8969" width="12.42578125" style="270" customWidth="1"/>
    <col min="8970" max="9208" width="10.42578125" style="270"/>
    <col min="9209" max="9209" width="57.42578125" style="270" customWidth="1"/>
    <col min="9210" max="9219" width="6.5703125" style="270" customWidth="1"/>
    <col min="9220" max="9223" width="10.42578125" style="270" customWidth="1"/>
    <col min="9224" max="9224" width="12" style="270" customWidth="1"/>
    <col min="9225" max="9225" width="12.42578125" style="270" customWidth="1"/>
    <col min="9226" max="9464" width="10.42578125" style="270"/>
    <col min="9465" max="9465" width="57.42578125" style="270" customWidth="1"/>
    <col min="9466" max="9475" width="6.5703125" style="270" customWidth="1"/>
    <col min="9476" max="9479" width="10.42578125" style="270" customWidth="1"/>
    <col min="9480" max="9480" width="12" style="270" customWidth="1"/>
    <col min="9481" max="9481" width="12.42578125" style="270" customWidth="1"/>
    <col min="9482" max="9720" width="10.42578125" style="270"/>
    <col min="9721" max="9721" width="57.42578125" style="270" customWidth="1"/>
    <col min="9722" max="9731" width="6.5703125" style="270" customWidth="1"/>
    <col min="9732" max="9735" width="10.42578125" style="270" customWidth="1"/>
    <col min="9736" max="9736" width="12" style="270" customWidth="1"/>
    <col min="9737" max="9737" width="12.42578125" style="270" customWidth="1"/>
    <col min="9738" max="9976" width="10.42578125" style="270"/>
    <col min="9977" max="9977" width="57.42578125" style="270" customWidth="1"/>
    <col min="9978" max="9987" width="6.5703125" style="270" customWidth="1"/>
    <col min="9988" max="9991" width="10.42578125" style="270" customWidth="1"/>
    <col min="9992" max="9992" width="12" style="270" customWidth="1"/>
    <col min="9993" max="9993" width="12.42578125" style="270" customWidth="1"/>
    <col min="9994" max="10232" width="10.42578125" style="270"/>
    <col min="10233" max="10233" width="57.42578125" style="270" customWidth="1"/>
    <col min="10234" max="10243" width="6.5703125" style="270" customWidth="1"/>
    <col min="10244" max="10247" width="10.42578125" style="270" customWidth="1"/>
    <col min="10248" max="10248" width="12" style="270" customWidth="1"/>
    <col min="10249" max="10249" width="12.42578125" style="270" customWidth="1"/>
    <col min="10250" max="10488" width="10.42578125" style="270"/>
    <col min="10489" max="10489" width="57.42578125" style="270" customWidth="1"/>
    <col min="10490" max="10499" width="6.5703125" style="270" customWidth="1"/>
    <col min="10500" max="10503" width="10.42578125" style="270" customWidth="1"/>
    <col min="10504" max="10504" width="12" style="270" customWidth="1"/>
    <col min="10505" max="10505" width="12.42578125" style="270" customWidth="1"/>
    <col min="10506" max="10744" width="10.42578125" style="270"/>
    <col min="10745" max="10745" width="57.42578125" style="270" customWidth="1"/>
    <col min="10746" max="10755" width="6.5703125" style="270" customWidth="1"/>
    <col min="10756" max="10759" width="10.42578125" style="270" customWidth="1"/>
    <col min="10760" max="10760" width="12" style="270" customWidth="1"/>
    <col min="10761" max="10761" width="12.42578125" style="270" customWidth="1"/>
    <col min="10762" max="11000" width="10.42578125" style="270"/>
    <col min="11001" max="11001" width="57.42578125" style="270" customWidth="1"/>
    <col min="11002" max="11011" width="6.5703125" style="270" customWidth="1"/>
    <col min="11012" max="11015" width="10.42578125" style="270" customWidth="1"/>
    <col min="11016" max="11016" width="12" style="270" customWidth="1"/>
    <col min="11017" max="11017" width="12.42578125" style="270" customWidth="1"/>
    <col min="11018" max="11256" width="10.42578125" style="270"/>
    <col min="11257" max="11257" width="57.42578125" style="270" customWidth="1"/>
    <col min="11258" max="11267" width="6.5703125" style="270" customWidth="1"/>
    <col min="11268" max="11271" width="10.42578125" style="270" customWidth="1"/>
    <col min="11272" max="11272" width="12" style="270" customWidth="1"/>
    <col min="11273" max="11273" width="12.42578125" style="270" customWidth="1"/>
    <col min="11274" max="11512" width="10.42578125" style="270"/>
    <col min="11513" max="11513" width="57.42578125" style="270" customWidth="1"/>
    <col min="11514" max="11523" width="6.5703125" style="270" customWidth="1"/>
    <col min="11524" max="11527" width="10.42578125" style="270" customWidth="1"/>
    <col min="11528" max="11528" width="12" style="270" customWidth="1"/>
    <col min="11529" max="11529" width="12.42578125" style="270" customWidth="1"/>
    <col min="11530" max="11768" width="10.42578125" style="270"/>
    <col min="11769" max="11769" width="57.42578125" style="270" customWidth="1"/>
    <col min="11770" max="11779" width="6.5703125" style="270" customWidth="1"/>
    <col min="11780" max="11783" width="10.42578125" style="270" customWidth="1"/>
    <col min="11784" max="11784" width="12" style="270" customWidth="1"/>
    <col min="11785" max="11785" width="12.42578125" style="270" customWidth="1"/>
    <col min="11786" max="12024" width="10.42578125" style="270"/>
    <col min="12025" max="12025" width="57.42578125" style="270" customWidth="1"/>
    <col min="12026" max="12035" width="6.5703125" style="270" customWidth="1"/>
    <col min="12036" max="12039" width="10.42578125" style="270" customWidth="1"/>
    <col min="12040" max="12040" width="12" style="270" customWidth="1"/>
    <col min="12041" max="12041" width="12.42578125" style="270" customWidth="1"/>
    <col min="12042" max="12280" width="10.42578125" style="270"/>
    <col min="12281" max="12281" width="57.42578125" style="270" customWidth="1"/>
    <col min="12282" max="12291" width="6.5703125" style="270" customWidth="1"/>
    <col min="12292" max="12295" width="10.42578125" style="270" customWidth="1"/>
    <col min="12296" max="12296" width="12" style="270" customWidth="1"/>
    <col min="12297" max="12297" width="12.42578125" style="270" customWidth="1"/>
    <col min="12298" max="12536" width="10.42578125" style="270"/>
    <col min="12537" max="12537" width="57.42578125" style="270" customWidth="1"/>
    <col min="12538" max="12547" width="6.5703125" style="270" customWidth="1"/>
    <col min="12548" max="12551" width="10.42578125" style="270" customWidth="1"/>
    <col min="12552" max="12552" width="12" style="270" customWidth="1"/>
    <col min="12553" max="12553" width="12.42578125" style="270" customWidth="1"/>
    <col min="12554" max="12792" width="10.42578125" style="270"/>
    <col min="12793" max="12793" width="57.42578125" style="270" customWidth="1"/>
    <col min="12794" max="12803" width="6.5703125" style="270" customWidth="1"/>
    <col min="12804" max="12807" width="10.42578125" style="270" customWidth="1"/>
    <col min="12808" max="12808" width="12" style="270" customWidth="1"/>
    <col min="12809" max="12809" width="12.42578125" style="270" customWidth="1"/>
    <col min="12810" max="13048" width="10.42578125" style="270"/>
    <col min="13049" max="13049" width="57.42578125" style="270" customWidth="1"/>
    <col min="13050" max="13059" width="6.5703125" style="270" customWidth="1"/>
    <col min="13060" max="13063" width="10.42578125" style="270" customWidth="1"/>
    <col min="13064" max="13064" width="12" style="270" customWidth="1"/>
    <col min="13065" max="13065" width="12.42578125" style="270" customWidth="1"/>
    <col min="13066" max="13304" width="10.42578125" style="270"/>
    <col min="13305" max="13305" width="57.42578125" style="270" customWidth="1"/>
    <col min="13306" max="13315" width="6.5703125" style="270" customWidth="1"/>
    <col min="13316" max="13319" width="10.42578125" style="270" customWidth="1"/>
    <col min="13320" max="13320" width="12" style="270" customWidth="1"/>
    <col min="13321" max="13321" width="12.42578125" style="270" customWidth="1"/>
    <col min="13322" max="13560" width="10.42578125" style="270"/>
    <col min="13561" max="13561" width="57.42578125" style="270" customWidth="1"/>
    <col min="13562" max="13571" width="6.5703125" style="270" customWidth="1"/>
    <col min="13572" max="13575" width="10.42578125" style="270" customWidth="1"/>
    <col min="13576" max="13576" width="12" style="270" customWidth="1"/>
    <col min="13577" max="13577" width="12.42578125" style="270" customWidth="1"/>
    <col min="13578" max="13816" width="10.42578125" style="270"/>
    <col min="13817" max="13817" width="57.42578125" style="270" customWidth="1"/>
    <col min="13818" max="13827" width="6.5703125" style="270" customWidth="1"/>
    <col min="13828" max="13831" width="10.42578125" style="270" customWidth="1"/>
    <col min="13832" max="13832" width="12" style="270" customWidth="1"/>
    <col min="13833" max="13833" width="12.42578125" style="270" customWidth="1"/>
    <col min="13834" max="14072" width="10.42578125" style="270"/>
    <col min="14073" max="14073" width="57.42578125" style="270" customWidth="1"/>
    <col min="14074" max="14083" width="6.5703125" style="270" customWidth="1"/>
    <col min="14084" max="14087" width="10.42578125" style="270" customWidth="1"/>
    <col min="14088" max="14088" width="12" style="270" customWidth="1"/>
    <col min="14089" max="14089" width="12.42578125" style="270" customWidth="1"/>
    <col min="14090" max="14328" width="10.42578125" style="270"/>
    <col min="14329" max="14329" width="57.42578125" style="270" customWidth="1"/>
    <col min="14330" max="14339" width="6.5703125" style="270" customWidth="1"/>
    <col min="14340" max="14343" width="10.42578125" style="270" customWidth="1"/>
    <col min="14344" max="14344" width="12" style="270" customWidth="1"/>
    <col min="14345" max="14345" width="12.42578125" style="270" customWidth="1"/>
    <col min="14346" max="14584" width="10.42578125" style="270"/>
    <col min="14585" max="14585" width="57.42578125" style="270" customWidth="1"/>
    <col min="14586" max="14595" width="6.5703125" style="270" customWidth="1"/>
    <col min="14596" max="14599" width="10.42578125" style="270" customWidth="1"/>
    <col min="14600" max="14600" width="12" style="270" customWidth="1"/>
    <col min="14601" max="14601" width="12.42578125" style="270" customWidth="1"/>
    <col min="14602" max="14840" width="10.42578125" style="270"/>
    <col min="14841" max="14841" width="57.42578125" style="270" customWidth="1"/>
    <col min="14842" max="14851" width="6.5703125" style="270" customWidth="1"/>
    <col min="14852" max="14855" width="10.42578125" style="270" customWidth="1"/>
    <col min="14856" max="14856" width="12" style="270" customWidth="1"/>
    <col min="14857" max="14857" width="12.42578125" style="270" customWidth="1"/>
    <col min="14858" max="15096" width="10.42578125" style="270"/>
    <col min="15097" max="15097" width="57.42578125" style="270" customWidth="1"/>
    <col min="15098" max="15107" width="6.5703125" style="270" customWidth="1"/>
    <col min="15108" max="15111" width="10.42578125" style="270" customWidth="1"/>
    <col min="15112" max="15112" width="12" style="270" customWidth="1"/>
    <col min="15113" max="15113" width="12.42578125" style="270" customWidth="1"/>
    <col min="15114" max="15352" width="10.42578125" style="270"/>
    <col min="15353" max="15353" width="57.42578125" style="270" customWidth="1"/>
    <col min="15354" max="15363" width="6.5703125" style="270" customWidth="1"/>
    <col min="15364" max="15367" width="10.42578125" style="270" customWidth="1"/>
    <col min="15368" max="15368" width="12" style="270" customWidth="1"/>
    <col min="15369" max="15369" width="12.42578125" style="270" customWidth="1"/>
    <col min="15370" max="15608" width="10.42578125" style="270"/>
    <col min="15609" max="15609" width="57.42578125" style="270" customWidth="1"/>
    <col min="15610" max="15619" width="6.5703125" style="270" customWidth="1"/>
    <col min="15620" max="15623" width="10.42578125" style="270" customWidth="1"/>
    <col min="15624" max="15624" width="12" style="270" customWidth="1"/>
    <col min="15625" max="15625" width="12.42578125" style="270" customWidth="1"/>
    <col min="15626" max="15864" width="10.42578125" style="270"/>
    <col min="15865" max="15865" width="57.42578125" style="270" customWidth="1"/>
    <col min="15866" max="15875" width="6.5703125" style="270" customWidth="1"/>
    <col min="15876" max="15879" width="10.42578125" style="270" customWidth="1"/>
    <col min="15880" max="15880" width="12" style="270" customWidth="1"/>
    <col min="15881" max="15881" width="12.42578125" style="270" customWidth="1"/>
    <col min="15882" max="16120" width="10.42578125" style="270"/>
    <col min="16121" max="16121" width="57.42578125" style="270" customWidth="1"/>
    <col min="16122" max="16131" width="6.5703125" style="270" customWidth="1"/>
    <col min="16132" max="16135" width="10.42578125" style="270" customWidth="1"/>
    <col min="16136" max="16136" width="12" style="270" customWidth="1"/>
    <col min="16137" max="16137" width="12.42578125" style="270" customWidth="1"/>
    <col min="16138" max="16384" width="10.42578125" style="270"/>
  </cols>
  <sheetData>
    <row r="1" spans="1:13" ht="15.75">
      <c r="A1" s="415" t="s">
        <v>293</v>
      </c>
    </row>
    <row r="3" spans="1:13" s="419" customFormat="1" ht="12.75" customHeight="1">
      <c r="A3" s="417"/>
      <c r="B3" s="610" t="s">
        <v>294</v>
      </c>
      <c r="C3" s="608" t="s">
        <v>295</v>
      </c>
      <c r="D3" s="607" t="s">
        <v>296</v>
      </c>
      <c r="E3" s="608" t="s">
        <v>182</v>
      </c>
      <c r="F3" s="607" t="s">
        <v>297</v>
      </c>
      <c r="G3" s="608" t="s">
        <v>298</v>
      </c>
      <c r="H3" s="607" t="s">
        <v>299</v>
      </c>
      <c r="I3" s="608" t="s">
        <v>292</v>
      </c>
      <c r="J3" s="607" t="s">
        <v>300</v>
      </c>
      <c r="K3" s="609" t="s">
        <v>349</v>
      </c>
    </row>
    <row r="4" spans="1:13" s="419" customFormat="1" ht="11.25">
      <c r="A4" s="444"/>
      <c r="B4" s="611"/>
      <c r="C4" s="612"/>
      <c r="D4" s="613"/>
      <c r="E4" s="612"/>
      <c r="F4" s="611"/>
      <c r="G4" s="608"/>
      <c r="H4" s="607"/>
      <c r="I4" s="608"/>
      <c r="J4" s="607"/>
      <c r="K4" s="609"/>
    </row>
    <row r="5" spans="1:13" s="419" customFormat="1">
      <c r="A5" s="417"/>
      <c r="B5" s="611"/>
      <c r="C5" s="612"/>
      <c r="D5" s="613"/>
      <c r="E5" s="612"/>
      <c r="F5" s="611"/>
      <c r="G5" s="608"/>
      <c r="H5" s="607"/>
      <c r="I5" s="608"/>
      <c r="J5" s="607"/>
      <c r="K5" s="609"/>
    </row>
    <row r="6" spans="1:13" s="419" customFormat="1" ht="12" customHeight="1">
      <c r="A6" s="417"/>
      <c r="B6" s="611"/>
      <c r="C6" s="612"/>
      <c r="D6" s="613"/>
      <c r="E6" s="612"/>
      <c r="F6" s="611"/>
      <c r="G6" s="608"/>
      <c r="H6" s="607"/>
      <c r="I6" s="608"/>
      <c r="J6" s="607"/>
      <c r="K6" s="609"/>
    </row>
    <row r="7" spans="1:13" s="419" customFormat="1">
      <c r="A7" s="417"/>
      <c r="B7" s="611"/>
      <c r="C7" s="612"/>
      <c r="D7" s="613"/>
      <c r="E7" s="612"/>
      <c r="F7" s="611"/>
      <c r="G7" s="608"/>
      <c r="H7" s="607"/>
      <c r="I7" s="608"/>
      <c r="J7" s="607"/>
      <c r="K7" s="609"/>
    </row>
    <row r="8" spans="1:13" s="421" customFormat="1" ht="11.25" customHeight="1">
      <c r="B8" s="611"/>
      <c r="C8" s="612"/>
      <c r="D8" s="613"/>
      <c r="E8" s="612"/>
      <c r="F8" s="611"/>
      <c r="G8" s="608"/>
      <c r="H8" s="607"/>
      <c r="I8" s="608"/>
      <c r="J8" s="607"/>
      <c r="K8" s="609"/>
    </row>
    <row r="9" spans="1:13" s="421" customFormat="1">
      <c r="B9" s="611"/>
      <c r="C9" s="612"/>
      <c r="D9" s="613"/>
      <c r="E9" s="612"/>
      <c r="F9" s="611"/>
      <c r="G9" s="608"/>
      <c r="H9" s="607"/>
      <c r="I9" s="608"/>
      <c r="J9" s="607"/>
      <c r="K9" s="609"/>
    </row>
    <row r="10" spans="1:13" s="421" customFormat="1">
      <c r="B10" s="611"/>
      <c r="C10" s="612"/>
      <c r="D10" s="613"/>
      <c r="E10" s="612"/>
      <c r="F10" s="611"/>
      <c r="G10" s="608"/>
      <c r="H10" s="607"/>
      <c r="I10" s="608"/>
      <c r="J10" s="607"/>
      <c r="K10" s="609"/>
    </row>
    <row r="11" spans="1:13" s="421" customFormat="1">
      <c r="B11" s="611"/>
      <c r="C11" s="612"/>
      <c r="D11" s="613"/>
      <c r="E11" s="612"/>
      <c r="F11" s="611"/>
      <c r="G11" s="608"/>
      <c r="H11" s="607"/>
      <c r="I11" s="608"/>
      <c r="J11" s="607"/>
      <c r="K11" s="609"/>
      <c r="M11" s="422"/>
    </row>
    <row r="12" spans="1:13" s="421" customFormat="1">
      <c r="B12" s="611"/>
      <c r="C12" s="612"/>
      <c r="D12" s="613"/>
      <c r="E12" s="612"/>
      <c r="F12" s="611"/>
      <c r="G12" s="608"/>
      <c r="H12" s="607"/>
      <c r="I12" s="608"/>
      <c r="J12" s="607"/>
      <c r="K12" s="609"/>
    </row>
    <row r="13" spans="1:13" s="421" customFormat="1" ht="5.25" customHeight="1">
      <c r="A13" s="445"/>
      <c r="B13" s="446"/>
      <c r="C13" s="445"/>
      <c r="D13" s="427"/>
      <c r="E13" s="426"/>
      <c r="F13" s="427"/>
      <c r="G13" s="426"/>
      <c r="H13" s="427"/>
      <c r="I13" s="426"/>
      <c r="J13" s="447"/>
      <c r="K13" s="426"/>
    </row>
    <row r="14" spans="1:13" ht="12" customHeight="1">
      <c r="A14" s="268" t="s">
        <v>181</v>
      </c>
      <c r="B14" s="429">
        <v>88</v>
      </c>
      <c r="C14" s="428">
        <v>74</v>
      </c>
      <c r="D14" s="429">
        <v>0</v>
      </c>
      <c r="E14" s="428">
        <v>0</v>
      </c>
      <c r="F14" s="429">
        <v>2</v>
      </c>
      <c r="G14" s="428">
        <v>0</v>
      </c>
      <c r="H14" s="429">
        <v>0</v>
      </c>
      <c r="I14" s="428">
        <v>0</v>
      </c>
      <c r="J14" s="429">
        <v>16</v>
      </c>
      <c r="K14" s="430">
        <v>180</v>
      </c>
      <c r="M14" s="39"/>
    </row>
    <row r="15" spans="1:13" ht="6" customHeight="1">
      <c r="B15" s="429"/>
      <c r="C15" s="428"/>
      <c r="D15" s="429"/>
      <c r="E15" s="428"/>
      <c r="F15" s="429"/>
      <c r="G15" s="428"/>
      <c r="H15" s="429"/>
      <c r="I15" s="428"/>
      <c r="J15" s="429"/>
      <c r="K15" s="430"/>
      <c r="M15" s="39"/>
    </row>
    <row r="16" spans="1:13" ht="12" customHeight="1">
      <c r="A16" s="268" t="s">
        <v>98</v>
      </c>
      <c r="B16" s="429">
        <v>3734</v>
      </c>
      <c r="C16" s="428">
        <v>1294</v>
      </c>
      <c r="D16" s="429">
        <v>475</v>
      </c>
      <c r="E16" s="428">
        <v>0</v>
      </c>
      <c r="F16" s="429">
        <v>556</v>
      </c>
      <c r="G16" s="428">
        <v>180</v>
      </c>
      <c r="H16" s="429">
        <v>-25</v>
      </c>
      <c r="I16" s="428">
        <v>0</v>
      </c>
      <c r="J16" s="429">
        <v>101</v>
      </c>
      <c r="K16" s="430">
        <v>6314</v>
      </c>
      <c r="M16" s="39"/>
    </row>
    <row r="17" spans="1:13" ht="12" customHeight="1">
      <c r="A17" s="268" t="s">
        <v>351</v>
      </c>
      <c r="B17" s="429">
        <v>36</v>
      </c>
      <c r="C17" s="428">
        <v>14</v>
      </c>
      <c r="D17" s="429">
        <v>62</v>
      </c>
      <c r="E17" s="428">
        <v>7</v>
      </c>
      <c r="F17" s="429">
        <v>2</v>
      </c>
      <c r="G17" s="428">
        <v>0</v>
      </c>
      <c r="H17" s="429">
        <v>0</v>
      </c>
      <c r="I17" s="428">
        <v>0</v>
      </c>
      <c r="J17" s="429">
        <v>19</v>
      </c>
      <c r="K17" s="430">
        <v>140</v>
      </c>
      <c r="M17" s="39"/>
    </row>
    <row r="18" spans="1:13" ht="12" customHeight="1">
      <c r="A18" s="270" t="s">
        <v>352</v>
      </c>
      <c r="B18" s="429">
        <v>125</v>
      </c>
      <c r="C18" s="428">
        <v>558</v>
      </c>
      <c r="D18" s="429">
        <v>112</v>
      </c>
      <c r="E18" s="428">
        <v>52</v>
      </c>
      <c r="F18" s="429">
        <v>36</v>
      </c>
      <c r="G18" s="428">
        <v>0</v>
      </c>
      <c r="H18" s="429">
        <v>0</v>
      </c>
      <c r="I18" s="428">
        <v>0</v>
      </c>
      <c r="J18" s="429">
        <v>9</v>
      </c>
      <c r="K18" s="430">
        <v>892</v>
      </c>
      <c r="M18" s="39"/>
    </row>
    <row r="19" spans="1:13" ht="12" customHeight="1">
      <c r="A19" s="268" t="s">
        <v>99</v>
      </c>
      <c r="B19" s="429">
        <v>339</v>
      </c>
      <c r="C19" s="428">
        <v>650</v>
      </c>
      <c r="D19" s="429">
        <v>1919</v>
      </c>
      <c r="E19" s="428">
        <v>9</v>
      </c>
      <c r="F19" s="429">
        <v>1</v>
      </c>
      <c r="G19" s="428">
        <v>0</v>
      </c>
      <c r="H19" s="429">
        <v>0</v>
      </c>
      <c r="I19" s="428">
        <v>0</v>
      </c>
      <c r="J19" s="429">
        <v>0</v>
      </c>
      <c r="K19" s="430">
        <v>2917</v>
      </c>
      <c r="M19" s="39"/>
    </row>
    <row r="20" spans="1:13" ht="12" customHeight="1">
      <c r="A20" s="268" t="s">
        <v>354</v>
      </c>
      <c r="B20" s="429">
        <v>55</v>
      </c>
      <c r="C20" s="428">
        <v>22</v>
      </c>
      <c r="D20" s="429">
        <v>83</v>
      </c>
      <c r="E20" s="428">
        <v>136</v>
      </c>
      <c r="F20" s="429">
        <v>8</v>
      </c>
      <c r="G20" s="428">
        <v>1</v>
      </c>
      <c r="H20" s="429">
        <v>0</v>
      </c>
      <c r="I20" s="428">
        <v>0</v>
      </c>
      <c r="J20" s="429">
        <v>1</v>
      </c>
      <c r="K20" s="430">
        <v>307</v>
      </c>
      <c r="M20" s="39"/>
    </row>
    <row r="21" spans="1:13" ht="12" customHeight="1">
      <c r="A21" s="268" t="s">
        <v>100</v>
      </c>
      <c r="B21" s="429">
        <v>6780</v>
      </c>
      <c r="C21" s="428">
        <v>1655</v>
      </c>
      <c r="D21" s="429">
        <v>399</v>
      </c>
      <c r="E21" s="428">
        <v>3</v>
      </c>
      <c r="F21" s="429">
        <v>479</v>
      </c>
      <c r="G21" s="428">
        <v>0</v>
      </c>
      <c r="H21" s="429">
        <v>0</v>
      </c>
      <c r="I21" s="428">
        <v>33</v>
      </c>
      <c r="J21" s="429">
        <v>0</v>
      </c>
      <c r="K21" s="430">
        <v>9351</v>
      </c>
      <c r="M21" s="39"/>
    </row>
    <row r="22" spans="1:13" ht="12" customHeight="1">
      <c r="A22" s="268" t="s">
        <v>101</v>
      </c>
      <c r="B22" s="429">
        <v>209</v>
      </c>
      <c r="C22" s="428">
        <v>557</v>
      </c>
      <c r="D22" s="429">
        <v>0</v>
      </c>
      <c r="E22" s="428">
        <v>205</v>
      </c>
      <c r="F22" s="429">
        <v>13</v>
      </c>
      <c r="G22" s="428">
        <v>0</v>
      </c>
      <c r="H22" s="429">
        <v>0</v>
      </c>
      <c r="I22" s="428">
        <v>0</v>
      </c>
      <c r="J22" s="429">
        <v>0</v>
      </c>
      <c r="K22" s="430">
        <v>984</v>
      </c>
      <c r="M22" s="39"/>
    </row>
    <row r="23" spans="1:13" ht="12" customHeight="1">
      <c r="A23" s="268" t="s">
        <v>355</v>
      </c>
      <c r="B23" s="429">
        <v>153</v>
      </c>
      <c r="C23" s="428">
        <v>96</v>
      </c>
      <c r="D23" s="429">
        <v>248</v>
      </c>
      <c r="E23" s="428">
        <v>52</v>
      </c>
      <c r="F23" s="429">
        <v>4</v>
      </c>
      <c r="G23" s="428">
        <v>0</v>
      </c>
      <c r="H23" s="429">
        <v>0</v>
      </c>
      <c r="I23" s="428">
        <v>0</v>
      </c>
      <c r="J23" s="429">
        <v>1</v>
      </c>
      <c r="K23" s="430">
        <v>554</v>
      </c>
      <c r="M23" s="39"/>
    </row>
    <row r="24" spans="1:13" ht="12" customHeight="1">
      <c r="A24" s="268" t="s">
        <v>102</v>
      </c>
      <c r="B24" s="429">
        <v>24</v>
      </c>
      <c r="C24" s="428">
        <v>11</v>
      </c>
      <c r="D24" s="429">
        <v>0</v>
      </c>
      <c r="E24" s="428">
        <v>0</v>
      </c>
      <c r="F24" s="429">
        <v>0</v>
      </c>
      <c r="G24" s="428">
        <v>0</v>
      </c>
      <c r="H24" s="429">
        <v>0</v>
      </c>
      <c r="I24" s="428">
        <v>0</v>
      </c>
      <c r="J24" s="429">
        <v>0</v>
      </c>
      <c r="K24" s="430">
        <v>35</v>
      </c>
      <c r="M24" s="39"/>
    </row>
    <row r="25" spans="1:13" ht="12" customHeight="1">
      <c r="A25" s="270" t="s">
        <v>356</v>
      </c>
      <c r="B25" s="429">
        <v>160</v>
      </c>
      <c r="C25" s="428">
        <v>179</v>
      </c>
      <c r="D25" s="429">
        <v>47</v>
      </c>
      <c r="E25" s="428">
        <v>11</v>
      </c>
      <c r="F25" s="429">
        <v>38</v>
      </c>
      <c r="G25" s="428">
        <v>1</v>
      </c>
      <c r="H25" s="429">
        <v>0</v>
      </c>
      <c r="I25" s="428">
        <v>0</v>
      </c>
      <c r="J25" s="429">
        <v>0</v>
      </c>
      <c r="K25" s="430">
        <v>435</v>
      </c>
      <c r="M25" s="39"/>
    </row>
    <row r="26" spans="1:13" ht="12" customHeight="1">
      <c r="A26" s="268" t="s">
        <v>103</v>
      </c>
      <c r="B26" s="429">
        <v>9516</v>
      </c>
      <c r="C26" s="428">
        <v>7434</v>
      </c>
      <c r="D26" s="429">
        <v>7580</v>
      </c>
      <c r="E26" s="428">
        <v>89</v>
      </c>
      <c r="F26" s="429">
        <v>546</v>
      </c>
      <c r="G26" s="428">
        <v>1278</v>
      </c>
      <c r="H26" s="429">
        <v>0</v>
      </c>
      <c r="I26" s="428">
        <v>0</v>
      </c>
      <c r="J26" s="429">
        <v>3</v>
      </c>
      <c r="K26" s="430">
        <v>26446</v>
      </c>
      <c r="M26" s="39"/>
    </row>
    <row r="27" spans="1:13" ht="12" customHeight="1">
      <c r="A27" s="268" t="s">
        <v>104</v>
      </c>
      <c r="B27" s="429">
        <v>23</v>
      </c>
      <c r="C27" s="428">
        <v>11</v>
      </c>
      <c r="D27" s="429">
        <v>179</v>
      </c>
      <c r="E27" s="428">
        <v>16</v>
      </c>
      <c r="F27" s="429">
        <v>0</v>
      </c>
      <c r="G27" s="428">
        <v>0</v>
      </c>
      <c r="H27" s="429">
        <v>0</v>
      </c>
      <c r="I27" s="428">
        <v>0</v>
      </c>
      <c r="J27" s="429">
        <v>0</v>
      </c>
      <c r="K27" s="430">
        <v>230</v>
      </c>
      <c r="M27" s="39"/>
    </row>
    <row r="28" spans="1:13" ht="12" customHeight="1">
      <c r="A28" s="268" t="s">
        <v>105</v>
      </c>
      <c r="B28" s="429">
        <v>62</v>
      </c>
      <c r="C28" s="428">
        <v>394</v>
      </c>
      <c r="D28" s="429">
        <v>0</v>
      </c>
      <c r="E28" s="428">
        <v>3</v>
      </c>
      <c r="F28" s="429">
        <v>146</v>
      </c>
      <c r="G28" s="428">
        <v>2</v>
      </c>
      <c r="H28" s="429">
        <v>0</v>
      </c>
      <c r="I28" s="428">
        <v>0</v>
      </c>
      <c r="J28" s="429">
        <v>6</v>
      </c>
      <c r="K28" s="430">
        <v>613</v>
      </c>
      <c r="M28" s="39"/>
    </row>
    <row r="29" spans="1:13" ht="12" customHeight="1">
      <c r="A29" s="268" t="s">
        <v>357</v>
      </c>
      <c r="B29" s="429">
        <v>109</v>
      </c>
      <c r="C29" s="428">
        <v>64</v>
      </c>
      <c r="D29" s="429">
        <v>199</v>
      </c>
      <c r="E29" s="428">
        <v>0</v>
      </c>
      <c r="F29" s="429">
        <v>1</v>
      </c>
      <c r="G29" s="428">
        <v>0</v>
      </c>
      <c r="H29" s="429">
        <v>0</v>
      </c>
      <c r="I29" s="428">
        <v>0</v>
      </c>
      <c r="J29" s="429">
        <v>0</v>
      </c>
      <c r="K29" s="430">
        <v>374</v>
      </c>
      <c r="M29" s="39"/>
    </row>
    <row r="30" spans="1:13" ht="12" customHeight="1">
      <c r="A30" s="268" t="s">
        <v>358</v>
      </c>
      <c r="B30" s="429">
        <v>442</v>
      </c>
      <c r="C30" s="428">
        <v>66</v>
      </c>
      <c r="D30" s="429">
        <v>141</v>
      </c>
      <c r="E30" s="428">
        <v>0</v>
      </c>
      <c r="F30" s="429">
        <v>4</v>
      </c>
      <c r="G30" s="428">
        <v>0</v>
      </c>
      <c r="H30" s="429">
        <v>0</v>
      </c>
      <c r="I30" s="428">
        <v>0</v>
      </c>
      <c r="J30" s="429">
        <v>6</v>
      </c>
      <c r="K30" s="430">
        <v>658</v>
      </c>
      <c r="M30" s="39"/>
    </row>
    <row r="31" spans="1:13" ht="12" customHeight="1">
      <c r="A31" s="269" t="s">
        <v>360</v>
      </c>
      <c r="B31" s="429">
        <v>10</v>
      </c>
      <c r="C31" s="428">
        <v>9</v>
      </c>
      <c r="D31" s="429">
        <v>130</v>
      </c>
      <c r="E31" s="428">
        <v>18</v>
      </c>
      <c r="F31" s="429">
        <v>0</v>
      </c>
      <c r="G31" s="428">
        <v>0</v>
      </c>
      <c r="H31" s="429">
        <v>0</v>
      </c>
      <c r="I31" s="428">
        <v>0</v>
      </c>
      <c r="J31" s="429">
        <v>0</v>
      </c>
      <c r="K31" s="430">
        <v>166</v>
      </c>
      <c r="M31" s="39"/>
    </row>
    <row r="32" spans="1:13" ht="12" customHeight="1">
      <c r="A32" s="268" t="s">
        <v>106</v>
      </c>
      <c r="B32" s="429">
        <v>56</v>
      </c>
      <c r="C32" s="428">
        <v>26</v>
      </c>
      <c r="D32" s="429">
        <v>146</v>
      </c>
      <c r="E32" s="428">
        <v>782</v>
      </c>
      <c r="F32" s="429">
        <v>4</v>
      </c>
      <c r="G32" s="428">
        <v>0</v>
      </c>
      <c r="H32" s="429">
        <v>0</v>
      </c>
      <c r="I32" s="428">
        <v>0</v>
      </c>
      <c r="J32" s="429">
        <v>0</v>
      </c>
      <c r="K32" s="430">
        <v>1014</v>
      </c>
      <c r="M32" s="39"/>
    </row>
    <row r="33" spans="1:13" ht="12" customHeight="1">
      <c r="A33" s="270" t="s">
        <v>361</v>
      </c>
      <c r="B33" s="429">
        <v>470</v>
      </c>
      <c r="C33" s="428">
        <v>481</v>
      </c>
      <c r="D33" s="429">
        <v>236</v>
      </c>
      <c r="E33" s="428">
        <v>0</v>
      </c>
      <c r="F33" s="429">
        <v>29</v>
      </c>
      <c r="G33" s="428">
        <v>1</v>
      </c>
      <c r="H33" s="429">
        <v>0</v>
      </c>
      <c r="I33" s="428">
        <v>0</v>
      </c>
      <c r="J33" s="429">
        <v>0</v>
      </c>
      <c r="K33" s="430">
        <v>1217</v>
      </c>
      <c r="M33" s="39"/>
    </row>
    <row r="34" spans="1:13" ht="12" customHeight="1">
      <c r="A34" s="522" t="s">
        <v>353</v>
      </c>
      <c r="B34" s="523">
        <v>299</v>
      </c>
      <c r="C34" s="524">
        <v>1175</v>
      </c>
      <c r="D34" s="523">
        <v>3591</v>
      </c>
      <c r="E34" s="524">
        <v>81</v>
      </c>
      <c r="F34" s="523">
        <v>48</v>
      </c>
      <c r="G34" s="524">
        <v>0</v>
      </c>
      <c r="H34" s="523">
        <v>0</v>
      </c>
      <c r="I34" s="524">
        <v>0</v>
      </c>
      <c r="J34" s="523">
        <v>272</v>
      </c>
      <c r="K34" s="525">
        <v>5466</v>
      </c>
      <c r="M34" s="39"/>
    </row>
    <row r="35" spans="1:13" ht="12" customHeight="1">
      <c r="A35" s="270" t="s">
        <v>362</v>
      </c>
      <c r="B35" s="429">
        <v>96</v>
      </c>
      <c r="C35" s="428">
        <v>15</v>
      </c>
      <c r="D35" s="429">
        <v>0</v>
      </c>
      <c r="E35" s="428">
        <v>0</v>
      </c>
      <c r="F35" s="429">
        <v>18</v>
      </c>
      <c r="G35" s="428">
        <v>6</v>
      </c>
      <c r="H35" s="429">
        <v>0</v>
      </c>
      <c r="I35" s="428">
        <v>0</v>
      </c>
      <c r="J35" s="429">
        <v>1</v>
      </c>
      <c r="K35" s="430">
        <v>135</v>
      </c>
      <c r="M35" s="39"/>
    </row>
    <row r="36" spans="1:13" ht="12" customHeight="1">
      <c r="A36" s="270" t="s">
        <v>363</v>
      </c>
      <c r="B36" s="429">
        <v>23</v>
      </c>
      <c r="C36" s="428">
        <v>8</v>
      </c>
      <c r="D36" s="429">
        <v>144</v>
      </c>
      <c r="E36" s="428">
        <v>0</v>
      </c>
      <c r="F36" s="429">
        <v>0</v>
      </c>
      <c r="G36" s="428">
        <v>0</v>
      </c>
      <c r="H36" s="429">
        <v>0</v>
      </c>
      <c r="I36" s="428">
        <v>0</v>
      </c>
      <c r="J36" s="429">
        <v>0</v>
      </c>
      <c r="K36" s="430">
        <v>175</v>
      </c>
      <c r="M36" s="39"/>
    </row>
    <row r="37" spans="1:13" ht="12" customHeight="1">
      <c r="A37" s="270" t="s">
        <v>364</v>
      </c>
      <c r="B37" s="429">
        <v>218</v>
      </c>
      <c r="C37" s="428">
        <v>319</v>
      </c>
      <c r="D37" s="429">
        <v>166</v>
      </c>
      <c r="E37" s="428">
        <v>229</v>
      </c>
      <c r="F37" s="429">
        <v>79</v>
      </c>
      <c r="G37" s="428">
        <v>0</v>
      </c>
      <c r="H37" s="429">
        <v>0</v>
      </c>
      <c r="I37" s="428">
        <v>0</v>
      </c>
      <c r="J37" s="429">
        <v>1</v>
      </c>
      <c r="K37" s="430">
        <v>1012</v>
      </c>
      <c r="M37" s="39"/>
    </row>
    <row r="38" spans="1:13" ht="12" customHeight="1">
      <c r="A38" s="268" t="s">
        <v>359</v>
      </c>
      <c r="B38" s="523">
        <v>34</v>
      </c>
      <c r="C38" s="524">
        <v>17</v>
      </c>
      <c r="D38" s="523">
        <v>35</v>
      </c>
      <c r="E38" s="524">
        <v>0</v>
      </c>
      <c r="F38" s="523">
        <v>0</v>
      </c>
      <c r="G38" s="524">
        <v>0</v>
      </c>
      <c r="H38" s="523">
        <v>0</v>
      </c>
      <c r="I38" s="524">
        <v>0</v>
      </c>
      <c r="J38" s="523">
        <v>0</v>
      </c>
      <c r="K38" s="525">
        <v>86</v>
      </c>
      <c r="M38" s="39"/>
    </row>
    <row r="39" spans="1:13" ht="12" customHeight="1">
      <c r="A39" s="270" t="s">
        <v>365</v>
      </c>
      <c r="B39" s="429">
        <v>64</v>
      </c>
      <c r="C39" s="428">
        <v>421</v>
      </c>
      <c r="D39" s="429">
        <v>10</v>
      </c>
      <c r="E39" s="428">
        <v>1127</v>
      </c>
      <c r="F39" s="429">
        <v>823</v>
      </c>
      <c r="G39" s="428">
        <v>62</v>
      </c>
      <c r="H39" s="429">
        <v>0</v>
      </c>
      <c r="I39" s="428">
        <v>101</v>
      </c>
      <c r="J39" s="429">
        <v>12</v>
      </c>
      <c r="K39" s="430">
        <v>2620</v>
      </c>
      <c r="M39" s="39"/>
    </row>
    <row r="40" spans="1:13" ht="12" customHeight="1">
      <c r="A40" s="268" t="s">
        <v>108</v>
      </c>
      <c r="B40" s="429">
        <v>512</v>
      </c>
      <c r="C40" s="428">
        <v>841</v>
      </c>
      <c r="D40" s="429">
        <v>617</v>
      </c>
      <c r="E40" s="428">
        <v>0</v>
      </c>
      <c r="F40" s="429">
        <v>25</v>
      </c>
      <c r="G40" s="428">
        <v>0</v>
      </c>
      <c r="H40" s="429">
        <v>-297</v>
      </c>
      <c r="I40" s="428">
        <v>2714</v>
      </c>
      <c r="J40" s="429">
        <v>48</v>
      </c>
      <c r="K40" s="430">
        <v>4460</v>
      </c>
      <c r="M40" s="39"/>
    </row>
    <row r="41" spans="1:13" ht="12" customHeight="1">
      <c r="A41" s="431" t="s">
        <v>422</v>
      </c>
      <c r="B41" s="433">
        <v>0</v>
      </c>
      <c r="C41" s="432">
        <v>0</v>
      </c>
      <c r="D41" s="433">
        <v>0</v>
      </c>
      <c r="E41" s="432">
        <v>0</v>
      </c>
      <c r="F41" s="433">
        <v>0</v>
      </c>
      <c r="G41" s="432">
        <v>0</v>
      </c>
      <c r="H41" s="433">
        <v>0</v>
      </c>
      <c r="I41" s="432">
        <v>0</v>
      </c>
      <c r="J41" s="433">
        <v>1500</v>
      </c>
      <c r="K41" s="434">
        <v>1500</v>
      </c>
      <c r="M41" s="39"/>
    </row>
    <row r="42" spans="1:13" ht="15" customHeight="1" thickBot="1">
      <c r="A42" s="435" t="s">
        <v>349</v>
      </c>
      <c r="B42" s="448">
        <v>23637</v>
      </c>
      <c r="C42" s="449">
        <v>16392</v>
      </c>
      <c r="D42" s="448">
        <v>16517</v>
      </c>
      <c r="E42" s="449">
        <v>2821</v>
      </c>
      <c r="F42" s="448">
        <v>2862</v>
      </c>
      <c r="G42" s="449">
        <v>1530</v>
      </c>
      <c r="H42" s="448">
        <v>-322</v>
      </c>
      <c r="I42" s="449">
        <v>2848</v>
      </c>
      <c r="J42" s="448">
        <v>1997</v>
      </c>
      <c r="K42" s="449">
        <v>68282</v>
      </c>
    </row>
    <row r="43" spans="1:13">
      <c r="B43" s="438"/>
      <c r="C43" s="438"/>
      <c r="D43" s="438"/>
      <c r="E43" s="438"/>
      <c r="F43" s="438"/>
      <c r="G43" s="438"/>
      <c r="H43" s="438"/>
      <c r="I43" s="438"/>
      <c r="J43" s="438"/>
      <c r="K43" s="442"/>
      <c r="M43" s="428"/>
    </row>
    <row r="44" spans="1:13" ht="23.25">
      <c r="A44" s="450"/>
      <c r="B44"/>
      <c r="C44"/>
      <c r="D44"/>
      <c r="E44" s="36"/>
      <c r="F44" s="36"/>
      <c r="G44" s="36"/>
      <c r="H44" s="36"/>
      <c r="I44" s="36"/>
      <c r="J44" s="442"/>
      <c r="K44" s="442"/>
      <c r="M44" s="451"/>
    </row>
    <row r="45" spans="1:13" ht="15.75">
      <c r="A45" s="415"/>
      <c r="B45"/>
      <c r="C45"/>
      <c r="D45"/>
      <c r="E45"/>
      <c r="F45"/>
      <c r="G45"/>
      <c r="H45"/>
      <c r="I45"/>
      <c r="J45"/>
      <c r="K45" s="442"/>
      <c r="M45" s="428"/>
    </row>
    <row r="46" spans="1:13">
      <c r="B46"/>
      <c r="C46"/>
      <c r="D46"/>
      <c r="E46"/>
      <c r="F46"/>
      <c r="G46"/>
      <c r="H46"/>
      <c r="I46"/>
      <c r="M46" s="452"/>
    </row>
    <row r="47" spans="1:13">
      <c r="A47" s="453"/>
      <c r="B47"/>
      <c r="C47"/>
      <c r="D47"/>
      <c r="E47"/>
      <c r="F47"/>
      <c r="G47"/>
      <c r="H47"/>
      <c r="I47"/>
      <c r="M47" s="452"/>
    </row>
    <row r="48" spans="1:13">
      <c r="B48"/>
      <c r="C48"/>
      <c r="D48"/>
      <c r="E48"/>
      <c r="F48"/>
      <c r="G48"/>
      <c r="H48"/>
      <c r="I48"/>
      <c r="M48" s="452"/>
    </row>
    <row r="49" spans="2:13">
      <c r="B49"/>
      <c r="C49"/>
      <c r="D49"/>
      <c r="E49"/>
      <c r="F49"/>
      <c r="G49"/>
      <c r="H49"/>
      <c r="I49"/>
      <c r="M49" s="452"/>
    </row>
    <row r="50" spans="2:13">
      <c r="B50" s="227"/>
      <c r="C50" s="227"/>
      <c r="D50" s="227"/>
      <c r="E50" s="227"/>
      <c r="F50" s="227"/>
      <c r="G50" s="227"/>
      <c r="H50" s="227"/>
      <c r="I50" s="227"/>
      <c r="J50" s="227"/>
      <c r="M50" s="452"/>
    </row>
    <row r="51" spans="2:13">
      <c r="B51"/>
      <c r="C51"/>
      <c r="D51"/>
      <c r="E51"/>
      <c r="F51"/>
      <c r="G51"/>
      <c r="H51"/>
      <c r="I51"/>
      <c r="M51" s="452"/>
    </row>
    <row r="52" spans="2:13">
      <c r="M52" s="452"/>
    </row>
    <row r="53" spans="2:13">
      <c r="M53" s="452"/>
    </row>
    <row r="54" spans="2:13">
      <c r="M54" s="452"/>
    </row>
    <row r="55" spans="2:13">
      <c r="M55" s="452"/>
    </row>
    <row r="56" spans="2:13">
      <c r="M56" s="452"/>
    </row>
    <row r="57" spans="2:13">
      <c r="M57" s="452"/>
    </row>
    <row r="58" spans="2:13">
      <c r="M58" s="452"/>
    </row>
    <row r="59" spans="2:13">
      <c r="M59" s="452"/>
    </row>
    <row r="60" spans="2:13">
      <c r="M60" s="452"/>
    </row>
    <row r="61" spans="2:13">
      <c r="M61" s="452"/>
    </row>
    <row r="62" spans="2:13">
      <c r="M62" s="452"/>
    </row>
    <row r="63" spans="2:13">
      <c r="M63" s="452"/>
    </row>
    <row r="64" spans="2:13">
      <c r="M64" s="452"/>
    </row>
    <row r="65" spans="13:13">
      <c r="M65" s="452"/>
    </row>
    <row r="66" spans="13:13">
      <c r="M66" s="452"/>
    </row>
    <row r="67" spans="13:13">
      <c r="M67" s="452"/>
    </row>
    <row r="68" spans="13:13">
      <c r="M68" s="452"/>
    </row>
    <row r="69" spans="13:13">
      <c r="M69" s="452"/>
    </row>
    <row r="70" spans="13:13">
      <c r="M70" s="452"/>
    </row>
  </sheetData>
  <mergeCells count="10">
    <mergeCell ref="H3:H12"/>
    <mergeCell ref="I3:I12"/>
    <mergeCell ref="J3:J12"/>
    <mergeCell ref="K3:K12"/>
    <mergeCell ref="B3:B12"/>
    <mergeCell ref="C3:C12"/>
    <mergeCell ref="D3:D12"/>
    <mergeCell ref="E3:E12"/>
    <mergeCell ref="F3:F12"/>
    <mergeCell ref="G3:G12"/>
  </mergeCells>
  <pageMargins left="0.75" right="0.75" top="0.75" bottom="0.75" header="0.3" footer="0.3"/>
  <pageSetup scale="74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000"/>
    <pageSetUpPr fitToPage="1"/>
  </sheetPr>
  <dimension ref="A1:O56"/>
  <sheetViews>
    <sheetView zoomScaleNormal="100" workbookViewId="0">
      <selection activeCell="A44" sqref="A44"/>
    </sheetView>
  </sheetViews>
  <sheetFormatPr defaultColWidth="10.42578125" defaultRowHeight="11.25"/>
  <cols>
    <col min="1" max="1" width="44" style="268" customWidth="1"/>
    <col min="2" max="14" width="7" style="416" customWidth="1"/>
    <col min="15" max="15" width="3.42578125" style="270" customWidth="1"/>
    <col min="16" max="236" width="10.42578125" style="270"/>
    <col min="237" max="237" width="39.5703125" style="270" customWidth="1"/>
    <col min="238" max="238" width="7.42578125" style="270" customWidth="1"/>
    <col min="239" max="249" width="6.42578125" style="270" customWidth="1"/>
    <col min="250" max="250" width="6.5703125" style="270" customWidth="1"/>
    <col min="251" max="492" width="10.42578125" style="270"/>
    <col min="493" max="493" width="39.5703125" style="270" customWidth="1"/>
    <col min="494" max="494" width="7.42578125" style="270" customWidth="1"/>
    <col min="495" max="505" width="6.42578125" style="270" customWidth="1"/>
    <col min="506" max="506" width="6.5703125" style="270" customWidth="1"/>
    <col min="507" max="748" width="10.42578125" style="270"/>
    <col min="749" max="749" width="39.5703125" style="270" customWidth="1"/>
    <col min="750" max="750" width="7.42578125" style="270" customWidth="1"/>
    <col min="751" max="761" width="6.42578125" style="270" customWidth="1"/>
    <col min="762" max="762" width="6.5703125" style="270" customWidth="1"/>
    <col min="763" max="1004" width="10.42578125" style="270"/>
    <col min="1005" max="1005" width="39.5703125" style="270" customWidth="1"/>
    <col min="1006" max="1006" width="7.42578125" style="270" customWidth="1"/>
    <col min="1007" max="1017" width="6.42578125" style="270" customWidth="1"/>
    <col min="1018" max="1018" width="6.5703125" style="270" customWidth="1"/>
    <col min="1019" max="1260" width="10.42578125" style="270"/>
    <col min="1261" max="1261" width="39.5703125" style="270" customWidth="1"/>
    <col min="1262" max="1262" width="7.42578125" style="270" customWidth="1"/>
    <col min="1263" max="1273" width="6.42578125" style="270" customWidth="1"/>
    <col min="1274" max="1274" width="6.5703125" style="270" customWidth="1"/>
    <col min="1275" max="1516" width="10.42578125" style="270"/>
    <col min="1517" max="1517" width="39.5703125" style="270" customWidth="1"/>
    <col min="1518" max="1518" width="7.42578125" style="270" customWidth="1"/>
    <col min="1519" max="1529" width="6.42578125" style="270" customWidth="1"/>
    <col min="1530" max="1530" width="6.5703125" style="270" customWidth="1"/>
    <col min="1531" max="1772" width="10.42578125" style="270"/>
    <col min="1773" max="1773" width="39.5703125" style="270" customWidth="1"/>
    <col min="1774" max="1774" width="7.42578125" style="270" customWidth="1"/>
    <col min="1775" max="1785" width="6.42578125" style="270" customWidth="1"/>
    <col min="1786" max="1786" width="6.5703125" style="270" customWidth="1"/>
    <col min="1787" max="2028" width="10.42578125" style="270"/>
    <col min="2029" max="2029" width="39.5703125" style="270" customWidth="1"/>
    <col min="2030" max="2030" width="7.42578125" style="270" customWidth="1"/>
    <col min="2031" max="2041" width="6.42578125" style="270" customWidth="1"/>
    <col min="2042" max="2042" width="6.5703125" style="270" customWidth="1"/>
    <col min="2043" max="2284" width="10.42578125" style="270"/>
    <col min="2285" max="2285" width="39.5703125" style="270" customWidth="1"/>
    <col min="2286" max="2286" width="7.42578125" style="270" customWidth="1"/>
    <col min="2287" max="2297" width="6.42578125" style="270" customWidth="1"/>
    <col min="2298" max="2298" width="6.5703125" style="270" customWidth="1"/>
    <col min="2299" max="2540" width="10.42578125" style="270"/>
    <col min="2541" max="2541" width="39.5703125" style="270" customWidth="1"/>
    <col min="2542" max="2542" width="7.42578125" style="270" customWidth="1"/>
    <col min="2543" max="2553" width="6.42578125" style="270" customWidth="1"/>
    <col min="2554" max="2554" width="6.5703125" style="270" customWidth="1"/>
    <col min="2555" max="2796" width="10.42578125" style="270"/>
    <col min="2797" max="2797" width="39.5703125" style="270" customWidth="1"/>
    <col min="2798" max="2798" width="7.42578125" style="270" customWidth="1"/>
    <col min="2799" max="2809" width="6.42578125" style="270" customWidth="1"/>
    <col min="2810" max="2810" width="6.5703125" style="270" customWidth="1"/>
    <col min="2811" max="3052" width="10.42578125" style="270"/>
    <col min="3053" max="3053" width="39.5703125" style="270" customWidth="1"/>
    <col min="3054" max="3054" width="7.42578125" style="270" customWidth="1"/>
    <col min="3055" max="3065" width="6.42578125" style="270" customWidth="1"/>
    <col min="3066" max="3066" width="6.5703125" style="270" customWidth="1"/>
    <col min="3067" max="3308" width="10.42578125" style="270"/>
    <col min="3309" max="3309" width="39.5703125" style="270" customWidth="1"/>
    <col min="3310" max="3310" width="7.42578125" style="270" customWidth="1"/>
    <col min="3311" max="3321" width="6.42578125" style="270" customWidth="1"/>
    <col min="3322" max="3322" width="6.5703125" style="270" customWidth="1"/>
    <col min="3323" max="3564" width="10.42578125" style="270"/>
    <col min="3565" max="3565" width="39.5703125" style="270" customWidth="1"/>
    <col min="3566" max="3566" width="7.42578125" style="270" customWidth="1"/>
    <col min="3567" max="3577" width="6.42578125" style="270" customWidth="1"/>
    <col min="3578" max="3578" width="6.5703125" style="270" customWidth="1"/>
    <col min="3579" max="3820" width="10.42578125" style="270"/>
    <col min="3821" max="3821" width="39.5703125" style="270" customWidth="1"/>
    <col min="3822" max="3822" width="7.42578125" style="270" customWidth="1"/>
    <col min="3823" max="3833" width="6.42578125" style="270" customWidth="1"/>
    <col min="3834" max="3834" width="6.5703125" style="270" customWidth="1"/>
    <col min="3835" max="4076" width="10.42578125" style="270"/>
    <col min="4077" max="4077" width="39.5703125" style="270" customWidth="1"/>
    <col min="4078" max="4078" width="7.42578125" style="270" customWidth="1"/>
    <col min="4079" max="4089" width="6.42578125" style="270" customWidth="1"/>
    <col min="4090" max="4090" width="6.5703125" style="270" customWidth="1"/>
    <col min="4091" max="4332" width="10.42578125" style="270"/>
    <col min="4333" max="4333" width="39.5703125" style="270" customWidth="1"/>
    <col min="4334" max="4334" width="7.42578125" style="270" customWidth="1"/>
    <col min="4335" max="4345" width="6.42578125" style="270" customWidth="1"/>
    <col min="4346" max="4346" width="6.5703125" style="270" customWidth="1"/>
    <col min="4347" max="4588" width="10.42578125" style="270"/>
    <col min="4589" max="4589" width="39.5703125" style="270" customWidth="1"/>
    <col min="4590" max="4590" width="7.42578125" style="270" customWidth="1"/>
    <col min="4591" max="4601" width="6.42578125" style="270" customWidth="1"/>
    <col min="4602" max="4602" width="6.5703125" style="270" customWidth="1"/>
    <col min="4603" max="4844" width="10.42578125" style="270"/>
    <col min="4845" max="4845" width="39.5703125" style="270" customWidth="1"/>
    <col min="4846" max="4846" width="7.42578125" style="270" customWidth="1"/>
    <col min="4847" max="4857" width="6.42578125" style="270" customWidth="1"/>
    <col min="4858" max="4858" width="6.5703125" style="270" customWidth="1"/>
    <col min="4859" max="5100" width="10.42578125" style="270"/>
    <col min="5101" max="5101" width="39.5703125" style="270" customWidth="1"/>
    <col min="5102" max="5102" width="7.42578125" style="270" customWidth="1"/>
    <col min="5103" max="5113" width="6.42578125" style="270" customWidth="1"/>
    <col min="5114" max="5114" width="6.5703125" style="270" customWidth="1"/>
    <col min="5115" max="5356" width="10.42578125" style="270"/>
    <col min="5357" max="5357" width="39.5703125" style="270" customWidth="1"/>
    <col min="5358" max="5358" width="7.42578125" style="270" customWidth="1"/>
    <col min="5359" max="5369" width="6.42578125" style="270" customWidth="1"/>
    <col min="5370" max="5370" width="6.5703125" style="270" customWidth="1"/>
    <col min="5371" max="5612" width="10.42578125" style="270"/>
    <col min="5613" max="5613" width="39.5703125" style="270" customWidth="1"/>
    <col min="5614" max="5614" width="7.42578125" style="270" customWidth="1"/>
    <col min="5615" max="5625" width="6.42578125" style="270" customWidth="1"/>
    <col min="5626" max="5626" width="6.5703125" style="270" customWidth="1"/>
    <col min="5627" max="5868" width="10.42578125" style="270"/>
    <col min="5869" max="5869" width="39.5703125" style="270" customWidth="1"/>
    <col min="5870" max="5870" width="7.42578125" style="270" customWidth="1"/>
    <col min="5871" max="5881" width="6.42578125" style="270" customWidth="1"/>
    <col min="5882" max="5882" width="6.5703125" style="270" customWidth="1"/>
    <col min="5883" max="6124" width="10.42578125" style="270"/>
    <col min="6125" max="6125" width="39.5703125" style="270" customWidth="1"/>
    <col min="6126" max="6126" width="7.42578125" style="270" customWidth="1"/>
    <col min="6127" max="6137" width="6.42578125" style="270" customWidth="1"/>
    <col min="6138" max="6138" width="6.5703125" style="270" customWidth="1"/>
    <col min="6139" max="6380" width="10.42578125" style="270"/>
    <col min="6381" max="6381" width="39.5703125" style="270" customWidth="1"/>
    <col min="6382" max="6382" width="7.42578125" style="270" customWidth="1"/>
    <col min="6383" max="6393" width="6.42578125" style="270" customWidth="1"/>
    <col min="6394" max="6394" width="6.5703125" style="270" customWidth="1"/>
    <col min="6395" max="6636" width="10.42578125" style="270"/>
    <col min="6637" max="6637" width="39.5703125" style="270" customWidth="1"/>
    <col min="6638" max="6638" width="7.42578125" style="270" customWidth="1"/>
    <col min="6639" max="6649" width="6.42578125" style="270" customWidth="1"/>
    <col min="6650" max="6650" width="6.5703125" style="270" customWidth="1"/>
    <col min="6651" max="6892" width="10.42578125" style="270"/>
    <col min="6893" max="6893" width="39.5703125" style="270" customWidth="1"/>
    <col min="6894" max="6894" width="7.42578125" style="270" customWidth="1"/>
    <col min="6895" max="6905" width="6.42578125" style="270" customWidth="1"/>
    <col min="6906" max="6906" width="6.5703125" style="270" customWidth="1"/>
    <col min="6907" max="7148" width="10.42578125" style="270"/>
    <col min="7149" max="7149" width="39.5703125" style="270" customWidth="1"/>
    <col min="7150" max="7150" width="7.42578125" style="270" customWidth="1"/>
    <col min="7151" max="7161" width="6.42578125" style="270" customWidth="1"/>
    <col min="7162" max="7162" width="6.5703125" style="270" customWidth="1"/>
    <col min="7163" max="7404" width="10.42578125" style="270"/>
    <col min="7405" max="7405" width="39.5703125" style="270" customWidth="1"/>
    <col min="7406" max="7406" width="7.42578125" style="270" customWidth="1"/>
    <col min="7407" max="7417" width="6.42578125" style="270" customWidth="1"/>
    <col min="7418" max="7418" width="6.5703125" style="270" customWidth="1"/>
    <col min="7419" max="7660" width="10.42578125" style="270"/>
    <col min="7661" max="7661" width="39.5703125" style="270" customWidth="1"/>
    <col min="7662" max="7662" width="7.42578125" style="270" customWidth="1"/>
    <col min="7663" max="7673" width="6.42578125" style="270" customWidth="1"/>
    <col min="7674" max="7674" width="6.5703125" style="270" customWidth="1"/>
    <col min="7675" max="7916" width="10.42578125" style="270"/>
    <col min="7917" max="7917" width="39.5703125" style="270" customWidth="1"/>
    <col min="7918" max="7918" width="7.42578125" style="270" customWidth="1"/>
    <col min="7919" max="7929" width="6.42578125" style="270" customWidth="1"/>
    <col min="7930" max="7930" width="6.5703125" style="270" customWidth="1"/>
    <col min="7931" max="8172" width="10.42578125" style="270"/>
    <col min="8173" max="8173" width="39.5703125" style="270" customWidth="1"/>
    <col min="8174" max="8174" width="7.42578125" style="270" customWidth="1"/>
    <col min="8175" max="8185" width="6.42578125" style="270" customWidth="1"/>
    <col min="8186" max="8186" width="6.5703125" style="270" customWidth="1"/>
    <col min="8187" max="8428" width="10.42578125" style="270"/>
    <col min="8429" max="8429" width="39.5703125" style="270" customWidth="1"/>
    <col min="8430" max="8430" width="7.42578125" style="270" customWidth="1"/>
    <col min="8431" max="8441" width="6.42578125" style="270" customWidth="1"/>
    <col min="8442" max="8442" width="6.5703125" style="270" customWidth="1"/>
    <col min="8443" max="8684" width="10.42578125" style="270"/>
    <col min="8685" max="8685" width="39.5703125" style="270" customWidth="1"/>
    <col min="8686" max="8686" width="7.42578125" style="270" customWidth="1"/>
    <col min="8687" max="8697" width="6.42578125" style="270" customWidth="1"/>
    <col min="8698" max="8698" width="6.5703125" style="270" customWidth="1"/>
    <col min="8699" max="8940" width="10.42578125" style="270"/>
    <col min="8941" max="8941" width="39.5703125" style="270" customWidth="1"/>
    <col min="8942" max="8942" width="7.42578125" style="270" customWidth="1"/>
    <col min="8943" max="8953" width="6.42578125" style="270" customWidth="1"/>
    <col min="8954" max="8954" width="6.5703125" style="270" customWidth="1"/>
    <col min="8955" max="9196" width="10.42578125" style="270"/>
    <col min="9197" max="9197" width="39.5703125" style="270" customWidth="1"/>
    <col min="9198" max="9198" width="7.42578125" style="270" customWidth="1"/>
    <col min="9199" max="9209" width="6.42578125" style="270" customWidth="1"/>
    <col min="9210" max="9210" width="6.5703125" style="270" customWidth="1"/>
    <col min="9211" max="9452" width="10.42578125" style="270"/>
    <col min="9453" max="9453" width="39.5703125" style="270" customWidth="1"/>
    <col min="9454" max="9454" width="7.42578125" style="270" customWidth="1"/>
    <col min="9455" max="9465" width="6.42578125" style="270" customWidth="1"/>
    <col min="9466" max="9466" width="6.5703125" style="270" customWidth="1"/>
    <col min="9467" max="9708" width="10.42578125" style="270"/>
    <col min="9709" max="9709" width="39.5703125" style="270" customWidth="1"/>
    <col min="9710" max="9710" width="7.42578125" style="270" customWidth="1"/>
    <col min="9711" max="9721" width="6.42578125" style="270" customWidth="1"/>
    <col min="9722" max="9722" width="6.5703125" style="270" customWidth="1"/>
    <col min="9723" max="9964" width="10.42578125" style="270"/>
    <col min="9965" max="9965" width="39.5703125" style="270" customWidth="1"/>
    <col min="9966" max="9966" width="7.42578125" style="270" customWidth="1"/>
    <col min="9967" max="9977" width="6.42578125" style="270" customWidth="1"/>
    <col min="9978" max="9978" width="6.5703125" style="270" customWidth="1"/>
    <col min="9979" max="10220" width="10.42578125" style="270"/>
    <col min="10221" max="10221" width="39.5703125" style="270" customWidth="1"/>
    <col min="10222" max="10222" width="7.42578125" style="270" customWidth="1"/>
    <col min="10223" max="10233" width="6.42578125" style="270" customWidth="1"/>
    <col min="10234" max="10234" width="6.5703125" style="270" customWidth="1"/>
    <col min="10235" max="10476" width="10.42578125" style="270"/>
    <col min="10477" max="10477" width="39.5703125" style="270" customWidth="1"/>
    <col min="10478" max="10478" width="7.42578125" style="270" customWidth="1"/>
    <col min="10479" max="10489" width="6.42578125" style="270" customWidth="1"/>
    <col min="10490" max="10490" width="6.5703125" style="270" customWidth="1"/>
    <col min="10491" max="10732" width="10.42578125" style="270"/>
    <col min="10733" max="10733" width="39.5703125" style="270" customWidth="1"/>
    <col min="10734" max="10734" width="7.42578125" style="270" customWidth="1"/>
    <col min="10735" max="10745" width="6.42578125" style="270" customWidth="1"/>
    <col min="10746" max="10746" width="6.5703125" style="270" customWidth="1"/>
    <col min="10747" max="10988" width="10.42578125" style="270"/>
    <col min="10989" max="10989" width="39.5703125" style="270" customWidth="1"/>
    <col min="10990" max="10990" width="7.42578125" style="270" customWidth="1"/>
    <col min="10991" max="11001" width="6.42578125" style="270" customWidth="1"/>
    <col min="11002" max="11002" width="6.5703125" style="270" customWidth="1"/>
    <col min="11003" max="11244" width="10.42578125" style="270"/>
    <col min="11245" max="11245" width="39.5703125" style="270" customWidth="1"/>
    <col min="11246" max="11246" width="7.42578125" style="270" customWidth="1"/>
    <col min="11247" max="11257" width="6.42578125" style="270" customWidth="1"/>
    <col min="11258" max="11258" width="6.5703125" style="270" customWidth="1"/>
    <col min="11259" max="11500" width="10.42578125" style="270"/>
    <col min="11501" max="11501" width="39.5703125" style="270" customWidth="1"/>
    <col min="11502" max="11502" width="7.42578125" style="270" customWidth="1"/>
    <col min="11503" max="11513" width="6.42578125" style="270" customWidth="1"/>
    <col min="11514" max="11514" width="6.5703125" style="270" customWidth="1"/>
    <col min="11515" max="11756" width="10.42578125" style="270"/>
    <col min="11757" max="11757" width="39.5703125" style="270" customWidth="1"/>
    <col min="11758" max="11758" width="7.42578125" style="270" customWidth="1"/>
    <col min="11759" max="11769" width="6.42578125" style="270" customWidth="1"/>
    <col min="11770" max="11770" width="6.5703125" style="270" customWidth="1"/>
    <col min="11771" max="12012" width="10.42578125" style="270"/>
    <col min="12013" max="12013" width="39.5703125" style="270" customWidth="1"/>
    <col min="12014" max="12014" width="7.42578125" style="270" customWidth="1"/>
    <col min="12015" max="12025" width="6.42578125" style="270" customWidth="1"/>
    <col min="12026" max="12026" width="6.5703125" style="270" customWidth="1"/>
    <col min="12027" max="12268" width="10.42578125" style="270"/>
    <col min="12269" max="12269" width="39.5703125" style="270" customWidth="1"/>
    <col min="12270" max="12270" width="7.42578125" style="270" customWidth="1"/>
    <col min="12271" max="12281" width="6.42578125" style="270" customWidth="1"/>
    <col min="12282" max="12282" width="6.5703125" style="270" customWidth="1"/>
    <col min="12283" max="12524" width="10.42578125" style="270"/>
    <col min="12525" max="12525" width="39.5703125" style="270" customWidth="1"/>
    <col min="12526" max="12526" width="7.42578125" style="270" customWidth="1"/>
    <col min="12527" max="12537" width="6.42578125" style="270" customWidth="1"/>
    <col min="12538" max="12538" width="6.5703125" style="270" customWidth="1"/>
    <col min="12539" max="12780" width="10.42578125" style="270"/>
    <col min="12781" max="12781" width="39.5703125" style="270" customWidth="1"/>
    <col min="12782" max="12782" width="7.42578125" style="270" customWidth="1"/>
    <col min="12783" max="12793" width="6.42578125" style="270" customWidth="1"/>
    <col min="12794" max="12794" width="6.5703125" style="270" customWidth="1"/>
    <col min="12795" max="13036" width="10.42578125" style="270"/>
    <col min="13037" max="13037" width="39.5703125" style="270" customWidth="1"/>
    <col min="13038" max="13038" width="7.42578125" style="270" customWidth="1"/>
    <col min="13039" max="13049" width="6.42578125" style="270" customWidth="1"/>
    <col min="13050" max="13050" width="6.5703125" style="270" customWidth="1"/>
    <col min="13051" max="13292" width="10.42578125" style="270"/>
    <col min="13293" max="13293" width="39.5703125" style="270" customWidth="1"/>
    <col min="13294" max="13294" width="7.42578125" style="270" customWidth="1"/>
    <col min="13295" max="13305" width="6.42578125" style="270" customWidth="1"/>
    <col min="13306" max="13306" width="6.5703125" style="270" customWidth="1"/>
    <col min="13307" max="13548" width="10.42578125" style="270"/>
    <col min="13549" max="13549" width="39.5703125" style="270" customWidth="1"/>
    <col min="13550" max="13550" width="7.42578125" style="270" customWidth="1"/>
    <col min="13551" max="13561" width="6.42578125" style="270" customWidth="1"/>
    <col min="13562" max="13562" width="6.5703125" style="270" customWidth="1"/>
    <col min="13563" max="13804" width="10.42578125" style="270"/>
    <col min="13805" max="13805" width="39.5703125" style="270" customWidth="1"/>
    <col min="13806" max="13806" width="7.42578125" style="270" customWidth="1"/>
    <col min="13807" max="13817" width="6.42578125" style="270" customWidth="1"/>
    <col min="13818" max="13818" width="6.5703125" style="270" customWidth="1"/>
    <col min="13819" max="14060" width="10.42578125" style="270"/>
    <col min="14061" max="14061" width="39.5703125" style="270" customWidth="1"/>
    <col min="14062" max="14062" width="7.42578125" style="270" customWidth="1"/>
    <col min="14063" max="14073" width="6.42578125" style="270" customWidth="1"/>
    <col min="14074" max="14074" width="6.5703125" style="270" customWidth="1"/>
    <col min="14075" max="14316" width="10.42578125" style="270"/>
    <col min="14317" max="14317" width="39.5703125" style="270" customWidth="1"/>
    <col min="14318" max="14318" width="7.42578125" style="270" customWidth="1"/>
    <col min="14319" max="14329" width="6.42578125" style="270" customWidth="1"/>
    <col min="14330" max="14330" width="6.5703125" style="270" customWidth="1"/>
    <col min="14331" max="14572" width="10.42578125" style="270"/>
    <col min="14573" max="14573" width="39.5703125" style="270" customWidth="1"/>
    <col min="14574" max="14574" width="7.42578125" style="270" customWidth="1"/>
    <col min="14575" max="14585" width="6.42578125" style="270" customWidth="1"/>
    <col min="14586" max="14586" width="6.5703125" style="270" customWidth="1"/>
    <col min="14587" max="14828" width="10.42578125" style="270"/>
    <col min="14829" max="14829" width="39.5703125" style="270" customWidth="1"/>
    <col min="14830" max="14830" width="7.42578125" style="270" customWidth="1"/>
    <col min="14831" max="14841" width="6.42578125" style="270" customWidth="1"/>
    <col min="14842" max="14842" width="6.5703125" style="270" customWidth="1"/>
    <col min="14843" max="15084" width="10.42578125" style="270"/>
    <col min="15085" max="15085" width="39.5703125" style="270" customWidth="1"/>
    <col min="15086" max="15086" width="7.42578125" style="270" customWidth="1"/>
    <col min="15087" max="15097" width="6.42578125" style="270" customWidth="1"/>
    <col min="15098" max="15098" width="6.5703125" style="270" customWidth="1"/>
    <col min="15099" max="15340" width="10.42578125" style="270"/>
    <col min="15341" max="15341" width="39.5703125" style="270" customWidth="1"/>
    <col min="15342" max="15342" width="7.42578125" style="270" customWidth="1"/>
    <col min="15343" max="15353" width="6.42578125" style="270" customWidth="1"/>
    <col min="15354" max="15354" width="6.5703125" style="270" customWidth="1"/>
    <col min="15355" max="15596" width="10.42578125" style="270"/>
    <col min="15597" max="15597" width="39.5703125" style="270" customWidth="1"/>
    <col min="15598" max="15598" width="7.42578125" style="270" customWidth="1"/>
    <col min="15599" max="15609" width="6.42578125" style="270" customWidth="1"/>
    <col min="15610" max="15610" width="6.5703125" style="270" customWidth="1"/>
    <col min="15611" max="15852" width="10.42578125" style="270"/>
    <col min="15853" max="15853" width="39.5703125" style="270" customWidth="1"/>
    <col min="15854" max="15854" width="7.42578125" style="270" customWidth="1"/>
    <col min="15855" max="15865" width="6.42578125" style="270" customWidth="1"/>
    <col min="15866" max="15866" width="6.5703125" style="270" customWidth="1"/>
    <col min="15867" max="16108" width="10.42578125" style="270"/>
    <col min="16109" max="16109" width="39.5703125" style="270" customWidth="1"/>
    <col min="16110" max="16110" width="7.42578125" style="270" customWidth="1"/>
    <col min="16111" max="16121" width="6.42578125" style="270" customWidth="1"/>
    <col min="16122" max="16122" width="6.5703125" style="270" customWidth="1"/>
    <col min="16123" max="16384" width="10.42578125" style="270"/>
  </cols>
  <sheetData>
    <row r="1" spans="1:14" ht="15.75">
      <c r="A1" s="415" t="s">
        <v>282</v>
      </c>
    </row>
    <row r="3" spans="1:14" s="419" customFormat="1" ht="12.75" customHeight="1">
      <c r="A3" s="417"/>
      <c r="B3" s="616" t="s">
        <v>103</v>
      </c>
      <c r="C3" s="617" t="s">
        <v>100</v>
      </c>
      <c r="D3" s="608" t="s">
        <v>283</v>
      </c>
      <c r="E3" s="619" t="s">
        <v>284</v>
      </c>
      <c r="F3" s="608" t="s">
        <v>285</v>
      </c>
      <c r="G3" s="607" t="s">
        <v>286</v>
      </c>
      <c r="H3" s="608" t="s">
        <v>287</v>
      </c>
      <c r="I3" s="607" t="s">
        <v>288</v>
      </c>
      <c r="J3" s="608" t="s">
        <v>289</v>
      </c>
      <c r="K3" s="607" t="s">
        <v>290</v>
      </c>
      <c r="L3" s="620" t="s">
        <v>291</v>
      </c>
      <c r="M3" s="418"/>
      <c r="N3" s="609" t="s">
        <v>349</v>
      </c>
    </row>
    <row r="4" spans="1:14" s="419" customFormat="1">
      <c r="A4" s="420"/>
      <c r="B4" s="612"/>
      <c r="C4" s="611"/>
      <c r="D4" s="618"/>
      <c r="E4" s="619"/>
      <c r="F4" s="608"/>
      <c r="G4" s="611"/>
      <c r="H4" s="608"/>
      <c r="I4" s="607"/>
      <c r="J4" s="608"/>
      <c r="K4" s="607"/>
      <c r="L4" s="620"/>
      <c r="M4" s="418"/>
      <c r="N4" s="609"/>
    </row>
    <row r="5" spans="1:14" s="419" customFormat="1" ht="12">
      <c r="A5" s="417"/>
      <c r="B5" s="612"/>
      <c r="C5" s="611"/>
      <c r="D5" s="618"/>
      <c r="E5" s="619"/>
      <c r="F5" s="608"/>
      <c r="G5" s="611"/>
      <c r="H5" s="608"/>
      <c r="I5" s="607"/>
      <c r="J5" s="608"/>
      <c r="K5" s="607"/>
      <c r="L5" s="620"/>
      <c r="M5" s="418"/>
      <c r="N5" s="609"/>
    </row>
    <row r="6" spans="1:14" s="419" customFormat="1" ht="12" customHeight="1">
      <c r="A6" s="417"/>
      <c r="B6" s="612"/>
      <c r="C6" s="611"/>
      <c r="D6" s="618"/>
      <c r="E6" s="619"/>
      <c r="F6" s="608"/>
      <c r="G6" s="611"/>
      <c r="H6" s="608"/>
      <c r="I6" s="607"/>
      <c r="J6" s="608"/>
      <c r="K6" s="607"/>
      <c r="L6" s="620"/>
      <c r="M6" s="614" t="s">
        <v>292</v>
      </c>
      <c r="N6" s="609"/>
    </row>
    <row r="7" spans="1:14" s="419" customFormat="1" ht="12">
      <c r="A7" s="417"/>
      <c r="B7" s="612"/>
      <c r="C7" s="611"/>
      <c r="D7" s="618"/>
      <c r="E7" s="619"/>
      <c r="F7" s="608"/>
      <c r="G7" s="611"/>
      <c r="H7" s="608"/>
      <c r="I7" s="607"/>
      <c r="J7" s="608"/>
      <c r="K7" s="607"/>
      <c r="L7" s="620"/>
      <c r="M7" s="615"/>
      <c r="N7" s="609"/>
    </row>
    <row r="8" spans="1:14" s="421" customFormat="1" ht="11.25" customHeight="1">
      <c r="B8" s="612"/>
      <c r="C8" s="611"/>
      <c r="D8" s="618"/>
      <c r="E8" s="619"/>
      <c r="F8" s="608"/>
      <c r="G8" s="611"/>
      <c r="H8" s="608"/>
      <c r="I8" s="607"/>
      <c r="J8" s="608"/>
      <c r="K8" s="607"/>
      <c r="L8" s="620"/>
      <c r="M8" s="615"/>
      <c r="N8" s="609"/>
    </row>
    <row r="9" spans="1:14" s="421" customFormat="1">
      <c r="A9" s="268"/>
      <c r="B9" s="612"/>
      <c r="C9" s="611"/>
      <c r="D9" s="618"/>
      <c r="E9" s="619"/>
      <c r="F9" s="608"/>
      <c r="G9" s="611"/>
      <c r="H9" s="608"/>
      <c r="I9" s="607"/>
      <c r="J9" s="608"/>
      <c r="K9" s="607"/>
      <c r="L9" s="620"/>
      <c r="M9" s="615"/>
      <c r="N9" s="609"/>
    </row>
    <row r="10" spans="1:14" s="421" customFormat="1" ht="12">
      <c r="B10" s="612"/>
      <c r="C10" s="611"/>
      <c r="D10" s="618"/>
      <c r="E10" s="619"/>
      <c r="F10" s="608"/>
      <c r="G10" s="611"/>
      <c r="H10" s="608"/>
      <c r="I10" s="607"/>
      <c r="J10" s="608"/>
      <c r="K10" s="607"/>
      <c r="L10" s="620"/>
      <c r="M10" s="615"/>
      <c r="N10" s="609"/>
    </row>
    <row r="11" spans="1:14" s="421" customFormat="1" ht="12">
      <c r="B11" s="612"/>
      <c r="C11" s="611"/>
      <c r="D11" s="618"/>
      <c r="E11" s="619"/>
      <c r="F11" s="608"/>
      <c r="G11" s="611"/>
      <c r="H11" s="608"/>
      <c r="I11" s="607"/>
      <c r="J11" s="608"/>
      <c r="K11" s="607"/>
      <c r="L11" s="620"/>
      <c r="M11" s="615"/>
      <c r="N11" s="609"/>
    </row>
    <row r="12" spans="1:14" s="421" customFormat="1" ht="12" customHeight="1">
      <c r="B12" s="612"/>
      <c r="C12" s="611"/>
      <c r="D12" s="618"/>
      <c r="E12" s="619"/>
      <c r="F12" s="608"/>
      <c r="G12" s="611"/>
      <c r="H12" s="608"/>
      <c r="I12" s="607"/>
      <c r="J12" s="608"/>
      <c r="K12" s="607"/>
      <c r="L12" s="620"/>
      <c r="M12" s="615"/>
      <c r="N12" s="609"/>
    </row>
    <row r="13" spans="1:14" s="421" customFormat="1" ht="5.25" customHeight="1">
      <c r="A13" s="423"/>
      <c r="B13" s="424"/>
      <c r="C13" s="425"/>
      <c r="D13" s="426"/>
      <c r="E13" s="427"/>
      <c r="F13" s="426"/>
      <c r="G13" s="427"/>
      <c r="H13" s="426"/>
      <c r="I13" s="427"/>
      <c r="J13" s="426"/>
      <c r="K13" s="427"/>
      <c r="L13" s="426"/>
      <c r="M13" s="427"/>
      <c r="N13" s="426"/>
    </row>
    <row r="14" spans="1:14" ht="12" customHeight="1">
      <c r="A14" s="268" t="s">
        <v>181</v>
      </c>
      <c r="B14" s="428">
        <v>0</v>
      </c>
      <c r="C14" s="429">
        <v>0</v>
      </c>
      <c r="D14" s="428">
        <v>16</v>
      </c>
      <c r="E14" s="429">
        <v>0</v>
      </c>
      <c r="F14" s="428">
        <v>0</v>
      </c>
      <c r="G14" s="429">
        <v>0</v>
      </c>
      <c r="H14" s="428">
        <v>0</v>
      </c>
      <c r="I14" s="429">
        <v>0</v>
      </c>
      <c r="J14" s="428">
        <v>0</v>
      </c>
      <c r="K14" s="429">
        <v>0</v>
      </c>
      <c r="L14" s="428">
        <v>164</v>
      </c>
      <c r="M14" s="429">
        <v>0</v>
      </c>
      <c r="N14" s="430">
        <v>180</v>
      </c>
    </row>
    <row r="15" spans="1:14" ht="6" customHeight="1">
      <c r="B15" s="428"/>
      <c r="C15" s="429"/>
      <c r="D15" s="428"/>
      <c r="E15" s="429"/>
      <c r="F15" s="428"/>
      <c r="G15" s="429"/>
      <c r="H15" s="428"/>
      <c r="I15" s="429"/>
      <c r="J15" s="428"/>
      <c r="K15" s="429"/>
      <c r="L15" s="428"/>
      <c r="M15" s="429"/>
      <c r="N15" s="430"/>
    </row>
    <row r="16" spans="1:14" ht="12" customHeight="1">
      <c r="A16" s="268" t="s">
        <v>98</v>
      </c>
      <c r="B16" s="428">
        <v>0</v>
      </c>
      <c r="C16" s="429">
        <v>6339</v>
      </c>
      <c r="D16" s="428">
        <v>0</v>
      </c>
      <c r="E16" s="429">
        <v>0</v>
      </c>
      <c r="F16" s="428">
        <v>0</v>
      </c>
      <c r="G16" s="429">
        <v>0</v>
      </c>
      <c r="H16" s="428">
        <v>0</v>
      </c>
      <c r="I16" s="429">
        <v>0</v>
      </c>
      <c r="J16" s="428">
        <v>0</v>
      </c>
      <c r="K16" s="429">
        <v>0</v>
      </c>
      <c r="L16" s="428">
        <v>-25</v>
      </c>
      <c r="M16" s="429">
        <v>0</v>
      </c>
      <c r="N16" s="430">
        <v>6314</v>
      </c>
    </row>
    <row r="17" spans="1:14" ht="12" customHeight="1">
      <c r="A17" s="268" t="s">
        <v>351</v>
      </c>
      <c r="B17" s="428">
        <v>0</v>
      </c>
      <c r="C17" s="429">
        <v>0</v>
      </c>
      <c r="D17" s="428">
        <v>0</v>
      </c>
      <c r="E17" s="429">
        <v>0</v>
      </c>
      <c r="F17" s="428">
        <v>0</v>
      </c>
      <c r="G17" s="429">
        <v>0</v>
      </c>
      <c r="H17" s="428">
        <v>0</v>
      </c>
      <c r="I17" s="429">
        <v>0</v>
      </c>
      <c r="J17" s="428">
        <v>0</v>
      </c>
      <c r="K17" s="429">
        <v>0</v>
      </c>
      <c r="L17" s="428">
        <v>140</v>
      </c>
      <c r="M17" s="429">
        <v>0</v>
      </c>
      <c r="N17" s="430">
        <v>140</v>
      </c>
    </row>
    <row r="18" spans="1:14" ht="12" customHeight="1">
      <c r="A18" s="270" t="s">
        <v>352</v>
      </c>
      <c r="B18" s="428">
        <v>0</v>
      </c>
      <c r="C18" s="429">
        <v>0</v>
      </c>
      <c r="D18" s="428">
        <v>0</v>
      </c>
      <c r="E18" s="429">
        <v>843</v>
      </c>
      <c r="F18" s="428">
        <v>0</v>
      </c>
      <c r="G18" s="429">
        <v>0</v>
      </c>
      <c r="H18" s="428">
        <v>0</v>
      </c>
      <c r="I18" s="429">
        <v>49</v>
      </c>
      <c r="J18" s="428">
        <v>0</v>
      </c>
      <c r="K18" s="429">
        <v>0</v>
      </c>
      <c r="L18" s="428">
        <v>0</v>
      </c>
      <c r="M18" s="429">
        <v>0</v>
      </c>
      <c r="N18" s="430">
        <v>892</v>
      </c>
    </row>
    <row r="19" spans="1:14" ht="12" customHeight="1">
      <c r="A19" s="268" t="s">
        <v>99</v>
      </c>
      <c r="B19" s="428">
        <v>0</v>
      </c>
      <c r="C19" s="429">
        <v>0</v>
      </c>
      <c r="D19" s="428">
        <v>2917</v>
      </c>
      <c r="E19" s="429">
        <v>0</v>
      </c>
      <c r="F19" s="428">
        <v>0</v>
      </c>
      <c r="G19" s="429">
        <v>0</v>
      </c>
      <c r="H19" s="428">
        <v>0</v>
      </c>
      <c r="I19" s="429">
        <v>0</v>
      </c>
      <c r="J19" s="428">
        <v>0</v>
      </c>
      <c r="K19" s="429">
        <v>0</v>
      </c>
      <c r="L19" s="428">
        <v>0</v>
      </c>
      <c r="M19" s="429">
        <v>0</v>
      </c>
      <c r="N19" s="430">
        <v>2917</v>
      </c>
    </row>
    <row r="20" spans="1:14" ht="12" customHeight="1">
      <c r="A20" s="268" t="s">
        <v>354</v>
      </c>
      <c r="B20" s="428">
        <v>0</v>
      </c>
      <c r="C20" s="429">
        <v>0</v>
      </c>
      <c r="D20" s="428">
        <v>0</v>
      </c>
      <c r="E20" s="429">
        <v>20</v>
      </c>
      <c r="F20" s="428">
        <v>0</v>
      </c>
      <c r="G20" s="429">
        <v>0</v>
      </c>
      <c r="H20" s="428">
        <v>0</v>
      </c>
      <c r="I20" s="429">
        <v>0</v>
      </c>
      <c r="J20" s="428">
        <v>287</v>
      </c>
      <c r="K20" s="429">
        <v>0</v>
      </c>
      <c r="L20" s="428">
        <v>0</v>
      </c>
      <c r="M20" s="429">
        <v>0</v>
      </c>
      <c r="N20" s="430">
        <v>307</v>
      </c>
    </row>
    <row r="21" spans="1:14" ht="12" customHeight="1">
      <c r="A21" s="268" t="s">
        <v>100</v>
      </c>
      <c r="B21" s="428">
        <v>0</v>
      </c>
      <c r="C21" s="429">
        <v>9317</v>
      </c>
      <c r="D21" s="428">
        <v>0</v>
      </c>
      <c r="E21" s="429">
        <v>0</v>
      </c>
      <c r="F21" s="428">
        <v>0</v>
      </c>
      <c r="G21" s="429">
        <v>0</v>
      </c>
      <c r="H21" s="428">
        <v>0</v>
      </c>
      <c r="I21" s="429">
        <v>0</v>
      </c>
      <c r="J21" s="428">
        <v>0</v>
      </c>
      <c r="K21" s="429">
        <v>0</v>
      </c>
      <c r="L21" s="428">
        <v>0</v>
      </c>
      <c r="M21" s="429">
        <v>33</v>
      </c>
      <c r="N21" s="430">
        <v>9351</v>
      </c>
    </row>
    <row r="22" spans="1:14" ht="12" customHeight="1">
      <c r="A22" s="268" t="s">
        <v>101</v>
      </c>
      <c r="B22" s="428">
        <v>0</v>
      </c>
      <c r="C22" s="429">
        <v>0</v>
      </c>
      <c r="D22" s="428">
        <v>0</v>
      </c>
      <c r="E22" s="429">
        <v>826</v>
      </c>
      <c r="F22" s="428">
        <v>0</v>
      </c>
      <c r="G22" s="429">
        <v>0</v>
      </c>
      <c r="H22" s="428">
        <v>0</v>
      </c>
      <c r="I22" s="429">
        <v>135</v>
      </c>
      <c r="J22" s="428">
        <v>0</v>
      </c>
      <c r="K22" s="429">
        <v>0</v>
      </c>
      <c r="L22" s="428">
        <v>22</v>
      </c>
      <c r="M22" s="429">
        <v>0</v>
      </c>
      <c r="N22" s="430">
        <v>984</v>
      </c>
    </row>
    <row r="23" spans="1:14" ht="12" customHeight="1">
      <c r="A23" s="268" t="s">
        <v>355</v>
      </c>
      <c r="B23" s="428">
        <v>0</v>
      </c>
      <c r="C23" s="429">
        <v>0</v>
      </c>
      <c r="D23" s="428">
        <v>0</v>
      </c>
      <c r="E23" s="429">
        <v>119</v>
      </c>
      <c r="F23" s="428">
        <v>0</v>
      </c>
      <c r="G23" s="429">
        <v>0</v>
      </c>
      <c r="H23" s="428">
        <v>0</v>
      </c>
      <c r="I23" s="429">
        <v>435</v>
      </c>
      <c r="J23" s="428">
        <v>0</v>
      </c>
      <c r="K23" s="429">
        <v>0</v>
      </c>
      <c r="L23" s="428">
        <v>0</v>
      </c>
      <c r="M23" s="429">
        <v>0</v>
      </c>
      <c r="N23" s="430">
        <v>554</v>
      </c>
    </row>
    <row r="24" spans="1:14" ht="12" customHeight="1">
      <c r="A24" s="268" t="s">
        <v>102</v>
      </c>
      <c r="B24" s="428">
        <v>0</v>
      </c>
      <c r="C24" s="429">
        <v>0</v>
      </c>
      <c r="D24" s="428">
        <v>0</v>
      </c>
      <c r="E24" s="429">
        <v>14</v>
      </c>
      <c r="F24" s="428">
        <v>0</v>
      </c>
      <c r="G24" s="429">
        <v>0</v>
      </c>
      <c r="H24" s="428">
        <v>0</v>
      </c>
      <c r="I24" s="429">
        <v>0</v>
      </c>
      <c r="J24" s="428"/>
      <c r="K24" s="429">
        <v>0</v>
      </c>
      <c r="L24" s="428">
        <v>21</v>
      </c>
      <c r="M24" s="429">
        <v>0</v>
      </c>
      <c r="N24" s="430">
        <v>35</v>
      </c>
    </row>
    <row r="25" spans="1:14" ht="12" customHeight="1">
      <c r="A25" s="270" t="s">
        <v>356</v>
      </c>
      <c r="B25" s="428">
        <v>0</v>
      </c>
      <c r="C25" s="429">
        <v>0</v>
      </c>
      <c r="D25" s="428">
        <v>0</v>
      </c>
      <c r="E25" s="429">
        <v>211</v>
      </c>
      <c r="F25" s="428">
        <v>103</v>
      </c>
      <c r="G25" s="429">
        <v>0</v>
      </c>
      <c r="H25" s="428">
        <v>0</v>
      </c>
      <c r="I25" s="429">
        <v>0</v>
      </c>
      <c r="J25" s="428">
        <v>122</v>
      </c>
      <c r="K25" s="429">
        <v>0</v>
      </c>
      <c r="L25" s="428">
        <v>0</v>
      </c>
      <c r="M25" s="429">
        <v>0</v>
      </c>
      <c r="N25" s="430">
        <v>435</v>
      </c>
    </row>
    <row r="26" spans="1:14" ht="12" customHeight="1">
      <c r="A26" s="268" t="s">
        <v>103</v>
      </c>
      <c r="B26" s="428">
        <v>26446</v>
      </c>
      <c r="C26" s="429">
        <v>0</v>
      </c>
      <c r="D26" s="428">
        <v>0</v>
      </c>
      <c r="E26" s="429">
        <v>0</v>
      </c>
      <c r="F26" s="428">
        <v>0</v>
      </c>
      <c r="G26" s="429">
        <v>0</v>
      </c>
      <c r="H26" s="428">
        <v>0</v>
      </c>
      <c r="I26" s="429">
        <v>0</v>
      </c>
      <c r="J26" s="428">
        <v>0</v>
      </c>
      <c r="K26" s="429">
        <v>0</v>
      </c>
      <c r="L26" s="428">
        <v>0</v>
      </c>
      <c r="M26" s="429">
        <v>0</v>
      </c>
      <c r="N26" s="430">
        <v>26446</v>
      </c>
    </row>
    <row r="27" spans="1:14" ht="12" customHeight="1">
      <c r="A27" s="268" t="s">
        <v>104</v>
      </c>
      <c r="B27" s="428">
        <v>0</v>
      </c>
      <c r="C27" s="429">
        <v>0</v>
      </c>
      <c r="D27" s="428">
        <v>0</v>
      </c>
      <c r="E27" s="429">
        <v>9</v>
      </c>
      <c r="F27" s="428">
        <v>0</v>
      </c>
      <c r="G27" s="429">
        <v>0</v>
      </c>
      <c r="H27" s="428">
        <v>222</v>
      </c>
      <c r="I27" s="429">
        <v>0</v>
      </c>
      <c r="J27" s="428">
        <v>0</v>
      </c>
      <c r="K27" s="429">
        <v>0</v>
      </c>
      <c r="L27" s="428">
        <v>0</v>
      </c>
      <c r="M27" s="429">
        <v>0</v>
      </c>
      <c r="N27" s="430">
        <v>230</v>
      </c>
    </row>
    <row r="28" spans="1:14" ht="12" customHeight="1">
      <c r="A28" s="268" t="s">
        <v>105</v>
      </c>
      <c r="B28" s="428">
        <v>5</v>
      </c>
      <c r="C28" s="429">
        <v>1</v>
      </c>
      <c r="D28" s="428">
        <v>0</v>
      </c>
      <c r="E28" s="429">
        <v>0</v>
      </c>
      <c r="F28" s="428">
        <v>0</v>
      </c>
      <c r="G28" s="429">
        <v>2</v>
      </c>
      <c r="H28" s="428">
        <v>0</v>
      </c>
      <c r="I28" s="429">
        <v>24</v>
      </c>
      <c r="J28" s="428">
        <v>0</v>
      </c>
      <c r="K28" s="429">
        <v>1</v>
      </c>
      <c r="L28" s="428">
        <v>580</v>
      </c>
      <c r="M28" s="429">
        <v>0</v>
      </c>
      <c r="N28" s="430">
        <v>613</v>
      </c>
    </row>
    <row r="29" spans="1:14" ht="12" customHeight="1">
      <c r="A29" s="268" t="s">
        <v>357</v>
      </c>
      <c r="B29" s="428">
        <v>0</v>
      </c>
      <c r="C29" s="429">
        <v>100</v>
      </c>
      <c r="D29" s="428">
        <v>0</v>
      </c>
      <c r="E29" s="429">
        <v>188</v>
      </c>
      <c r="F29" s="428">
        <v>86</v>
      </c>
      <c r="G29" s="429">
        <v>0</v>
      </c>
      <c r="H29" s="428">
        <v>0</v>
      </c>
      <c r="I29" s="429">
        <v>0</v>
      </c>
      <c r="J29" s="428">
        <v>0</v>
      </c>
      <c r="K29" s="429">
        <v>0</v>
      </c>
      <c r="L29" s="428">
        <v>0</v>
      </c>
      <c r="M29" s="429">
        <v>0</v>
      </c>
      <c r="N29" s="430">
        <v>374</v>
      </c>
    </row>
    <row r="30" spans="1:14" ht="12" customHeight="1">
      <c r="A30" s="268" t="s">
        <v>358</v>
      </c>
      <c r="B30" s="428">
        <v>0</v>
      </c>
      <c r="C30" s="429">
        <v>0</v>
      </c>
      <c r="D30" s="428">
        <v>135</v>
      </c>
      <c r="E30" s="429">
        <v>0</v>
      </c>
      <c r="F30" s="428">
        <v>524</v>
      </c>
      <c r="G30" s="429">
        <v>0</v>
      </c>
      <c r="H30" s="428">
        <v>0</v>
      </c>
      <c r="I30" s="429">
        <v>0</v>
      </c>
      <c r="J30" s="428">
        <v>0</v>
      </c>
      <c r="K30" s="429">
        <v>0</v>
      </c>
      <c r="L30" s="428">
        <v>0</v>
      </c>
      <c r="M30" s="429">
        <v>0</v>
      </c>
      <c r="N30" s="430">
        <v>658</v>
      </c>
    </row>
    <row r="31" spans="1:14" ht="12" customHeight="1">
      <c r="A31" s="269" t="s">
        <v>360</v>
      </c>
      <c r="B31" s="428">
        <v>166</v>
      </c>
      <c r="C31" s="429">
        <v>0</v>
      </c>
      <c r="D31" s="428">
        <v>0</v>
      </c>
      <c r="E31" s="429">
        <v>0</v>
      </c>
      <c r="F31" s="428">
        <v>0</v>
      </c>
      <c r="G31" s="429">
        <v>0</v>
      </c>
      <c r="H31" s="428">
        <v>0</v>
      </c>
      <c r="I31" s="429">
        <v>0</v>
      </c>
      <c r="J31" s="428">
        <v>0</v>
      </c>
      <c r="K31" s="429">
        <v>0</v>
      </c>
      <c r="L31" s="428">
        <v>0</v>
      </c>
      <c r="M31" s="429">
        <v>0</v>
      </c>
      <c r="N31" s="430">
        <v>166</v>
      </c>
    </row>
    <row r="32" spans="1:14" ht="12" customHeight="1">
      <c r="A32" s="268" t="s">
        <v>106</v>
      </c>
      <c r="B32" s="428">
        <v>0</v>
      </c>
      <c r="C32" s="429">
        <v>0</v>
      </c>
      <c r="D32" s="428">
        <v>0</v>
      </c>
      <c r="E32" s="429">
        <v>0</v>
      </c>
      <c r="F32" s="428">
        <v>28</v>
      </c>
      <c r="G32" s="429">
        <v>0</v>
      </c>
      <c r="H32" s="428">
        <v>880</v>
      </c>
      <c r="I32" s="429">
        <v>0</v>
      </c>
      <c r="J32" s="428">
        <v>69</v>
      </c>
      <c r="K32" s="429">
        <v>0</v>
      </c>
      <c r="L32" s="428">
        <v>36</v>
      </c>
      <c r="M32" s="429">
        <v>0</v>
      </c>
      <c r="N32" s="430">
        <v>1014</v>
      </c>
    </row>
    <row r="33" spans="1:15" ht="12" customHeight="1">
      <c r="A33" s="270" t="s">
        <v>361</v>
      </c>
      <c r="B33" s="428">
        <v>0</v>
      </c>
      <c r="C33" s="429">
        <v>0</v>
      </c>
      <c r="D33" s="428">
        <v>39</v>
      </c>
      <c r="E33" s="429">
        <v>0</v>
      </c>
      <c r="F33" s="428">
        <v>1177</v>
      </c>
      <c r="G33" s="429">
        <v>0</v>
      </c>
      <c r="H33" s="428">
        <v>0</v>
      </c>
      <c r="I33" s="429">
        <v>0</v>
      </c>
      <c r="J33" s="428">
        <v>0</v>
      </c>
      <c r="K33" s="429">
        <v>0</v>
      </c>
      <c r="L33" s="428">
        <v>0</v>
      </c>
      <c r="M33" s="429">
        <v>0</v>
      </c>
      <c r="N33" s="430">
        <v>1217</v>
      </c>
    </row>
    <row r="34" spans="1:15" ht="12" customHeight="1">
      <c r="A34" s="270" t="s">
        <v>353</v>
      </c>
      <c r="B34" s="428">
        <v>0</v>
      </c>
      <c r="C34" s="429">
        <v>92</v>
      </c>
      <c r="D34" s="428">
        <v>5109</v>
      </c>
      <c r="E34" s="429">
        <v>0</v>
      </c>
      <c r="F34" s="428">
        <v>0</v>
      </c>
      <c r="G34" s="429">
        <v>0</v>
      </c>
      <c r="H34" s="428">
        <v>0</v>
      </c>
      <c r="I34" s="429">
        <v>0</v>
      </c>
      <c r="J34" s="428">
        <v>0</v>
      </c>
      <c r="K34" s="429">
        <v>265</v>
      </c>
      <c r="L34" s="428">
        <v>0</v>
      </c>
      <c r="M34" s="429">
        <v>0</v>
      </c>
      <c r="N34" s="430">
        <v>5466</v>
      </c>
    </row>
    <row r="35" spans="1:15" ht="12" customHeight="1">
      <c r="A35" s="270" t="s">
        <v>362</v>
      </c>
      <c r="B35" s="428">
        <v>0</v>
      </c>
      <c r="C35" s="429">
        <v>0</v>
      </c>
      <c r="D35" s="428">
        <v>0</v>
      </c>
      <c r="E35" s="429">
        <v>0</v>
      </c>
      <c r="F35" s="428">
        <v>80</v>
      </c>
      <c r="G35" s="429">
        <v>0</v>
      </c>
      <c r="H35" s="428">
        <v>0</v>
      </c>
      <c r="I35" s="429">
        <v>0</v>
      </c>
      <c r="J35" s="428">
        <v>0</v>
      </c>
      <c r="K35" s="429">
        <v>0</v>
      </c>
      <c r="L35" s="428">
        <v>55</v>
      </c>
      <c r="M35" s="429">
        <v>0</v>
      </c>
      <c r="N35" s="430">
        <v>135</v>
      </c>
    </row>
    <row r="36" spans="1:15" ht="12" customHeight="1">
      <c r="A36" s="270" t="s">
        <v>363</v>
      </c>
      <c r="B36" s="428">
        <v>0</v>
      </c>
      <c r="C36" s="429">
        <v>173</v>
      </c>
      <c r="D36" s="428">
        <v>0</v>
      </c>
      <c r="E36" s="429">
        <v>2</v>
      </c>
      <c r="F36" s="428">
        <v>0</v>
      </c>
      <c r="G36" s="429">
        <v>0</v>
      </c>
      <c r="H36" s="428">
        <v>0</v>
      </c>
      <c r="I36" s="429">
        <v>0</v>
      </c>
      <c r="J36" s="428">
        <v>0</v>
      </c>
      <c r="K36" s="429">
        <v>0</v>
      </c>
      <c r="L36" s="428">
        <v>0</v>
      </c>
      <c r="M36" s="429">
        <v>0</v>
      </c>
      <c r="N36" s="430">
        <v>175</v>
      </c>
    </row>
    <row r="37" spans="1:15" ht="12" customHeight="1">
      <c r="A37" s="270" t="s">
        <v>364</v>
      </c>
      <c r="B37" s="428">
        <v>48</v>
      </c>
      <c r="C37" s="429">
        <v>0</v>
      </c>
      <c r="D37" s="428">
        <v>4</v>
      </c>
      <c r="E37" s="429">
        <v>283</v>
      </c>
      <c r="F37" s="428">
        <v>32</v>
      </c>
      <c r="G37" s="429">
        <v>0</v>
      </c>
      <c r="H37" s="428">
        <v>0</v>
      </c>
      <c r="I37" s="429">
        <v>0</v>
      </c>
      <c r="J37" s="428">
        <v>0</v>
      </c>
      <c r="K37" s="429">
        <v>0</v>
      </c>
      <c r="L37" s="428">
        <v>645</v>
      </c>
      <c r="M37" s="429">
        <v>0</v>
      </c>
      <c r="N37" s="430">
        <v>1012</v>
      </c>
    </row>
    <row r="38" spans="1:15" ht="12" customHeight="1">
      <c r="A38" s="268" t="s">
        <v>359</v>
      </c>
      <c r="B38" s="428">
        <v>0</v>
      </c>
      <c r="C38" s="429">
        <v>0</v>
      </c>
      <c r="D38" s="428">
        <v>0</v>
      </c>
      <c r="E38" s="429">
        <v>86</v>
      </c>
      <c r="F38" s="428">
        <v>0</v>
      </c>
      <c r="G38" s="429">
        <v>0</v>
      </c>
      <c r="H38" s="428">
        <v>0</v>
      </c>
      <c r="I38" s="429">
        <v>0</v>
      </c>
      <c r="J38" s="428">
        <v>0</v>
      </c>
      <c r="K38" s="429">
        <v>0</v>
      </c>
      <c r="L38" s="428">
        <v>0</v>
      </c>
      <c r="M38" s="429">
        <v>0</v>
      </c>
      <c r="N38" s="430">
        <v>86</v>
      </c>
    </row>
    <row r="39" spans="1:15" ht="12" customHeight="1">
      <c r="A39" s="270" t="s">
        <v>365</v>
      </c>
      <c r="B39" s="428">
        <v>0</v>
      </c>
      <c r="C39" s="429">
        <v>0</v>
      </c>
      <c r="D39" s="428">
        <v>0</v>
      </c>
      <c r="E39" s="429">
        <v>0</v>
      </c>
      <c r="F39" s="428">
        <v>44</v>
      </c>
      <c r="G39" s="429">
        <v>2463</v>
      </c>
      <c r="H39" s="428">
        <v>0</v>
      </c>
      <c r="I39" s="429">
        <v>12</v>
      </c>
      <c r="J39" s="428">
        <v>0</v>
      </c>
      <c r="K39" s="429">
        <v>0</v>
      </c>
      <c r="L39" s="428">
        <v>0</v>
      </c>
      <c r="M39" s="429">
        <v>101</v>
      </c>
      <c r="N39" s="430">
        <v>2620</v>
      </c>
    </row>
    <row r="40" spans="1:15" ht="12" customHeight="1">
      <c r="A40" s="268" t="s">
        <v>108</v>
      </c>
      <c r="B40" s="428">
        <v>15</v>
      </c>
      <c r="C40" s="429">
        <v>11</v>
      </c>
      <c r="D40" s="428">
        <v>38</v>
      </c>
      <c r="E40" s="429">
        <v>54</v>
      </c>
      <c r="F40" s="428">
        <v>58</v>
      </c>
      <c r="G40" s="429">
        <v>0</v>
      </c>
      <c r="H40" s="428">
        <v>0</v>
      </c>
      <c r="I40" s="429">
        <v>2</v>
      </c>
      <c r="J40" s="428">
        <v>2</v>
      </c>
      <c r="K40" s="429">
        <v>0</v>
      </c>
      <c r="L40" s="428">
        <v>1568</v>
      </c>
      <c r="M40" s="429">
        <v>2714</v>
      </c>
      <c r="N40" s="430">
        <v>4460</v>
      </c>
    </row>
    <row r="41" spans="1:15" ht="12" customHeight="1">
      <c r="A41" s="431" t="s">
        <v>422</v>
      </c>
      <c r="B41" s="432">
        <v>0</v>
      </c>
      <c r="C41" s="433">
        <v>0</v>
      </c>
      <c r="D41" s="432">
        <v>0</v>
      </c>
      <c r="E41" s="433">
        <v>0</v>
      </c>
      <c r="F41" s="432">
        <v>1500</v>
      </c>
      <c r="G41" s="433">
        <v>0</v>
      </c>
      <c r="H41" s="432">
        <v>0</v>
      </c>
      <c r="I41" s="433">
        <v>0</v>
      </c>
      <c r="J41" s="432">
        <v>0</v>
      </c>
      <c r="K41" s="433">
        <v>0</v>
      </c>
      <c r="L41" s="432"/>
      <c r="M41" s="433">
        <v>0</v>
      </c>
      <c r="N41" s="434">
        <v>1500</v>
      </c>
    </row>
    <row r="42" spans="1:15" ht="15" customHeight="1" thickBot="1">
      <c r="A42" s="435" t="s">
        <v>349</v>
      </c>
      <c r="B42" s="436">
        <v>26681</v>
      </c>
      <c r="C42" s="437">
        <v>16033</v>
      </c>
      <c r="D42" s="436">
        <v>8259</v>
      </c>
      <c r="E42" s="437">
        <v>2654</v>
      </c>
      <c r="F42" s="436">
        <v>3632</v>
      </c>
      <c r="G42" s="437">
        <v>2465</v>
      </c>
      <c r="H42" s="436">
        <v>1101</v>
      </c>
      <c r="I42" s="437">
        <v>657</v>
      </c>
      <c r="J42" s="436">
        <v>481</v>
      </c>
      <c r="K42" s="437">
        <v>266</v>
      </c>
      <c r="L42" s="436">
        <v>3205</v>
      </c>
      <c r="M42" s="437">
        <v>2848</v>
      </c>
      <c r="N42" s="436">
        <v>68282</v>
      </c>
    </row>
    <row r="43" spans="1:15">
      <c r="B43" s="438"/>
      <c r="C43" s="438"/>
      <c r="D43" s="438"/>
      <c r="E43" s="438"/>
      <c r="F43" s="438"/>
      <c r="G43" s="438"/>
      <c r="H43" s="438"/>
      <c r="I43" s="438"/>
      <c r="J43" s="438"/>
      <c r="K43" s="438"/>
      <c r="L43" s="438"/>
      <c r="M43" s="438"/>
    </row>
    <row r="44" spans="1:15" ht="12.75">
      <c r="A44" s="439"/>
      <c r="B44" s="270"/>
      <c r="C44" s="270"/>
      <c r="D44" s="270"/>
      <c r="E44" s="270"/>
      <c r="G44" s="270"/>
      <c r="H44" s="270"/>
      <c r="I44" s="270"/>
      <c r="J44" s="270"/>
      <c r="K44" s="270"/>
      <c r="L44" s="270"/>
      <c r="M44" s="270"/>
      <c r="N44" s="428"/>
    </row>
    <row r="45" spans="1:15" ht="12">
      <c r="A45" s="270"/>
      <c r="B45" s="440"/>
      <c r="C45" s="218"/>
      <c r="D45" s="96"/>
      <c r="E45" s="96"/>
      <c r="F45" s="576"/>
      <c r="G45" s="218"/>
      <c r="H45" s="96"/>
      <c r="I45" s="441"/>
      <c r="J45" s="441"/>
      <c r="K45" s="441"/>
      <c r="L45" s="441"/>
      <c r="M45" s="441"/>
    </row>
    <row r="46" spans="1:15" ht="12">
      <c r="B46" s="442"/>
      <c r="C46" s="442"/>
      <c r="D46" s="442"/>
      <c r="E46" s="442"/>
      <c r="F46" s="442"/>
      <c r="G46" s="442"/>
      <c r="H46" s="442"/>
      <c r="I46" s="442"/>
      <c r="J46" s="442"/>
      <c r="K46" s="442"/>
      <c r="L46" s="442"/>
      <c r="M46" s="442"/>
      <c r="N46" s="442"/>
      <c r="O46"/>
    </row>
    <row r="47" spans="1:15" ht="12">
      <c r="C47" s="443"/>
      <c r="D47"/>
      <c r="E47"/>
      <c r="F47"/>
      <c r="H47"/>
      <c r="I47"/>
      <c r="J47"/>
      <c r="K47"/>
      <c r="L47"/>
      <c r="M47"/>
      <c r="N47"/>
      <c r="O47"/>
    </row>
    <row r="48" spans="1:15" ht="12">
      <c r="A48" s="270"/>
      <c r="C48" s="443"/>
    </row>
    <row r="49" spans="1:15" ht="12">
      <c r="C49" s="443"/>
    </row>
    <row r="50" spans="1:15" ht="12">
      <c r="C50" s="443"/>
    </row>
    <row r="51" spans="1:15" ht="12">
      <c r="C51" s="443"/>
    </row>
    <row r="52" spans="1:15" s="416" customFormat="1" ht="12">
      <c r="A52" s="268"/>
      <c r="C52" s="443"/>
      <c r="O52" s="270"/>
    </row>
    <row r="53" spans="1:15" s="416" customFormat="1" ht="12">
      <c r="A53" s="268"/>
      <c r="C53" s="443"/>
      <c r="O53" s="270"/>
    </row>
    <row r="54" spans="1:15" s="416" customFormat="1" ht="12">
      <c r="A54" s="268"/>
      <c r="C54" s="443"/>
      <c r="O54" s="270"/>
    </row>
    <row r="55" spans="1:15" s="416" customFormat="1" ht="12">
      <c r="A55" s="268"/>
      <c r="C55" s="443"/>
      <c r="O55" s="270"/>
    </row>
    <row r="56" spans="1:15" s="416" customFormat="1" ht="12">
      <c r="A56" s="268"/>
      <c r="C56" s="443"/>
      <c r="O56" s="270"/>
    </row>
  </sheetData>
  <mergeCells count="13">
    <mergeCell ref="N3:N12"/>
    <mergeCell ref="M6:M12"/>
    <mergeCell ref="B3:B12"/>
    <mergeCell ref="C3:C12"/>
    <mergeCell ref="D3:D12"/>
    <mergeCell ref="E3:E12"/>
    <mergeCell ref="F3:F12"/>
    <mergeCell ref="G3:G12"/>
    <mergeCell ref="H3:H12"/>
    <mergeCell ref="I3:I12"/>
    <mergeCell ref="J3:J12"/>
    <mergeCell ref="K3:K12"/>
    <mergeCell ref="L3:L12"/>
  </mergeCells>
  <pageMargins left="0.75" right="0.75" top="0.75" bottom="0.75" header="0.3" footer="0.3"/>
  <pageSetup scale="73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000"/>
    <pageSetUpPr fitToPage="1"/>
  </sheetPr>
  <dimension ref="A1:V57"/>
  <sheetViews>
    <sheetView zoomScaleNormal="100" workbookViewId="0">
      <selection activeCell="A44" sqref="A44"/>
    </sheetView>
  </sheetViews>
  <sheetFormatPr defaultColWidth="8.5703125" defaultRowHeight="12.75"/>
  <cols>
    <col min="1" max="1" width="2.28515625" style="456" customWidth="1"/>
    <col min="2" max="2" width="35.42578125" style="456" customWidth="1"/>
    <col min="3" max="18" width="8" style="456" customWidth="1"/>
    <col min="19" max="20" width="8" style="457" customWidth="1"/>
    <col min="21" max="22" width="8.5703125" style="457"/>
    <col min="23" max="16384" width="8.5703125" style="456"/>
  </cols>
  <sheetData>
    <row r="1" spans="1:21" ht="14.25">
      <c r="A1" s="455" t="s">
        <v>426</v>
      </c>
    </row>
    <row r="2" spans="1:21" ht="3" customHeight="1"/>
    <row r="3" spans="1:21" ht="12.75" customHeight="1">
      <c r="A3" s="458" t="s">
        <v>1</v>
      </c>
      <c r="B3" s="457"/>
    </row>
    <row r="4" spans="1:21" ht="12" customHeight="1">
      <c r="A4" s="459"/>
      <c r="C4" s="460">
        <f>1</f>
        <v>1</v>
      </c>
      <c r="D4" s="461">
        <f t="shared" ref="D4:M4" si="0">C4+1</f>
        <v>2</v>
      </c>
      <c r="E4" s="460">
        <f t="shared" si="0"/>
        <v>3</v>
      </c>
      <c r="F4" s="461">
        <f t="shared" si="0"/>
        <v>4</v>
      </c>
      <c r="G4" s="460">
        <f t="shared" si="0"/>
        <v>5</v>
      </c>
      <c r="H4" s="461">
        <f t="shared" si="0"/>
        <v>6</v>
      </c>
      <c r="I4" s="460">
        <f t="shared" si="0"/>
        <v>7</v>
      </c>
      <c r="J4" s="461">
        <f t="shared" si="0"/>
        <v>8</v>
      </c>
      <c r="K4" s="460">
        <f t="shared" si="0"/>
        <v>9</v>
      </c>
      <c r="L4" s="461">
        <f t="shared" si="0"/>
        <v>10</v>
      </c>
      <c r="M4" s="460">
        <f t="shared" si="0"/>
        <v>11</v>
      </c>
      <c r="N4" s="461">
        <v>12</v>
      </c>
      <c r="O4" s="460">
        <v>13</v>
      </c>
      <c r="P4" s="461">
        <f>O4+1</f>
        <v>14</v>
      </c>
      <c r="Q4" s="460">
        <f>P4+1</f>
        <v>15</v>
      </c>
      <c r="R4" s="461">
        <f>Q4+1</f>
        <v>16</v>
      </c>
      <c r="S4" s="460">
        <f>R4+1</f>
        <v>17</v>
      </c>
      <c r="T4" s="461">
        <f>S4+1</f>
        <v>18</v>
      </c>
    </row>
    <row r="5" spans="1:21" ht="4.5" customHeight="1">
      <c r="A5" s="459"/>
      <c r="C5" s="460"/>
      <c r="D5" s="460"/>
      <c r="E5" s="460"/>
      <c r="F5" s="460"/>
      <c r="G5" s="460"/>
      <c r="H5" s="460"/>
      <c r="I5" s="460"/>
      <c r="J5" s="460"/>
      <c r="K5" s="460"/>
      <c r="L5" s="460"/>
      <c r="M5" s="460"/>
      <c r="N5" s="460"/>
      <c r="O5" s="460"/>
      <c r="S5" s="456"/>
      <c r="T5" s="536"/>
    </row>
    <row r="6" spans="1:21" ht="12" customHeight="1">
      <c r="A6" s="457"/>
      <c r="B6" s="462"/>
      <c r="C6" s="463" t="s">
        <v>302</v>
      </c>
      <c r="D6" s="464" t="s">
        <v>303</v>
      </c>
      <c r="E6" s="463" t="s">
        <v>304</v>
      </c>
      <c r="F6" s="464" t="s">
        <v>305</v>
      </c>
      <c r="G6" s="463" t="s">
        <v>306</v>
      </c>
      <c r="H6" s="464" t="s">
        <v>307</v>
      </c>
      <c r="I6" s="463" t="s">
        <v>308</v>
      </c>
      <c r="J6" s="464" t="s">
        <v>309</v>
      </c>
      <c r="K6" s="463" t="s">
        <v>310</v>
      </c>
      <c r="L6" s="464" t="s">
        <v>311</v>
      </c>
      <c r="M6" s="463" t="s">
        <v>312</v>
      </c>
      <c r="N6" s="464" t="s">
        <v>2</v>
      </c>
      <c r="O6" s="463" t="s">
        <v>3</v>
      </c>
      <c r="P6" s="464" t="s">
        <v>4</v>
      </c>
      <c r="Q6" s="463" t="s">
        <v>5</v>
      </c>
      <c r="R6" s="464" t="s">
        <v>6</v>
      </c>
      <c r="S6" s="463" t="s">
        <v>301</v>
      </c>
      <c r="T6" s="464" t="s">
        <v>347</v>
      </c>
    </row>
    <row r="7" spans="1:21" ht="12" customHeight="1">
      <c r="A7" s="465" t="s">
        <v>43</v>
      </c>
      <c r="B7" s="457"/>
      <c r="C7" s="466"/>
      <c r="D7" s="467"/>
      <c r="E7" s="466"/>
      <c r="F7" s="467"/>
      <c r="G7" s="466"/>
      <c r="H7" s="467"/>
      <c r="I7" s="466"/>
      <c r="J7" s="467"/>
      <c r="K7" s="466"/>
      <c r="L7" s="467"/>
      <c r="M7" s="466"/>
      <c r="N7" s="467"/>
      <c r="O7" s="466"/>
      <c r="P7" s="467" t="s">
        <v>7</v>
      </c>
      <c r="Q7" s="466" t="s">
        <v>9</v>
      </c>
      <c r="R7" s="467" t="s">
        <v>10</v>
      </c>
      <c r="S7" s="466" t="s">
        <v>11</v>
      </c>
      <c r="T7" s="467" t="s">
        <v>11</v>
      </c>
    </row>
    <row r="8" spans="1:21" ht="12" customHeight="1">
      <c r="A8" s="457"/>
      <c r="B8" s="468" t="s">
        <v>12</v>
      </c>
      <c r="C8" s="457"/>
      <c r="D8" s="469"/>
      <c r="E8" s="457"/>
      <c r="F8" s="469"/>
      <c r="G8" s="457"/>
      <c r="H8" s="469"/>
      <c r="I8" s="457"/>
      <c r="J8" s="469"/>
      <c r="L8" s="469"/>
      <c r="N8" s="469"/>
      <c r="O8" s="457"/>
      <c r="P8" s="469"/>
      <c r="R8" s="469"/>
      <c r="T8" s="469"/>
    </row>
    <row r="9" spans="1:21" ht="12" customHeight="1">
      <c r="A9" s="470">
        <v>1</v>
      </c>
      <c r="B9" s="471" t="s">
        <v>91</v>
      </c>
      <c r="C9" s="472">
        <v>8708</v>
      </c>
      <c r="D9" s="473">
        <v>7877</v>
      </c>
      <c r="E9" s="472">
        <v>7631</v>
      </c>
      <c r="F9" s="473">
        <v>8563</v>
      </c>
      <c r="G9" s="472">
        <v>9621</v>
      </c>
      <c r="H9" s="473">
        <v>10537</v>
      </c>
      <c r="I9" s="472">
        <v>11042</v>
      </c>
      <c r="J9" s="473">
        <v>11357</v>
      </c>
      <c r="K9" s="472">
        <v>10763</v>
      </c>
      <c r="L9" s="473">
        <v>10775</v>
      </c>
      <c r="M9" s="472">
        <v>11874</v>
      </c>
      <c r="N9" s="473">
        <v>11244</v>
      </c>
      <c r="O9" s="472">
        <v>11257</v>
      </c>
      <c r="P9" s="473">
        <f>13335</f>
        <v>13335</v>
      </c>
      <c r="Q9" s="472">
        <f>'Sch 5 Revenue'!D6</f>
        <v>13806</v>
      </c>
      <c r="R9" s="473">
        <f>'Sch 5 Revenue'!E6</f>
        <v>14069</v>
      </c>
      <c r="S9" s="472">
        <f>'Sch 5 Revenue'!F6</f>
        <v>15034</v>
      </c>
      <c r="T9" s="473">
        <f>'Sch 5 Revenue'!G6</f>
        <v>16071</v>
      </c>
    </row>
    <row r="10" spans="1:21" ht="12" customHeight="1">
      <c r="A10" s="470">
        <v>2</v>
      </c>
      <c r="B10" s="471" t="s">
        <v>92</v>
      </c>
      <c r="C10" s="472">
        <v>4252</v>
      </c>
      <c r="D10" s="473">
        <v>4754</v>
      </c>
      <c r="E10" s="472">
        <v>3334</v>
      </c>
      <c r="F10" s="473">
        <v>3678</v>
      </c>
      <c r="G10" s="472">
        <v>4756</v>
      </c>
      <c r="H10" s="473">
        <v>5488</v>
      </c>
      <c r="I10" s="472">
        <v>5796</v>
      </c>
      <c r="J10" s="473">
        <v>4195</v>
      </c>
      <c r="K10" s="472">
        <v>3769</v>
      </c>
      <c r="L10" s="473">
        <v>3448</v>
      </c>
      <c r="M10" s="472">
        <v>4871</v>
      </c>
      <c r="N10" s="473">
        <v>4107</v>
      </c>
      <c r="O10" s="472">
        <v>3037</v>
      </c>
      <c r="P10" s="473">
        <f>4718</f>
        <v>4718</v>
      </c>
      <c r="Q10" s="472">
        <f>'Sch 5 Revenue'!D7</f>
        <v>6413</v>
      </c>
      <c r="R10" s="473">
        <f>'Sch 5 Revenue'!E7</f>
        <v>5911</v>
      </c>
      <c r="S10" s="472">
        <f>'Sch 5 Revenue'!F7</f>
        <v>6254</v>
      </c>
      <c r="T10" s="473">
        <f>'Sch 5 Revenue'!G7</f>
        <v>6590</v>
      </c>
    </row>
    <row r="11" spans="1:21" ht="12" customHeight="1">
      <c r="A11" s="470">
        <v>3</v>
      </c>
      <c r="B11" s="471" t="s">
        <v>313</v>
      </c>
      <c r="C11" s="472">
        <f>1466+2175+176</f>
        <v>3817</v>
      </c>
      <c r="D11" s="473">
        <f>1532+2029+185</f>
        <v>3746</v>
      </c>
      <c r="E11" s="472">
        <f>1589+2040+191</f>
        <v>3820</v>
      </c>
      <c r="F11" s="473">
        <f>1660+2241+198</f>
        <v>4099</v>
      </c>
      <c r="G11" s="472">
        <f>1776+2345+212</f>
        <v>4333</v>
      </c>
      <c r="H11" s="473">
        <f>1860+2439+201</f>
        <v>4500</v>
      </c>
      <c r="I11" s="472">
        <f>1888+2496+214</f>
        <v>4598</v>
      </c>
      <c r="J11" s="473">
        <v>5168</v>
      </c>
      <c r="K11" s="472">
        <v>5649</v>
      </c>
      <c r="L11" s="473">
        <v>6538</v>
      </c>
      <c r="M11" s="472">
        <v>6833</v>
      </c>
      <c r="N11" s="473">
        <v>5747</v>
      </c>
      <c r="O11" s="472">
        <v>5285</v>
      </c>
      <c r="P11" s="473">
        <f>5453</f>
        <v>5453</v>
      </c>
      <c r="Q11" s="472">
        <f>'Sch 5 Revenue'!D17</f>
        <v>4361</v>
      </c>
      <c r="R11" s="473">
        <f>'Sch 5 Revenue'!E17</f>
        <v>5012</v>
      </c>
      <c r="S11" s="472">
        <f>'Sch 5 Revenue'!F17</f>
        <v>5767</v>
      </c>
      <c r="T11" s="473">
        <f>'Sch 5 Revenue'!G17</f>
        <v>5948</v>
      </c>
    </row>
    <row r="12" spans="1:21" ht="12" customHeight="1">
      <c r="A12" s="470">
        <v>4</v>
      </c>
      <c r="B12" s="471" t="s">
        <v>314</v>
      </c>
      <c r="C12" s="472">
        <v>11915</v>
      </c>
      <c r="D12" s="473">
        <v>6768</v>
      </c>
      <c r="E12" s="472">
        <v>8428</v>
      </c>
      <c r="F12" s="473">
        <v>11636</v>
      </c>
      <c r="G12" s="472">
        <f>7622+157</f>
        <v>7779</v>
      </c>
      <c r="H12" s="473">
        <v>9578</v>
      </c>
      <c r="I12" s="472">
        <v>8948</v>
      </c>
      <c r="J12" s="473">
        <v>2789</v>
      </c>
      <c r="K12" s="472">
        <v>3097</v>
      </c>
      <c r="L12" s="473">
        <v>4980</v>
      </c>
      <c r="M12" s="472">
        <v>5429</v>
      </c>
      <c r="N12" s="473">
        <v>5937</v>
      </c>
      <c r="O12" s="472">
        <v>3091</v>
      </c>
      <c r="P12" s="473">
        <f>16170</f>
        <v>16170</v>
      </c>
      <c r="Q12" s="472">
        <f>'Sch 5 Revenue'!D24</f>
        <v>27544</v>
      </c>
      <c r="R12" s="473">
        <f>'Sch 5 Revenue'!E24</f>
        <v>18361</v>
      </c>
      <c r="S12" s="472">
        <f>'Sch 5 Revenue'!F24</f>
        <v>17284</v>
      </c>
      <c r="T12" s="473">
        <f>'Sch 5 Revenue'!G24</f>
        <v>15742</v>
      </c>
      <c r="U12" s="474"/>
    </row>
    <row r="13" spans="1:21" ht="12" customHeight="1">
      <c r="A13" s="470">
        <v>5</v>
      </c>
      <c r="B13" s="471" t="s">
        <v>16</v>
      </c>
      <c r="C13" s="472">
        <f>-1917+29</f>
        <v>-1888</v>
      </c>
      <c r="D13" s="473">
        <v>3541</v>
      </c>
      <c r="E13" s="472">
        <v>2486</v>
      </c>
      <c r="F13" s="473">
        <f>2059+109</f>
        <v>2168</v>
      </c>
      <c r="G13" s="472">
        <f>2493-3+105</f>
        <v>2595</v>
      </c>
      <c r="H13" s="473">
        <f>3225+198</f>
        <v>3423</v>
      </c>
      <c r="I13" s="472">
        <v>3113</v>
      </c>
      <c r="J13" s="473">
        <v>2544</v>
      </c>
      <c r="K13" s="472">
        <v>3698</v>
      </c>
      <c r="L13" s="473">
        <v>3126</v>
      </c>
      <c r="M13" s="472">
        <v>2349</v>
      </c>
      <c r="N13" s="473">
        <v>2828</v>
      </c>
      <c r="O13" s="472">
        <v>2643</v>
      </c>
      <c r="P13" s="473">
        <f>3579</f>
        <v>3579</v>
      </c>
      <c r="Q13" s="472">
        <f>'Sch 5 Revenue'!D41</f>
        <v>1035</v>
      </c>
      <c r="R13" s="473">
        <f>'Sch 5 Revenue'!E41</f>
        <v>3154</v>
      </c>
      <c r="S13" s="472">
        <f>'Sch 5 Revenue'!F41</f>
        <v>3273</v>
      </c>
      <c r="T13" s="473">
        <f>'Sch 5 Revenue'!G41</f>
        <v>3407</v>
      </c>
    </row>
    <row r="14" spans="1:21" ht="12" customHeight="1">
      <c r="A14" s="470">
        <v>6</v>
      </c>
      <c r="B14" s="471" t="s">
        <v>96</v>
      </c>
      <c r="C14" s="472">
        <f>2603+753</f>
        <v>3356</v>
      </c>
      <c r="D14" s="473">
        <f>1914+841+102</f>
        <v>2857</v>
      </c>
      <c r="E14" s="472">
        <f>1986+936</f>
        <v>2922</v>
      </c>
      <c r="F14" s="473">
        <f>1942+989</f>
        <v>2931</v>
      </c>
      <c r="G14" s="472">
        <f>2147+1037</f>
        <v>3184</v>
      </c>
      <c r="H14" s="473">
        <v>3437</v>
      </c>
      <c r="I14" s="472">
        <v>3564</v>
      </c>
      <c r="J14" s="473">
        <v>3574</v>
      </c>
      <c r="K14" s="472">
        <v>3701</v>
      </c>
      <c r="L14" s="473">
        <v>3839</v>
      </c>
      <c r="M14" s="472">
        <v>3911</v>
      </c>
      <c r="N14" s="473">
        <v>3929</v>
      </c>
      <c r="O14" s="472">
        <v>4021</v>
      </c>
      <c r="P14" s="473">
        <f>4520</f>
        <v>4520</v>
      </c>
      <c r="Q14" s="472">
        <f>'Sch 5 Revenue'!D57</f>
        <v>4796</v>
      </c>
      <c r="R14" s="473">
        <f>'Sch 5 Revenue'!E57</f>
        <v>5040</v>
      </c>
      <c r="S14" s="472">
        <f>'Sch 5 Revenue'!F57</f>
        <v>5289</v>
      </c>
      <c r="T14" s="473">
        <f>'Sch 5 Revenue'!G57</f>
        <v>5360</v>
      </c>
      <c r="U14" s="475"/>
    </row>
    <row r="15" spans="1:21" ht="12" customHeight="1">
      <c r="A15" s="476">
        <v>7</v>
      </c>
      <c r="B15" s="477" t="s">
        <v>315</v>
      </c>
      <c r="C15" s="478">
        <f>3129+2211-753</f>
        <v>4587</v>
      </c>
      <c r="D15" s="479">
        <f>3209+2259-841</f>
        <v>4627</v>
      </c>
      <c r="E15" s="478">
        <f>3502+2337-936</f>
        <v>4903</v>
      </c>
      <c r="F15" s="479">
        <f>3724+2393-989</f>
        <v>5128</v>
      </c>
      <c r="G15" s="478">
        <f>3784+2487-1037</f>
        <v>5234</v>
      </c>
      <c r="H15" s="479">
        <f>2873+2541-2</f>
        <v>5412</v>
      </c>
      <c r="I15" s="478">
        <f>2665+3773</f>
        <v>6438</v>
      </c>
      <c r="J15" s="479">
        <v>5850</v>
      </c>
      <c r="K15" s="478">
        <f>543+3094</f>
        <v>3637</v>
      </c>
      <c r="L15" s="479">
        <v>6983</v>
      </c>
      <c r="M15" s="478">
        <v>6292</v>
      </c>
      <c r="N15" s="479">
        <v>3360</v>
      </c>
      <c r="O15" s="478">
        <v>3272</v>
      </c>
      <c r="P15" s="479">
        <f>8952</f>
        <v>8952</v>
      </c>
      <c r="Q15" s="478">
        <f>'Sch 5 Revenue'!D49+'Sch 5 Revenue'!D66</f>
        <v>6305</v>
      </c>
      <c r="R15" s="479">
        <f>'Sch 5 Revenue'!E49+'Sch 5 Revenue'!E66</f>
        <v>6554</v>
      </c>
      <c r="S15" s="478">
        <f>'Sch 5 Revenue'!F49+'Sch 5 Revenue'!F66</f>
        <v>6348</v>
      </c>
      <c r="T15" s="479">
        <f>'Sch 5 Revenue'!G49+'Sch 5 Revenue'!G66</f>
        <v>6377</v>
      </c>
    </row>
    <row r="16" spans="1:21" ht="12" customHeight="1">
      <c r="A16" s="480">
        <v>8</v>
      </c>
      <c r="B16" s="471" t="s">
        <v>316</v>
      </c>
      <c r="C16" s="472">
        <f t="shared" ref="C16:M16" si="1">SUM(C9:C15)</f>
        <v>34747</v>
      </c>
      <c r="D16" s="473">
        <f t="shared" si="1"/>
        <v>34170</v>
      </c>
      <c r="E16" s="472">
        <f t="shared" si="1"/>
        <v>33524</v>
      </c>
      <c r="F16" s="473">
        <f t="shared" si="1"/>
        <v>38203</v>
      </c>
      <c r="G16" s="472">
        <f t="shared" si="1"/>
        <v>37502</v>
      </c>
      <c r="H16" s="473">
        <f t="shared" si="1"/>
        <v>42375</v>
      </c>
      <c r="I16" s="472">
        <f t="shared" si="1"/>
        <v>43499</v>
      </c>
      <c r="J16" s="473">
        <f t="shared" si="1"/>
        <v>35477</v>
      </c>
      <c r="K16" s="472">
        <f t="shared" si="1"/>
        <v>34314</v>
      </c>
      <c r="L16" s="473">
        <f t="shared" si="1"/>
        <v>39689</v>
      </c>
      <c r="M16" s="472">
        <f t="shared" si="1"/>
        <v>41559</v>
      </c>
      <c r="N16" s="473">
        <f t="shared" ref="N16" si="2">SUM(N9:N15)</f>
        <v>37152</v>
      </c>
      <c r="O16" s="472">
        <f>SUM(O9:O15)-1</f>
        <v>32605</v>
      </c>
      <c r="P16" s="473">
        <f t="shared" ref="P16" si="3">SUM(P9:P15)</f>
        <v>56727</v>
      </c>
      <c r="Q16" s="472">
        <f t="shared" ref="Q16" si="4">SUM(Q9:Q15)</f>
        <v>64260</v>
      </c>
      <c r="R16" s="473">
        <f t="shared" ref="R16:T16" si="5">SUM(R9:R15)</f>
        <v>58101</v>
      </c>
      <c r="S16" s="472">
        <f t="shared" si="5"/>
        <v>59249</v>
      </c>
      <c r="T16" s="473">
        <f t="shared" si="5"/>
        <v>59495</v>
      </c>
    </row>
    <row r="17" spans="1:22" ht="12" customHeight="1">
      <c r="A17" s="476">
        <v>9</v>
      </c>
      <c r="B17" s="477" t="s">
        <v>15</v>
      </c>
      <c r="C17" s="478">
        <v>4578</v>
      </c>
      <c r="D17" s="479">
        <v>5342</v>
      </c>
      <c r="E17" s="478">
        <v>5452</v>
      </c>
      <c r="F17" s="479">
        <v>5192</v>
      </c>
      <c r="G17" s="478">
        <v>5042</v>
      </c>
      <c r="H17" s="479">
        <f>5477+1582</f>
        <v>7059</v>
      </c>
      <c r="I17" s="478">
        <v>5982</v>
      </c>
      <c r="J17" s="479">
        <v>7142</v>
      </c>
      <c r="K17" s="478">
        <v>7979</v>
      </c>
      <c r="L17" s="479">
        <v>7606</v>
      </c>
      <c r="M17" s="478">
        <v>8013</v>
      </c>
      <c r="N17" s="479">
        <v>9072</v>
      </c>
      <c r="O17" s="478">
        <v>10532</v>
      </c>
      <c r="P17" s="479">
        <f>11595</f>
        <v>11595</v>
      </c>
      <c r="Q17" s="478">
        <f>'Sch 5 Revenue'!D34</f>
        <v>11765</v>
      </c>
      <c r="R17" s="479">
        <f>'Sch 5 Revenue'!E34</f>
        <v>12552</v>
      </c>
      <c r="S17" s="478">
        <f>'Sch 5 Revenue'!F34</f>
        <v>12475</v>
      </c>
      <c r="T17" s="479">
        <f>'Sch 5 Revenue'!G34</f>
        <v>13113</v>
      </c>
    </row>
    <row r="18" spans="1:22" s="486" customFormat="1" ht="13.5" customHeight="1">
      <c r="A18" s="481">
        <v>10</v>
      </c>
      <c r="B18" s="482" t="s">
        <v>18</v>
      </c>
      <c r="C18" s="483">
        <f t="shared" ref="C18:K18" si="6">C16+C17</f>
        <v>39325</v>
      </c>
      <c r="D18" s="484">
        <f t="shared" si="6"/>
        <v>39512</v>
      </c>
      <c r="E18" s="483">
        <f t="shared" si="6"/>
        <v>38976</v>
      </c>
      <c r="F18" s="484">
        <f t="shared" si="6"/>
        <v>43395</v>
      </c>
      <c r="G18" s="483">
        <f t="shared" si="6"/>
        <v>42544</v>
      </c>
      <c r="H18" s="484">
        <f t="shared" si="6"/>
        <v>49434</v>
      </c>
      <c r="I18" s="483">
        <f t="shared" si="6"/>
        <v>49481</v>
      </c>
      <c r="J18" s="484">
        <f t="shared" si="6"/>
        <v>42619</v>
      </c>
      <c r="K18" s="483">
        <f t="shared" si="6"/>
        <v>42293</v>
      </c>
      <c r="L18" s="484">
        <f>L16+L17</f>
        <v>47295</v>
      </c>
      <c r="M18" s="483">
        <f>M16+M17</f>
        <v>49572</v>
      </c>
      <c r="N18" s="484">
        <f t="shared" ref="N18:O18" si="7">N16+N17</f>
        <v>46224</v>
      </c>
      <c r="O18" s="483">
        <f t="shared" si="7"/>
        <v>43137</v>
      </c>
      <c r="P18" s="484">
        <f>P16+P17</f>
        <v>68322</v>
      </c>
      <c r="Q18" s="483">
        <f>Q16+Q17</f>
        <v>76025</v>
      </c>
      <c r="R18" s="484">
        <f t="shared" ref="R18:T18" si="8">R16+R17</f>
        <v>70653</v>
      </c>
      <c r="S18" s="483">
        <f t="shared" si="8"/>
        <v>71724</v>
      </c>
      <c r="T18" s="484">
        <f t="shared" si="8"/>
        <v>72608</v>
      </c>
      <c r="U18" s="485"/>
      <c r="V18" s="485"/>
    </row>
    <row r="19" spans="1:22" ht="13.5" customHeight="1">
      <c r="A19" s="470"/>
      <c r="B19" s="468" t="s">
        <v>317</v>
      </c>
      <c r="C19" s="474"/>
      <c r="D19" s="487"/>
      <c r="E19" s="474"/>
      <c r="F19" s="487"/>
      <c r="G19" s="474"/>
      <c r="H19" s="487"/>
      <c r="I19" s="474"/>
      <c r="J19" s="487"/>
      <c r="K19" s="472"/>
      <c r="L19" s="487"/>
      <c r="M19" s="472"/>
      <c r="N19" s="487"/>
      <c r="O19" s="474"/>
      <c r="P19" s="487"/>
      <c r="Q19" s="472"/>
      <c r="R19" s="487"/>
      <c r="S19" s="474"/>
      <c r="T19" s="487"/>
    </row>
    <row r="20" spans="1:22" ht="12" customHeight="1">
      <c r="A20" s="470">
        <v>11</v>
      </c>
      <c r="B20" s="471" t="s">
        <v>103</v>
      </c>
      <c r="C20" s="472">
        <v>13674</v>
      </c>
      <c r="D20" s="473">
        <v>14636</v>
      </c>
      <c r="E20" s="472">
        <v>15393</v>
      </c>
      <c r="F20" s="473">
        <v>16284</v>
      </c>
      <c r="G20" s="472">
        <v>17254</v>
      </c>
      <c r="H20" s="473">
        <v>17967</v>
      </c>
      <c r="I20" s="472">
        <v>19366</v>
      </c>
      <c r="J20" s="473">
        <v>20115</v>
      </c>
      <c r="K20" s="472">
        <v>20687</v>
      </c>
      <c r="L20" s="473">
        <v>21239</v>
      </c>
      <c r="M20" s="472">
        <v>21921</v>
      </c>
      <c r="N20" s="473">
        <v>22408</v>
      </c>
      <c r="O20" s="472">
        <v>23984</v>
      </c>
      <c r="P20" s="473">
        <f>25131</f>
        <v>25131</v>
      </c>
      <c r="Q20" s="472">
        <v>24421</v>
      </c>
      <c r="R20" s="473">
        <f>26681</f>
        <v>26681</v>
      </c>
      <c r="S20" s="472">
        <f>27733</f>
        <v>27733</v>
      </c>
      <c r="T20" s="473">
        <f>28199</f>
        <v>28199</v>
      </c>
    </row>
    <row r="21" spans="1:22" ht="12" customHeight="1">
      <c r="A21" s="470">
        <v>12</v>
      </c>
      <c r="B21" s="471" t="s">
        <v>318</v>
      </c>
      <c r="C21" s="472">
        <v>10438</v>
      </c>
      <c r="D21" s="473">
        <f>10967+102-2</f>
        <v>11067</v>
      </c>
      <c r="E21" s="472">
        <v>11362</v>
      </c>
      <c r="F21" s="473">
        <v>11951</v>
      </c>
      <c r="G21" s="472">
        <v>12394</v>
      </c>
      <c r="H21" s="473">
        <v>12782</v>
      </c>
      <c r="I21" s="472">
        <v>13103</v>
      </c>
      <c r="J21" s="473">
        <v>13673</v>
      </c>
      <c r="K21" s="472">
        <v>14110</v>
      </c>
      <c r="L21" s="473">
        <v>14471</v>
      </c>
      <c r="M21" s="472">
        <v>14848</v>
      </c>
      <c r="N21" s="473">
        <v>14971</v>
      </c>
      <c r="O21" s="472">
        <v>14134</v>
      </c>
      <c r="P21" s="473">
        <f>14296</f>
        <v>14296</v>
      </c>
      <c r="Q21" s="472">
        <v>15360</v>
      </c>
      <c r="R21" s="473">
        <f>16033</f>
        <v>16033</v>
      </c>
      <c r="S21" s="472">
        <f>16335</f>
        <v>16335</v>
      </c>
      <c r="T21" s="473">
        <f>16601</f>
        <v>16601</v>
      </c>
    </row>
    <row r="22" spans="1:22" ht="12" customHeight="1">
      <c r="A22" s="470">
        <v>13</v>
      </c>
      <c r="B22" s="471" t="s">
        <v>319</v>
      </c>
      <c r="C22" s="472">
        <v>3417</v>
      </c>
      <c r="D22" s="473">
        <v>3807</v>
      </c>
      <c r="E22" s="472">
        <f>4014+174-59</f>
        <v>4129</v>
      </c>
      <c r="F22" s="473">
        <f>4164+170-56</f>
        <v>4278</v>
      </c>
      <c r="G22" s="472">
        <v>4641</v>
      </c>
      <c r="H22" s="473">
        <v>4668</v>
      </c>
      <c r="I22" s="472">
        <v>4548</v>
      </c>
      <c r="J22" s="473">
        <v>4752</v>
      </c>
      <c r="K22" s="472">
        <v>5198</v>
      </c>
      <c r="L22" s="473">
        <v>5592</v>
      </c>
      <c r="M22" s="472">
        <v>5867</v>
      </c>
      <c r="N22" s="473">
        <v>6203</v>
      </c>
      <c r="O22" s="472">
        <v>5919</v>
      </c>
      <c r="P22" s="473">
        <f>5989</f>
        <v>5989</v>
      </c>
      <c r="Q22" s="472">
        <v>6961</v>
      </c>
      <c r="R22" s="473">
        <f>8259</f>
        <v>8259</v>
      </c>
      <c r="S22" s="472">
        <f>8059</f>
        <v>8059</v>
      </c>
      <c r="T22" s="473">
        <f>8443</f>
        <v>8443</v>
      </c>
    </row>
    <row r="23" spans="1:22" ht="12" customHeight="1">
      <c r="A23" s="476">
        <v>14</v>
      </c>
      <c r="B23" s="477" t="s">
        <v>320</v>
      </c>
      <c r="C23" s="478">
        <f>37915-C20-C21-C22</f>
        <v>10386</v>
      </c>
      <c r="D23" s="479">
        <f>39344-D20-D21-D22</f>
        <v>9834</v>
      </c>
      <c r="E23" s="478">
        <f>40327-E20-E21-E22</f>
        <v>9443</v>
      </c>
      <c r="F23" s="479">
        <f>42366-F20-F21-F22</f>
        <v>9853</v>
      </c>
      <c r="G23" s="478">
        <f>44817-G20-G21-G22</f>
        <v>10528</v>
      </c>
      <c r="H23" s="479">
        <f>48387-H20-H21-H22</f>
        <v>12970</v>
      </c>
      <c r="I23" s="478">
        <f>48048-I20-I21-I22</f>
        <v>11031</v>
      </c>
      <c r="J23" s="479">
        <f>48915-J20-J21-J22</f>
        <v>10375</v>
      </c>
      <c r="K23" s="478">
        <f>52602-K20-K21-K22</f>
        <v>12607</v>
      </c>
      <c r="L23" s="479">
        <f>54491-L20-L21-L22</f>
        <v>13189</v>
      </c>
      <c r="M23" s="478">
        <f>54502-M20-M21-M22</f>
        <v>11866</v>
      </c>
      <c r="N23" s="479">
        <f>56475-N20-N21-N22</f>
        <v>12893</v>
      </c>
      <c r="O23" s="478">
        <f>57895-O20-O21-O22</f>
        <v>13858</v>
      </c>
      <c r="P23" s="479">
        <f>16686</f>
        <v>16686</v>
      </c>
      <c r="Q23" s="478">
        <f>63031-Q20-Q21-Q22</f>
        <v>16289</v>
      </c>
      <c r="R23" s="479">
        <f>65756-R20-R21-R22</f>
        <v>14783</v>
      </c>
      <c r="S23" s="478">
        <f>67218-S20-S21-S22</f>
        <v>15091</v>
      </c>
      <c r="T23" s="479">
        <f>68483-T20-T21-T22</f>
        <v>15240</v>
      </c>
    </row>
    <row r="24" spans="1:22" ht="12" customHeight="1">
      <c r="A24" s="480">
        <v>15</v>
      </c>
      <c r="B24" s="471" t="s">
        <v>321</v>
      </c>
      <c r="C24" s="472">
        <f t="shared" ref="C24:M24" si="9">C27-C26-C25</f>
        <v>37915</v>
      </c>
      <c r="D24" s="473">
        <f t="shared" si="9"/>
        <v>39344</v>
      </c>
      <c r="E24" s="472">
        <f t="shared" si="9"/>
        <v>40327</v>
      </c>
      <c r="F24" s="473">
        <f t="shared" si="9"/>
        <v>42366</v>
      </c>
      <c r="G24" s="472">
        <f t="shared" si="9"/>
        <v>44817</v>
      </c>
      <c r="H24" s="473">
        <f t="shared" si="9"/>
        <v>48387</v>
      </c>
      <c r="I24" s="472">
        <f t="shared" si="9"/>
        <v>48048</v>
      </c>
      <c r="J24" s="473">
        <f t="shared" si="9"/>
        <v>48915</v>
      </c>
      <c r="K24" s="472">
        <f t="shared" si="9"/>
        <v>52602</v>
      </c>
      <c r="L24" s="473">
        <f t="shared" si="9"/>
        <v>54491</v>
      </c>
      <c r="M24" s="472">
        <f t="shared" si="9"/>
        <v>54502</v>
      </c>
      <c r="N24" s="473">
        <f>N27-N26-N25</f>
        <v>56475</v>
      </c>
      <c r="O24" s="472">
        <f t="shared" ref="O24:P24" si="10">O27-O26-O25</f>
        <v>57895</v>
      </c>
      <c r="P24" s="473">
        <f t="shared" si="10"/>
        <v>62102</v>
      </c>
      <c r="Q24" s="472">
        <f>Q27-Q26-Q25</f>
        <v>63031</v>
      </c>
      <c r="R24" s="473">
        <f>R27-R26-R25</f>
        <v>65756</v>
      </c>
      <c r="S24" s="472">
        <f>S27-S26-S25</f>
        <v>67218</v>
      </c>
      <c r="T24" s="473">
        <f>T27-T26-T25</f>
        <v>68483</v>
      </c>
    </row>
    <row r="25" spans="1:22" ht="12" customHeight="1">
      <c r="A25" s="470">
        <v>16</v>
      </c>
      <c r="B25" s="471" t="s">
        <v>322</v>
      </c>
      <c r="C25" s="472">
        <v>208</v>
      </c>
      <c r="D25" s="473">
        <v>214</v>
      </c>
      <c r="E25" s="472">
        <v>472</v>
      </c>
      <c r="F25" s="473">
        <v>509</v>
      </c>
      <c r="G25" s="472">
        <v>530</v>
      </c>
      <c r="H25" s="473">
        <v>601</v>
      </c>
      <c r="I25" s="472">
        <f>370+352</f>
        <v>722</v>
      </c>
      <c r="J25" s="473">
        <f>323+452+1</f>
        <v>776</v>
      </c>
      <c r="K25" s="472">
        <v>1018</v>
      </c>
      <c r="L25" s="473">
        <v>1420</v>
      </c>
      <c r="M25" s="472">
        <v>1971</v>
      </c>
      <c r="N25" s="473">
        <v>2235</v>
      </c>
      <c r="O25" s="472">
        <v>2486</v>
      </c>
      <c r="P25" s="473">
        <f>2641</f>
        <v>2641</v>
      </c>
      <c r="Q25" s="472">
        <f>'Sch 10 Debt Serv Costs'!D25</f>
        <v>2715</v>
      </c>
      <c r="R25" s="473">
        <f>'Sch 10 Debt Serv Costs'!E25</f>
        <v>2848</v>
      </c>
      <c r="S25" s="472">
        <f>'Sch 10 Debt Serv Costs'!F25</f>
        <v>2805</v>
      </c>
      <c r="T25" s="473">
        <f>'Sch 10 Debt Serv Costs'!G25</f>
        <v>3103</v>
      </c>
    </row>
    <row r="26" spans="1:22" ht="12" customHeight="1">
      <c r="A26" s="470">
        <f>A25+1</f>
        <v>17</v>
      </c>
      <c r="B26" s="477" t="s">
        <v>23</v>
      </c>
      <c r="C26" s="478">
        <v>2133</v>
      </c>
      <c r="D26" s="479">
        <f>428+2</f>
        <v>430</v>
      </c>
      <c r="E26" s="478">
        <v>439</v>
      </c>
      <c r="F26" s="479">
        <v>634</v>
      </c>
      <c r="G26" s="478">
        <v>296</v>
      </c>
      <c r="H26" s="479">
        <v>748</v>
      </c>
      <c r="I26" s="478">
        <v>-404</v>
      </c>
      <c r="J26" s="479">
        <v>-630</v>
      </c>
      <c r="K26" s="478">
        <v>-543</v>
      </c>
      <c r="L26" s="479">
        <v>-593</v>
      </c>
      <c r="M26" s="478">
        <v>-190</v>
      </c>
      <c r="N26" s="479">
        <v>-334</v>
      </c>
      <c r="O26" s="478">
        <v>-282</v>
      </c>
      <c r="P26" s="473">
        <f>-365</f>
        <v>-365</v>
      </c>
      <c r="Q26" s="472">
        <f>'Sch 1 Cons Fisc Sum'!E15</f>
        <v>-111</v>
      </c>
      <c r="R26" s="473">
        <f>'Sch 1 Cons Fisc Sum'!F15</f>
        <v>-322</v>
      </c>
      <c r="S26" s="472">
        <f>'Sch 1 Cons Fisc Sum'!G15</f>
        <v>-336</v>
      </c>
      <c r="T26" s="473">
        <f>'Sch 1 Cons Fisc Sum'!H15</f>
        <v>-347</v>
      </c>
    </row>
    <row r="27" spans="1:22" ht="13.5" customHeight="1">
      <c r="A27" s="481">
        <f>A26+1</f>
        <v>18</v>
      </c>
      <c r="B27" s="482" t="s">
        <v>24</v>
      </c>
      <c r="C27" s="483">
        <v>40256</v>
      </c>
      <c r="D27" s="484">
        <v>39988</v>
      </c>
      <c r="E27" s="483">
        <f>41064+174</f>
        <v>41238</v>
      </c>
      <c r="F27" s="484">
        <f>43339+170</f>
        <v>43509</v>
      </c>
      <c r="G27" s="483">
        <v>45643</v>
      </c>
      <c r="H27" s="484">
        <v>49736</v>
      </c>
      <c r="I27" s="483">
        <v>48366</v>
      </c>
      <c r="J27" s="484">
        <v>49061</v>
      </c>
      <c r="K27" s="483">
        <v>53077</v>
      </c>
      <c r="L27" s="484">
        <v>55318</v>
      </c>
      <c r="M27" s="483">
        <v>56283</v>
      </c>
      <c r="N27" s="484">
        <v>58376</v>
      </c>
      <c r="O27" s="483">
        <v>60099</v>
      </c>
      <c r="P27" s="484">
        <f>64378</f>
        <v>64378</v>
      </c>
      <c r="Q27" s="483">
        <f>'Sch 1 Cons Fisc Sum'!E17</f>
        <v>65635</v>
      </c>
      <c r="R27" s="484">
        <f>'Sch 1 Cons Fisc Sum'!F17</f>
        <v>68282</v>
      </c>
      <c r="S27" s="483">
        <f>'Sch 1 Cons Fisc Sum'!G17</f>
        <v>69687</v>
      </c>
      <c r="T27" s="484">
        <f>'Sch 1 Cons Fisc Sum'!H17</f>
        <v>71239</v>
      </c>
    </row>
    <row r="28" spans="1:22" s="486" customFormat="1" ht="13.5" customHeight="1" thickBot="1">
      <c r="A28" s="488">
        <f>A27+1</f>
        <v>19</v>
      </c>
      <c r="B28" s="489" t="s">
        <v>38</v>
      </c>
      <c r="C28" s="490">
        <f t="shared" ref="C28:R28" si="11">C18-C27</f>
        <v>-931</v>
      </c>
      <c r="D28" s="491">
        <f t="shared" si="11"/>
        <v>-476</v>
      </c>
      <c r="E28" s="490">
        <f t="shared" si="11"/>
        <v>-2262</v>
      </c>
      <c r="F28" s="491">
        <f t="shared" si="11"/>
        <v>-114</v>
      </c>
      <c r="G28" s="490">
        <f t="shared" si="11"/>
        <v>-3099</v>
      </c>
      <c r="H28" s="491">
        <f t="shared" si="11"/>
        <v>-302</v>
      </c>
      <c r="I28" s="490">
        <f t="shared" si="11"/>
        <v>1115</v>
      </c>
      <c r="J28" s="491">
        <f t="shared" si="11"/>
        <v>-6442</v>
      </c>
      <c r="K28" s="490">
        <f t="shared" si="11"/>
        <v>-10784</v>
      </c>
      <c r="L28" s="491">
        <f t="shared" si="11"/>
        <v>-8023</v>
      </c>
      <c r="M28" s="490">
        <f t="shared" si="11"/>
        <v>-6711</v>
      </c>
      <c r="N28" s="491">
        <f t="shared" si="11"/>
        <v>-12152</v>
      </c>
      <c r="O28" s="490">
        <f t="shared" si="11"/>
        <v>-16962</v>
      </c>
      <c r="P28" s="491">
        <f t="shared" si="11"/>
        <v>3944</v>
      </c>
      <c r="Q28" s="490">
        <f>Q18-Q27</f>
        <v>10390</v>
      </c>
      <c r="R28" s="491">
        <f t="shared" si="11"/>
        <v>2371</v>
      </c>
      <c r="S28" s="490">
        <f t="shared" ref="S28:T28" si="12">S18-S27</f>
        <v>2037</v>
      </c>
      <c r="T28" s="491">
        <f t="shared" si="12"/>
        <v>1369</v>
      </c>
      <c r="U28" s="485"/>
      <c r="V28" s="485"/>
    </row>
    <row r="29" spans="1:22" s="497" customFormat="1" ht="14.25" customHeight="1" thickBot="1">
      <c r="A29" s="492" t="s">
        <v>323</v>
      </c>
      <c r="B29" s="493"/>
      <c r="C29" s="494">
        <v>7943</v>
      </c>
      <c r="D29" s="495">
        <v>8000</v>
      </c>
      <c r="E29" s="494">
        <v>7544</v>
      </c>
      <c r="F29" s="495">
        <v>6884</v>
      </c>
      <c r="G29" s="494">
        <v>6062</v>
      </c>
      <c r="H29" s="495">
        <v>5770</v>
      </c>
      <c r="I29" s="494">
        <v>6181</v>
      </c>
      <c r="J29" s="495">
        <v>6558</v>
      </c>
      <c r="K29" s="494">
        <v>6578</v>
      </c>
      <c r="L29" s="495">
        <v>9021</v>
      </c>
      <c r="M29" s="494">
        <v>6057</v>
      </c>
      <c r="N29" s="495">
        <v>5545</v>
      </c>
      <c r="O29" s="494">
        <v>6896</v>
      </c>
      <c r="P29" s="495">
        <f>6622</f>
        <v>6622</v>
      </c>
      <c r="Q29" s="494">
        <f>'Sch 1 Cons Fisc Sum'!E26</f>
        <v>6446</v>
      </c>
      <c r="R29" s="495">
        <f>'Sch 1 Cons Fisc Sum'!F26</f>
        <v>8005</v>
      </c>
      <c r="S29" s="494">
        <f>'Sch 1 Cons Fisc Sum'!G26</f>
        <v>7976</v>
      </c>
      <c r="T29" s="495">
        <f>'Sch 1 Cons Fisc Sum'!H26</f>
        <v>7008</v>
      </c>
      <c r="U29" s="496"/>
      <c r="V29" s="496"/>
    </row>
    <row r="30" spans="1:22" ht="18" customHeight="1">
      <c r="A30" s="498" t="s">
        <v>324</v>
      </c>
      <c r="B30" s="471"/>
      <c r="C30" s="474"/>
      <c r="D30" s="474"/>
      <c r="E30" s="474"/>
      <c r="F30" s="474"/>
      <c r="G30" s="474"/>
      <c r="H30" s="474"/>
      <c r="I30" s="474"/>
      <c r="J30" s="474"/>
      <c r="K30" s="472"/>
      <c r="L30" s="474"/>
      <c r="M30" s="472"/>
      <c r="N30" s="474"/>
      <c r="O30" s="474"/>
      <c r="P30" s="474"/>
      <c r="Q30" s="472"/>
      <c r="R30" s="474"/>
      <c r="S30" s="474"/>
      <c r="T30" s="474"/>
    </row>
    <row r="31" spans="1:22" ht="12" customHeight="1">
      <c r="A31" s="470">
        <f>A28+1</f>
        <v>20</v>
      </c>
      <c r="B31" s="471" t="s">
        <v>325</v>
      </c>
      <c r="C31" s="472">
        <f>13838+3062</f>
        <v>16900</v>
      </c>
      <c r="D31" s="473">
        <f>13838+3239</f>
        <v>17077</v>
      </c>
      <c r="E31" s="472">
        <f>14198+3302</f>
        <v>17500</v>
      </c>
      <c r="F31" s="473">
        <f>14652+3284</f>
        <v>17936</v>
      </c>
      <c r="G31" s="472">
        <f>14813+3363</f>
        <v>18176</v>
      </c>
      <c r="H31" s="473">
        <f>15006+3556</f>
        <v>18562</v>
      </c>
      <c r="I31" s="472">
        <f>18859+1</f>
        <v>18860</v>
      </c>
      <c r="J31" s="473">
        <v>19262</v>
      </c>
      <c r="K31" s="472">
        <v>19836</v>
      </c>
      <c r="L31" s="473">
        <v>20306</v>
      </c>
      <c r="M31" s="472">
        <v>20700</v>
      </c>
      <c r="N31" s="473">
        <v>20670</v>
      </c>
      <c r="O31" s="472">
        <v>21090</v>
      </c>
      <c r="P31" s="473">
        <f>22176</f>
        <v>22176</v>
      </c>
      <c r="Q31" s="472">
        <f>'Sch 2 Balance Sheet'!C8+'Sch 2 Balance Sheet'!C10+'Sch 2 Balance Sheet'!C11+'Sch 2 Balance Sheet'!C12+'Sch 2 Balance Sheet'!C13</f>
        <v>23792</v>
      </c>
      <c r="R31" s="473">
        <f>'Sch 2 Balance Sheet'!D8+'Sch 2 Balance Sheet'!D10+'Sch 2 Balance Sheet'!D11+'Sch 2 Balance Sheet'!D12+'Sch 2 Balance Sheet'!D13</f>
        <v>25065</v>
      </c>
      <c r="S31" s="472">
        <f>'Sch 2 Balance Sheet'!E8+'Sch 2 Balance Sheet'!E10+'Sch 2 Balance Sheet'!E11+'Sch 2 Balance Sheet'!E12+'Sch 2 Balance Sheet'!E13</f>
        <v>26581</v>
      </c>
      <c r="T31" s="473">
        <f>'Sch 2 Balance Sheet'!F8+'Sch 2 Balance Sheet'!F10+'Sch 2 Balance Sheet'!F11+'Sch 2 Balance Sheet'!F12+'Sch 2 Balance Sheet'!F13</f>
        <v>28299</v>
      </c>
    </row>
    <row r="32" spans="1:22" ht="12" customHeight="1">
      <c r="A32" s="470">
        <f>A31+1</f>
        <v>21</v>
      </c>
      <c r="B32" s="471" t="s">
        <v>326</v>
      </c>
      <c r="C32" s="472">
        <v>16822</v>
      </c>
      <c r="D32" s="473">
        <v>14983</v>
      </c>
      <c r="E32" s="472">
        <v>11192</v>
      </c>
      <c r="F32" s="473">
        <v>7497</v>
      </c>
      <c r="G32" s="472">
        <v>3326</v>
      </c>
      <c r="H32" s="473">
        <v>4658</v>
      </c>
      <c r="I32" s="472">
        <v>6529</v>
      </c>
      <c r="J32" s="473">
        <v>3625</v>
      </c>
      <c r="K32" s="499">
        <v>2299</v>
      </c>
      <c r="L32" s="500">
        <v>1661</v>
      </c>
      <c r="M32" s="499">
        <v>6342</v>
      </c>
      <c r="N32" s="500">
        <v>0</v>
      </c>
      <c r="O32" s="499">
        <v>0</v>
      </c>
      <c r="P32" s="500">
        <f>0</f>
        <v>0</v>
      </c>
      <c r="Q32" s="499">
        <f>0</f>
        <v>0</v>
      </c>
      <c r="R32" s="500">
        <f>0</f>
        <v>0</v>
      </c>
      <c r="S32" s="499">
        <f>0</f>
        <v>0</v>
      </c>
      <c r="T32" s="500">
        <f>0</f>
        <v>0</v>
      </c>
    </row>
    <row r="33" spans="1:22" ht="12" customHeight="1">
      <c r="A33" s="470">
        <f t="shared" ref="A33:A40" si="13">A32+1</f>
        <v>22</v>
      </c>
      <c r="B33" s="477" t="s">
        <v>327</v>
      </c>
      <c r="C33" s="478">
        <f>62590-C31-C32</f>
        <v>28868</v>
      </c>
      <c r="D33" s="479">
        <f>62398-D31-D32</f>
        <v>30338</v>
      </c>
      <c r="E33" s="478">
        <f>59491-E31-E32</f>
        <v>30799</v>
      </c>
      <c r="F33" s="479">
        <f>58405-F31-F32</f>
        <v>32972</v>
      </c>
      <c r="G33" s="478">
        <f>56236-G31-G32</f>
        <v>34734</v>
      </c>
      <c r="H33" s="479">
        <f>63259-H31-H32</f>
        <v>40039</v>
      </c>
      <c r="I33" s="478">
        <f>66077-I31-I32</f>
        <v>40688</v>
      </c>
      <c r="J33" s="479">
        <f>63877-J31-J32</f>
        <v>40990</v>
      </c>
      <c r="K33" s="478">
        <f>66287-K31-K32</f>
        <v>44152</v>
      </c>
      <c r="L33" s="479">
        <f>70977-L31-L32</f>
        <v>49010</v>
      </c>
      <c r="M33" s="478">
        <f>75743-M31-M32</f>
        <v>48701</v>
      </c>
      <c r="N33" s="479">
        <f>76381-N31</f>
        <v>55711</v>
      </c>
      <c r="O33" s="478">
        <f>78086-O31</f>
        <v>56996</v>
      </c>
      <c r="P33" s="479">
        <f>78126-P31-P32</f>
        <v>55950</v>
      </c>
      <c r="Q33" s="478">
        <f>'Sch 2 Balance Sheet'!C22-Q31-Q32</f>
        <v>47741</v>
      </c>
      <c r="R33" s="479">
        <f>'Sch 2 Balance Sheet'!D22-R31-R32</f>
        <v>46786</v>
      </c>
      <c r="S33" s="478">
        <f>'Sch 2 Balance Sheet'!E22-S31-S32</f>
        <v>46201</v>
      </c>
      <c r="T33" s="479">
        <f>'Sch 2 Balance Sheet'!F22-T31-T32</f>
        <v>47207</v>
      </c>
    </row>
    <row r="34" spans="1:22" ht="12" customHeight="1">
      <c r="A34" s="470">
        <f t="shared" si="13"/>
        <v>23</v>
      </c>
      <c r="B34" s="471" t="s">
        <v>328</v>
      </c>
      <c r="C34" s="472">
        <v>-880</v>
      </c>
      <c r="D34" s="473">
        <v>-2888</v>
      </c>
      <c r="E34" s="472">
        <v>-3199</v>
      </c>
      <c r="F34" s="473">
        <v>-3442</v>
      </c>
      <c r="G34" s="472">
        <f>-2171-2423</f>
        <v>-4594</v>
      </c>
      <c r="H34" s="473">
        <f>-2470-6254</f>
        <v>-8724</v>
      </c>
      <c r="I34" s="472">
        <v>-11922</v>
      </c>
      <c r="J34" s="473">
        <v>-19040</v>
      </c>
      <c r="K34" s="472">
        <v>-23769</v>
      </c>
      <c r="L34" s="473">
        <v>-29339</v>
      </c>
      <c r="M34" s="472">
        <v>-33597</v>
      </c>
      <c r="N34" s="473">
        <v>-37188</v>
      </c>
      <c r="O34" s="472">
        <v>-42733</v>
      </c>
      <c r="P34" s="473">
        <f>-47529</f>
        <v>-47529</v>
      </c>
      <c r="Q34" s="472">
        <f>-'Sch 2 Balance Sheet'!C26-'Sch 2 Balance Sheet'!C27</f>
        <v>-45828</v>
      </c>
      <c r="R34" s="473">
        <f>-'Sch 2 Balance Sheet'!D26-'Sch 2 Balance Sheet'!D27</f>
        <v>-45815</v>
      </c>
      <c r="S34" s="472">
        <f>-'Sch 2 Balance Sheet'!E26-'Sch 2 Balance Sheet'!E27</f>
        <v>-45849</v>
      </c>
      <c r="T34" s="473">
        <f>-'Sch 2 Balance Sheet'!F26-'Sch 2 Balance Sheet'!F27</f>
        <v>-47161</v>
      </c>
    </row>
    <row r="35" spans="1:22" ht="12" customHeight="1">
      <c r="A35" s="470">
        <f t="shared" si="13"/>
        <v>24</v>
      </c>
      <c r="B35" s="471" t="s">
        <v>386</v>
      </c>
      <c r="C35" s="499">
        <f>-1086-74</f>
        <v>-1160</v>
      </c>
      <c r="D35" s="473">
        <f>-1187-73-1019</f>
        <v>-2279</v>
      </c>
      <c r="E35" s="472">
        <f>-1187-71-757</f>
        <v>-2015</v>
      </c>
      <c r="F35" s="473">
        <f>-1187-69-420</f>
        <v>-1676</v>
      </c>
      <c r="G35" s="472">
        <f>-1187-67-172</f>
        <v>-1426</v>
      </c>
      <c r="H35" s="473">
        <f>-1187-65-81</f>
        <v>-1333</v>
      </c>
      <c r="I35" s="472">
        <f>-943-62-48</f>
        <v>-1053</v>
      </c>
      <c r="J35" s="473">
        <f>-944-59-21</f>
        <v>-1024</v>
      </c>
      <c r="K35" s="472">
        <f>-9529-59-1163</f>
        <v>-10751</v>
      </c>
      <c r="L35" s="473">
        <f>-14023-55-5149</f>
        <v>-19227</v>
      </c>
      <c r="M35" s="472">
        <v>-29060</v>
      </c>
      <c r="N35" s="473">
        <v>-36954</v>
      </c>
      <c r="O35" s="472">
        <v>-50303</v>
      </c>
      <c r="P35" s="473">
        <f>-45595</f>
        <v>-45595</v>
      </c>
      <c r="Q35" s="472">
        <f>-'Sch 2 Balance Sheet'!C28-'Sch 2 Balance Sheet'!C29</f>
        <v>-33909</v>
      </c>
      <c r="R35" s="473">
        <f>-'Sch 2 Balance Sheet'!D28-'Sch 2 Balance Sheet'!D29</f>
        <v>-32477</v>
      </c>
      <c r="S35" s="472">
        <f>-'Sch 2 Balance Sheet'!E28-'Sch 2 Balance Sheet'!E29</f>
        <v>-32487</v>
      </c>
      <c r="T35" s="473">
        <f>-'Sch 2 Balance Sheet'!F28-'Sch 2 Balance Sheet'!F29</f>
        <v>-32497</v>
      </c>
    </row>
    <row r="36" spans="1:22" ht="12" customHeight="1">
      <c r="A36" s="470">
        <f>A35+1</f>
        <v>25</v>
      </c>
      <c r="B36" s="471" t="s">
        <v>329</v>
      </c>
      <c r="C36" s="499">
        <f>-6812-1109</f>
        <v>-7921</v>
      </c>
      <c r="D36" s="473">
        <f>-8100-1200</f>
        <v>-9300</v>
      </c>
      <c r="E36" s="472">
        <f>-9660-1350</f>
        <v>-11010</v>
      </c>
      <c r="F36" s="473">
        <f>-11045-1662</f>
        <v>-12707</v>
      </c>
      <c r="G36" s="472">
        <f>-12325-1791</f>
        <v>-14116</v>
      </c>
      <c r="H36" s="473">
        <f>-13848-1927</f>
        <v>-15775</v>
      </c>
      <c r="I36" s="472">
        <f>-14585-2007</f>
        <v>-16592</v>
      </c>
      <c r="J36" s="473">
        <f>-15243-2130</f>
        <v>-17373</v>
      </c>
      <c r="K36" s="472">
        <f>-15460-2190-172</f>
        <v>-17822</v>
      </c>
      <c r="L36" s="473">
        <f>-15645-2203</f>
        <v>-17848</v>
      </c>
      <c r="M36" s="472">
        <f>-15902-2232</f>
        <v>-18134</v>
      </c>
      <c r="N36" s="473">
        <v>-18066</v>
      </c>
      <c r="O36" s="472">
        <v>-18389</v>
      </c>
      <c r="P36" s="473">
        <f>-17028</f>
        <v>-17028</v>
      </c>
      <c r="Q36" s="472">
        <f>-'Sch 2 Balance Sheet'!C32-'Sch 2 Balance Sheet'!C33</f>
        <v>-17462</v>
      </c>
      <c r="R36" s="473">
        <f>-'Sch 2 Balance Sheet'!D32-'Sch 2 Balance Sheet'!D33</f>
        <v>-17660</v>
      </c>
      <c r="S36" s="472">
        <f>-'Sch 2 Balance Sheet'!E32-'Sch 2 Balance Sheet'!E33</f>
        <v>-17637</v>
      </c>
      <c r="T36" s="473">
        <f>-'Sch 2 Balance Sheet'!F32-'Sch 2 Balance Sheet'!F33</f>
        <v>-17583</v>
      </c>
    </row>
    <row r="37" spans="1:22" ht="12.75" customHeight="1">
      <c r="A37" s="470">
        <f>A36+1</f>
        <v>26</v>
      </c>
      <c r="B37" s="501" t="s">
        <v>334</v>
      </c>
      <c r="C37" s="502">
        <f>C34+C35+C36</f>
        <v>-9961</v>
      </c>
      <c r="D37" s="503">
        <f t="shared" ref="D37:Q37" si="14">D34+D35+D36</f>
        <v>-14467</v>
      </c>
      <c r="E37" s="502">
        <f t="shared" si="14"/>
        <v>-16224</v>
      </c>
      <c r="F37" s="503">
        <f t="shared" si="14"/>
        <v>-17825</v>
      </c>
      <c r="G37" s="502">
        <f t="shared" si="14"/>
        <v>-20136</v>
      </c>
      <c r="H37" s="503">
        <f t="shared" si="14"/>
        <v>-25832</v>
      </c>
      <c r="I37" s="502">
        <f t="shared" si="14"/>
        <v>-29567</v>
      </c>
      <c r="J37" s="503">
        <f t="shared" si="14"/>
        <v>-37437</v>
      </c>
      <c r="K37" s="502">
        <f t="shared" si="14"/>
        <v>-52342</v>
      </c>
      <c r="L37" s="503">
        <f t="shared" si="14"/>
        <v>-66414</v>
      </c>
      <c r="M37" s="502">
        <f t="shared" si="14"/>
        <v>-80791</v>
      </c>
      <c r="N37" s="503">
        <f t="shared" si="14"/>
        <v>-92208</v>
      </c>
      <c r="O37" s="502">
        <f t="shared" si="14"/>
        <v>-111425</v>
      </c>
      <c r="P37" s="503">
        <f t="shared" si="14"/>
        <v>-110152</v>
      </c>
      <c r="Q37" s="502">
        <f t="shared" si="14"/>
        <v>-97199</v>
      </c>
      <c r="R37" s="503">
        <f t="shared" ref="R37:T37" si="15">R34+R35+R36</f>
        <v>-95952</v>
      </c>
      <c r="S37" s="502">
        <f t="shared" si="15"/>
        <v>-95973</v>
      </c>
      <c r="T37" s="503">
        <f t="shared" si="15"/>
        <v>-97241</v>
      </c>
    </row>
    <row r="38" spans="1:22" ht="12" customHeight="1">
      <c r="A38" s="470">
        <f>A37+1</f>
        <v>27</v>
      </c>
      <c r="B38" s="471" t="s">
        <v>82</v>
      </c>
      <c r="C38" s="472">
        <v>-10239</v>
      </c>
      <c r="D38" s="473">
        <f>-9481-2</f>
        <v>-9483</v>
      </c>
      <c r="E38" s="472">
        <v>-9922</v>
      </c>
      <c r="F38" s="473">
        <v>-10556</v>
      </c>
      <c r="G38" s="472">
        <v>-10852</v>
      </c>
      <c r="H38" s="473">
        <v>-11600</v>
      </c>
      <c r="I38" s="472">
        <v>-11196</v>
      </c>
      <c r="J38" s="473">
        <v>-10566</v>
      </c>
      <c r="K38" s="472">
        <v>-10023</v>
      </c>
      <c r="L38" s="473">
        <v>-9430</v>
      </c>
      <c r="M38" s="472">
        <v>-9240</v>
      </c>
      <c r="N38" s="473">
        <v>-8918</v>
      </c>
      <c r="O38" s="472">
        <v>-8636</v>
      </c>
      <c r="P38" s="473">
        <f>-8271</f>
        <v>-8271</v>
      </c>
      <c r="Q38" s="472">
        <f>-'Sch 2 Balance Sheet'!C37</f>
        <v>-8160</v>
      </c>
      <c r="R38" s="473">
        <f>-'Sch 2 Balance Sheet'!D37</f>
        <v>-7838</v>
      </c>
      <c r="S38" s="472">
        <f>-'Sch 2 Balance Sheet'!E37</f>
        <v>-7502</v>
      </c>
      <c r="T38" s="473">
        <f>-'Sch 2 Balance Sheet'!F37</f>
        <v>-7155</v>
      </c>
    </row>
    <row r="39" spans="1:22" ht="12" customHeight="1">
      <c r="A39" s="470">
        <f t="shared" si="13"/>
        <v>28</v>
      </c>
      <c r="B39" s="477" t="s">
        <v>330</v>
      </c>
      <c r="C39" s="478">
        <f>-30889-C37-C38</f>
        <v>-10689</v>
      </c>
      <c r="D39" s="479">
        <f>-35081-D37-D38</f>
        <v>-11131</v>
      </c>
      <c r="E39" s="478">
        <f>-37838-E37-E38</f>
        <v>-11692</v>
      </c>
      <c r="F39" s="479">
        <f>-39414-F37-F38</f>
        <v>-11033</v>
      </c>
      <c r="G39" s="478">
        <f>-41781-G37-G38</f>
        <v>-10793</v>
      </c>
      <c r="H39" s="479">
        <f>-50227-H37-H38</f>
        <v>-12795</v>
      </c>
      <c r="I39" s="478">
        <f>-53023-I37-I38</f>
        <v>-12260</v>
      </c>
      <c r="J39" s="479">
        <f>-59958-J37-J38</f>
        <v>-11955</v>
      </c>
      <c r="K39" s="478">
        <f>-75188-K37-K38</f>
        <v>-12823</v>
      </c>
      <c r="L39" s="479">
        <f>-90321-L37-L38</f>
        <v>-14477</v>
      </c>
      <c r="M39" s="478">
        <f>-103220-M37-M38</f>
        <v>-13189</v>
      </c>
      <c r="N39" s="479">
        <f>-116525-N37-N38</f>
        <v>-15399</v>
      </c>
      <c r="O39" s="478">
        <f>-137614-O37-O38</f>
        <v>-17553</v>
      </c>
      <c r="P39" s="479">
        <f>-135092-P37-P38</f>
        <v>-16669</v>
      </c>
      <c r="Q39" s="478">
        <f>-'Sch 2 Balance Sheet'!C39-Q37-Q38</f>
        <v>-13543</v>
      </c>
      <c r="R39" s="479">
        <f>-'Sch 2 Balance Sheet'!D39-R37-R38</f>
        <v>-14566</v>
      </c>
      <c r="S39" s="478">
        <f>-'Sch 2 Balance Sheet'!E39-S37-S38</f>
        <v>-14900</v>
      </c>
      <c r="T39" s="479">
        <f>-'Sch 2 Balance Sheet'!F39-T37-T38</f>
        <v>-15216</v>
      </c>
    </row>
    <row r="40" spans="1:22" ht="13.5" customHeight="1">
      <c r="A40" s="470">
        <f t="shared" si="13"/>
        <v>29</v>
      </c>
      <c r="B40" s="504" t="s">
        <v>331</v>
      </c>
      <c r="C40" s="505">
        <f>SUM(C31:C36)+C38+C39</f>
        <v>31701</v>
      </c>
      <c r="D40" s="506">
        <f t="shared" ref="D40:Q40" si="16">SUM(D31:D36)+D38+D39</f>
        <v>27317</v>
      </c>
      <c r="E40" s="505">
        <f>SUM(E31:E36)+E38+E39</f>
        <v>21653</v>
      </c>
      <c r="F40" s="506">
        <f t="shared" si="16"/>
        <v>18991</v>
      </c>
      <c r="G40" s="505">
        <f t="shared" si="16"/>
        <v>14455</v>
      </c>
      <c r="H40" s="506">
        <f t="shared" si="16"/>
        <v>13032</v>
      </c>
      <c r="I40" s="505">
        <f t="shared" si="16"/>
        <v>13054</v>
      </c>
      <c r="J40" s="506">
        <f t="shared" si="16"/>
        <v>3919</v>
      </c>
      <c r="K40" s="505">
        <f t="shared" si="16"/>
        <v>-8901</v>
      </c>
      <c r="L40" s="506">
        <f t="shared" si="16"/>
        <v>-19344</v>
      </c>
      <c r="M40" s="505">
        <f t="shared" si="16"/>
        <v>-27477</v>
      </c>
      <c r="N40" s="506">
        <f t="shared" si="16"/>
        <v>-40144</v>
      </c>
      <c r="O40" s="505">
        <f t="shared" si="16"/>
        <v>-59528</v>
      </c>
      <c r="P40" s="506">
        <f>SUM(P31:P36)+P38+P39</f>
        <v>-56966</v>
      </c>
      <c r="Q40" s="505">
        <f t="shared" si="16"/>
        <v>-47369</v>
      </c>
      <c r="R40" s="506">
        <f t="shared" ref="R40:T40" si="17">SUM(R31:R36)+R38+R39</f>
        <v>-46505</v>
      </c>
      <c r="S40" s="505">
        <f t="shared" si="17"/>
        <v>-45593</v>
      </c>
      <c r="T40" s="506">
        <f t="shared" si="17"/>
        <v>-44106</v>
      </c>
    </row>
    <row r="41" spans="1:22" ht="13.5" customHeight="1">
      <c r="A41" s="476">
        <f>A40+1</f>
        <v>30</v>
      </c>
      <c r="B41" s="577" t="s">
        <v>387</v>
      </c>
      <c r="C41" s="507">
        <v>30275</v>
      </c>
      <c r="D41" s="579">
        <v>34217</v>
      </c>
      <c r="E41" s="578">
        <v>37607</v>
      </c>
      <c r="F41" s="579">
        <f>40122</f>
        <v>40122</v>
      </c>
      <c r="G41" s="578">
        <f>41817-2300</f>
        <v>39517</v>
      </c>
      <c r="H41" s="579">
        <f>43232-2393</f>
        <v>40839</v>
      </c>
      <c r="I41" s="578">
        <f>44753-2556</f>
        <v>42197</v>
      </c>
      <c r="J41" s="579">
        <f>47321-2698</f>
        <v>44623</v>
      </c>
      <c r="K41" s="578">
        <f>49408-2786</f>
        <v>46622</v>
      </c>
      <c r="L41" s="579">
        <f>52024-3009</f>
        <v>49015</v>
      </c>
      <c r="M41" s="578">
        <f>53908-3164</f>
        <v>50744</v>
      </c>
      <c r="N41" s="579">
        <f>54801-3231</f>
        <v>51570</v>
      </c>
      <c r="O41" s="578">
        <f>57110-3343</f>
        <v>53767</v>
      </c>
      <c r="P41" s="579">
        <f>58576-3523</f>
        <v>55053</v>
      </c>
      <c r="Q41" s="578">
        <f>'Sch 2 Balance Sheet'!C41+'Sch 2 Balance Sheet'!C42</f>
        <v>55846</v>
      </c>
      <c r="R41" s="508">
        <f>'Sch 2 Balance Sheet'!D41+'Sch 2 Balance Sheet'!D42</f>
        <v>57353</v>
      </c>
      <c r="S41" s="507">
        <f>'Sch 2 Balance Sheet'!E41+'Sch 2 Balance Sheet'!E42</f>
        <v>58478</v>
      </c>
      <c r="T41" s="508">
        <f>'Sch 2 Balance Sheet'!F41+'Sch 2 Balance Sheet'!F42</f>
        <v>58360</v>
      </c>
    </row>
    <row r="42" spans="1:22" s="583" customFormat="1" ht="13.5" customHeight="1" thickBot="1">
      <c r="A42" s="587">
        <f>A41+1</f>
        <v>31</v>
      </c>
      <c r="B42" s="584" t="s">
        <v>335</v>
      </c>
      <c r="C42" s="580">
        <f>C40+C41</f>
        <v>61976</v>
      </c>
      <c r="D42" s="537">
        <f t="shared" ref="D42" si="18">D40+D41</f>
        <v>61534</v>
      </c>
      <c r="E42" s="509">
        <f>E40+E41</f>
        <v>59260</v>
      </c>
      <c r="F42" s="585">
        <f t="shared" ref="F42" si="19">F40+F41</f>
        <v>59113</v>
      </c>
      <c r="G42" s="586">
        <f>G40+G41</f>
        <v>53972</v>
      </c>
      <c r="H42" s="585">
        <f t="shared" ref="H42" si="20">H40+H41</f>
        <v>53871</v>
      </c>
      <c r="I42" s="586">
        <f>I40+I41</f>
        <v>55251</v>
      </c>
      <c r="J42" s="585">
        <f t="shared" ref="J42:Q42" si="21">J40+J41</f>
        <v>48542</v>
      </c>
      <c r="K42" s="509">
        <f t="shared" si="21"/>
        <v>37721</v>
      </c>
      <c r="L42" s="585">
        <f t="shared" si="21"/>
        <v>29671</v>
      </c>
      <c r="M42" s="586">
        <f t="shared" si="21"/>
        <v>23267</v>
      </c>
      <c r="N42" s="537">
        <f t="shared" si="21"/>
        <v>11426</v>
      </c>
      <c r="O42" s="509">
        <f t="shared" si="21"/>
        <v>-5761</v>
      </c>
      <c r="P42" s="537">
        <f t="shared" si="21"/>
        <v>-1913</v>
      </c>
      <c r="Q42" s="509">
        <f t="shared" si="21"/>
        <v>8477</v>
      </c>
      <c r="R42" s="581">
        <f t="shared" ref="R42:T42" si="22">R40+R41</f>
        <v>10848</v>
      </c>
      <c r="S42" s="509">
        <f t="shared" si="22"/>
        <v>12885</v>
      </c>
      <c r="T42" s="581">
        <f t="shared" si="22"/>
        <v>14254</v>
      </c>
      <c r="U42" s="582"/>
      <c r="V42" s="582"/>
    </row>
    <row r="43" spans="1:22" ht="18" customHeight="1">
      <c r="A43" s="588" t="s">
        <v>336</v>
      </c>
      <c r="B43" s="589"/>
      <c r="C43" s="590"/>
      <c r="D43" s="474"/>
      <c r="E43" s="474"/>
      <c r="F43" s="590"/>
      <c r="G43" s="590"/>
      <c r="H43" s="590"/>
      <c r="I43" s="591"/>
      <c r="J43" s="591"/>
      <c r="L43" s="591"/>
      <c r="M43" s="591"/>
      <c r="R43" s="591"/>
      <c r="S43" s="456"/>
      <c r="T43" s="591"/>
    </row>
    <row r="44" spans="1:22" ht="11.25" customHeight="1">
      <c r="A44" s="470">
        <f>A42+1</f>
        <v>32</v>
      </c>
      <c r="B44" s="457" t="s">
        <v>337</v>
      </c>
      <c r="C44" s="510">
        <v>85.94</v>
      </c>
      <c r="D44" s="511">
        <v>70.709999999999994</v>
      </c>
      <c r="E44" s="510">
        <v>83.38</v>
      </c>
      <c r="F44" s="511">
        <v>97.33</v>
      </c>
      <c r="G44" s="510">
        <v>92.07</v>
      </c>
      <c r="H44" s="511">
        <v>99.05</v>
      </c>
      <c r="I44" s="510">
        <v>80.48</v>
      </c>
      <c r="J44" s="511">
        <v>45</v>
      </c>
      <c r="K44" s="510">
        <v>47.93</v>
      </c>
      <c r="L44" s="511">
        <v>53.69</v>
      </c>
      <c r="M44" s="510">
        <v>62.77</v>
      </c>
      <c r="N44" s="511">
        <v>54.85</v>
      </c>
      <c r="O44" s="510">
        <v>42.32</v>
      </c>
      <c r="P44" s="511">
        <v>77.03</v>
      </c>
      <c r="Q44" s="510">
        <v>90.5</v>
      </c>
      <c r="R44" s="511">
        <v>79</v>
      </c>
      <c r="S44" s="510">
        <v>76</v>
      </c>
      <c r="T44" s="511">
        <v>73.5</v>
      </c>
    </row>
    <row r="45" spans="1:22" ht="11.25" customHeight="1">
      <c r="A45" s="470">
        <f>A44+1</f>
        <v>33</v>
      </c>
      <c r="B45" s="457" t="s">
        <v>338</v>
      </c>
      <c r="C45" s="510">
        <v>74.36</v>
      </c>
      <c r="D45" s="511">
        <v>66.08</v>
      </c>
      <c r="E45" s="510">
        <v>66.7</v>
      </c>
      <c r="F45" s="511">
        <v>80.72</v>
      </c>
      <c r="G45" s="510">
        <v>68.48</v>
      </c>
      <c r="H45" s="511">
        <v>80.11</v>
      </c>
      <c r="I45" s="510">
        <v>70.78</v>
      </c>
      <c r="J45" s="511">
        <v>40.86</v>
      </c>
      <c r="K45" s="510">
        <v>44.67</v>
      </c>
      <c r="L45" s="511">
        <v>50.38</v>
      </c>
      <c r="M45" s="510">
        <v>51.65</v>
      </c>
      <c r="N45" s="511">
        <v>53.14</v>
      </c>
      <c r="O45" s="510">
        <v>41.42</v>
      </c>
      <c r="P45" s="511">
        <v>79.63</v>
      </c>
      <c r="Q45" s="510">
        <v>92.6</v>
      </c>
      <c r="R45" s="511">
        <v>78</v>
      </c>
      <c r="S45" s="510">
        <v>75.900000000000006</v>
      </c>
      <c r="T45" s="511">
        <v>72.099999999999994</v>
      </c>
    </row>
    <row r="46" spans="1:22" ht="11.25" customHeight="1">
      <c r="A46" s="470">
        <f t="shared" ref="A46:A47" si="23">A45+1</f>
        <v>34</v>
      </c>
      <c r="B46" s="457" t="s">
        <v>339</v>
      </c>
      <c r="C46" s="510">
        <v>6.97</v>
      </c>
      <c r="D46" s="511">
        <v>3.58</v>
      </c>
      <c r="E46" s="510">
        <v>3.28</v>
      </c>
      <c r="F46" s="511">
        <v>2.98</v>
      </c>
      <c r="G46" s="510">
        <v>2.2799999999999998</v>
      </c>
      <c r="H46" s="511">
        <v>3.28</v>
      </c>
      <c r="I46" s="510">
        <v>3.51</v>
      </c>
      <c r="J46" s="511">
        <v>2.21</v>
      </c>
      <c r="K46" s="510">
        <v>2.0099999999999998</v>
      </c>
      <c r="L46" s="511">
        <v>1.82</v>
      </c>
      <c r="M46" s="510">
        <v>1.34</v>
      </c>
      <c r="N46" s="511">
        <v>1.39</v>
      </c>
      <c r="O46" s="510">
        <v>2.1</v>
      </c>
      <c r="P46" s="511">
        <v>3.48</v>
      </c>
      <c r="Q46" s="510">
        <v>5.0999999999999996</v>
      </c>
      <c r="R46" s="511">
        <v>4.0999999999999996</v>
      </c>
      <c r="S46" s="510">
        <v>3.6</v>
      </c>
      <c r="T46" s="511">
        <v>3.8</v>
      </c>
    </row>
    <row r="47" spans="1:22" ht="11.25" customHeight="1" thickBot="1">
      <c r="A47" s="512">
        <f t="shared" si="23"/>
        <v>35</v>
      </c>
      <c r="B47" s="513" t="s">
        <v>340</v>
      </c>
      <c r="C47" s="514">
        <v>89.6</v>
      </c>
      <c r="D47" s="515">
        <v>91.9</v>
      </c>
      <c r="E47" s="514">
        <v>98.4</v>
      </c>
      <c r="F47" s="515">
        <v>100.7</v>
      </c>
      <c r="G47" s="514">
        <v>99.9</v>
      </c>
      <c r="H47" s="515">
        <v>95</v>
      </c>
      <c r="I47" s="514">
        <v>88</v>
      </c>
      <c r="J47" s="515">
        <v>76.5</v>
      </c>
      <c r="K47" s="514">
        <v>76.2</v>
      </c>
      <c r="L47" s="515">
        <v>78</v>
      </c>
      <c r="M47" s="514">
        <v>76.3</v>
      </c>
      <c r="N47" s="515">
        <v>75.2</v>
      </c>
      <c r="O47" s="514">
        <v>75.7</v>
      </c>
      <c r="P47" s="515">
        <v>79.8</v>
      </c>
      <c r="Q47" s="514">
        <v>75.7</v>
      </c>
      <c r="R47" s="515">
        <v>76.2</v>
      </c>
      <c r="S47" s="514">
        <v>78.2</v>
      </c>
      <c r="T47" s="515">
        <v>79.5</v>
      </c>
    </row>
    <row r="48" spans="1:22" ht="3.75" customHeight="1">
      <c r="A48" s="470"/>
      <c r="C48" s="472"/>
      <c r="D48" s="472"/>
      <c r="E48" s="472"/>
      <c r="F48" s="472"/>
      <c r="G48" s="472"/>
      <c r="H48" s="472"/>
      <c r="I48" s="472"/>
      <c r="J48" s="472"/>
      <c r="K48" s="472"/>
      <c r="L48" s="472"/>
      <c r="M48" s="472"/>
      <c r="N48" s="472"/>
      <c r="O48" s="472"/>
    </row>
    <row r="49" spans="3:15">
      <c r="C49" s="516"/>
      <c r="D49" s="516"/>
      <c r="E49" s="516"/>
      <c r="F49" s="516"/>
      <c r="G49" s="516"/>
      <c r="H49" s="516"/>
      <c r="I49" s="516"/>
      <c r="J49" s="516"/>
      <c r="K49" s="516"/>
      <c r="L49" s="516"/>
      <c r="M49" s="516"/>
      <c r="N49" s="516"/>
      <c r="O49" s="516"/>
    </row>
    <row r="50" spans="3:15">
      <c r="C50" s="516"/>
    </row>
    <row r="57" spans="3:15">
      <c r="C57" s="592"/>
    </row>
  </sheetData>
  <pageMargins left="0.75" right="0.75" top="0.75" bottom="0.75" header="0.3" footer="0.3"/>
  <pageSetup scale="54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>
      <selection activeCell="P37" sqref="P37"/>
    </sheetView>
  </sheetViews>
  <sheetFormatPr defaultColWidth="8.5703125" defaultRowHeight="1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99A24E300BD24FB3BE848B8BA15BE2" ma:contentTypeVersion="1" ma:contentTypeDescription="Create a new document." ma:contentTypeScope="" ma:versionID="024d664ad4ccaa78ec539a37f9d60449">
  <xsd:schema xmlns:xsd="http://www.w3.org/2001/XMLSchema" xmlns:xs="http://www.w3.org/2001/XMLSchema" xmlns:p="http://schemas.microsoft.com/office/2006/metadata/properties" xmlns:ns2="2f6daf8d-5922-44b6-a24d-ae26ebd46f47" targetNamespace="http://schemas.microsoft.com/office/2006/metadata/properties" ma:root="true" ma:fieldsID="bf33776a08016acd40b33467d1103530" ns2:_="">
    <xsd:import namespace="2f6daf8d-5922-44b6-a24d-ae26ebd46f4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6daf8d-5922-44b6-a24d-ae26ebd46f4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E67798-349D-40E7-BA76-74AFE7A750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5B3207-F666-4E61-BAA5-12D9C062115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f6daf8d-5922-44b6-a24d-ae26ebd46f47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B654DDC-24F4-4296-928B-4C87D7EBE0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6daf8d-5922-44b6-a24d-ae26ebd46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27</vt:i4>
      </vt:variant>
    </vt:vector>
  </HeadingPairs>
  <TitlesOfParts>
    <vt:vector size="56" baseType="lpstr">
      <vt:lpstr>COVER</vt:lpstr>
      <vt:lpstr>Summary p1 st ops</vt:lpstr>
      <vt:lpstr>Summary p1 st finp</vt:lpstr>
      <vt:lpstr>Sch 1 Cons Fisc Sum</vt:lpstr>
      <vt:lpstr>Sch 2 Balance Sheet</vt:lpstr>
      <vt:lpstr>Sch 3 Capital assets</vt:lpstr>
      <vt:lpstr>Sch 4 St of Ops</vt:lpstr>
      <vt:lpstr>Sch 5 Revenue</vt:lpstr>
      <vt:lpstr>Sch 6 Oper Exp</vt:lpstr>
      <vt:lpstr>Sch 7 Cap Amort</vt:lpstr>
      <vt:lpstr>Sch 8 Inv Consump</vt:lpstr>
      <vt:lpstr>Sch 9 Inv Acquis</vt:lpstr>
      <vt:lpstr>Sch 10 Debt Serv Costs</vt:lpstr>
      <vt:lpstr>Sch 11 Disaster-emerg</vt:lpstr>
      <vt:lpstr>Sch 12 Pension Liab</vt:lpstr>
      <vt:lpstr>Sch 13 Principal Repayments</vt:lpstr>
      <vt:lpstr>Sch 14 Cash Adjustm</vt:lpstr>
      <vt:lpstr>Sch 15 Capital Plan</vt:lpstr>
      <vt:lpstr>Sch 16 Capital grants</vt:lpstr>
      <vt:lpstr>Sch 17 Capital Invest</vt:lpstr>
      <vt:lpstr>Sch 18 Capital Plan Funding</vt:lpstr>
      <vt:lpstr>Sch 19 Financing Reqt</vt:lpstr>
      <vt:lpstr>Sch 20 Borrowing sources</vt:lpstr>
      <vt:lpstr>Sch 21 Alloc net gam lott rev</vt:lpstr>
      <vt:lpstr>Sch 22 FTEs p16</vt:lpstr>
      <vt:lpstr>Sch 23 Exp by Object</vt:lpstr>
      <vt:lpstr>Sch 24 Exp by Function</vt:lpstr>
      <vt:lpstr>Sch 25 Bud 22 Historical</vt:lpstr>
      <vt:lpstr>END</vt:lpstr>
      <vt:lpstr>'Sch 1 Cons Fisc Sum'!Print_Area</vt:lpstr>
      <vt:lpstr>'Sch 10 Debt Serv Costs'!Print_Area</vt:lpstr>
      <vt:lpstr>'Sch 11 Disaster-emerg'!Print_Area</vt:lpstr>
      <vt:lpstr>'Sch 12 Pension Liab'!Print_Area</vt:lpstr>
      <vt:lpstr>'Sch 13 Principal Repayments'!Print_Area</vt:lpstr>
      <vt:lpstr>'Sch 14 Cash Adjustm'!Print_Area</vt:lpstr>
      <vt:lpstr>'Sch 15 Capital Plan'!Print_Area</vt:lpstr>
      <vt:lpstr>'Sch 16 Capital grants'!Print_Area</vt:lpstr>
      <vt:lpstr>'Sch 17 Capital Invest'!Print_Area</vt:lpstr>
      <vt:lpstr>'Sch 18 Capital Plan Funding'!Print_Area</vt:lpstr>
      <vt:lpstr>'Sch 19 Financing Reqt'!Print_Area</vt:lpstr>
      <vt:lpstr>'Sch 2 Balance Sheet'!Print_Area</vt:lpstr>
      <vt:lpstr>'Sch 20 Borrowing sources'!Print_Area</vt:lpstr>
      <vt:lpstr>'Sch 21 Alloc net gam lott rev'!Print_Area</vt:lpstr>
      <vt:lpstr>'Sch 22 FTEs p16'!Print_Area</vt:lpstr>
      <vt:lpstr>'Sch 23 Exp by Object'!Print_Area</vt:lpstr>
      <vt:lpstr>'Sch 24 Exp by Function'!Print_Area</vt:lpstr>
      <vt:lpstr>'Sch 25 Bud 22 Historical'!Print_Area</vt:lpstr>
      <vt:lpstr>'Sch 3 Capital assets'!Print_Area</vt:lpstr>
      <vt:lpstr>'Sch 4 St of Ops'!Print_Area</vt:lpstr>
      <vt:lpstr>'Sch 5 Revenue'!Print_Area</vt:lpstr>
      <vt:lpstr>'Sch 6 Oper Exp'!Print_Area</vt:lpstr>
      <vt:lpstr>'Sch 7 Cap Amort'!Print_Area</vt:lpstr>
      <vt:lpstr>'Sch 8 Inv Consump'!Print_Area</vt:lpstr>
      <vt:lpstr>'Sch 9 Inv Acquis'!Print_Area</vt:lpstr>
      <vt:lpstr>'Summary p1 st finp'!Print_Area</vt:lpstr>
      <vt:lpstr>'Summary p1 st ops'!Print_Area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2023-26 Fiscal Plan – Tables – Data File (Alberta Budget 2023)</dc:title>
  <dc:subject>2023-26 Fiscal Plan – Tables – Data File (Alberta Budget 2023)</dc:subject>
  <dc:creator>Government of Alberta</dc:creator>
  <cp:keywords>Security Classification: Public</cp:keywords>
  <cp:lastPrinted>2023-02-28T18:11:40Z</cp:lastPrinted>
  <dcterms:created xsi:type="dcterms:W3CDTF">2021-02-24T01:30:17Z</dcterms:created>
  <dcterms:modified xsi:type="dcterms:W3CDTF">2023-02-28T19:13:39Z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0x0101000699A24E300BD24FB3BE848B8BA15BE2</vt:lpwstr>
  </property>
  <property fmtid="{D5CDD505-2E9C-101B-9397-08002B2CF9AE}" pid="3" name="MSIP_Label_60c3ebf9-3c2f-4745-a75f-55836bdb736f_Enabled">
    <vt:lpwstr>true</vt:lpwstr>
  </property>
  <property fmtid="{D5CDD505-2E9C-101B-9397-08002B2CF9AE}" pid="4" name="MSIP_Label_60c3ebf9-3c2f-4745-a75f-55836bdb736f_SetDate">
    <vt:lpwstr>2023-02-28T19:13:38Z</vt:lpwstr>
  </property>
  <property fmtid="{D5CDD505-2E9C-101B-9397-08002B2CF9AE}" pid="5" name="MSIP_Label_60c3ebf9-3c2f-4745-a75f-55836bdb736f_Method">
    <vt:lpwstr>Privileged</vt:lpwstr>
  </property>
  <property fmtid="{D5CDD505-2E9C-101B-9397-08002B2CF9AE}" pid="6" name="MSIP_Label_60c3ebf9-3c2f-4745-a75f-55836bdb736f_Name">
    <vt:lpwstr>Public</vt:lpwstr>
  </property>
  <property fmtid="{D5CDD505-2E9C-101B-9397-08002B2CF9AE}" pid="7" name="MSIP_Label_60c3ebf9-3c2f-4745-a75f-55836bdb736f_SiteId">
    <vt:lpwstr>2bb51c06-af9b-42c5-8bf5-3c3b7b10850b</vt:lpwstr>
  </property>
  <property fmtid="{D5CDD505-2E9C-101B-9397-08002B2CF9AE}" pid="8" name="MSIP_Label_60c3ebf9-3c2f-4745-a75f-55836bdb736f_ActionId">
    <vt:lpwstr>03f76d97-1800-4c85-a0ca-43aa340d3986</vt:lpwstr>
  </property>
  <property fmtid="{D5CDD505-2E9C-101B-9397-08002B2CF9AE}" pid="9" name="MSIP_Label_60c3ebf9-3c2f-4745-a75f-55836bdb736f_ContentBits">
    <vt:lpwstr>2</vt:lpwstr>
  </property>
</Properties>
</file>